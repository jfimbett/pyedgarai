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fimb\Dropbox\AlphaGenFiles\pyedgarai\vba\"/>
    </mc:Choice>
  </mc:AlternateContent>
  <xr:revisionPtr revIDLastSave="0" documentId="13_ncr:1_{87CA9D95-C4BB-4A1B-9C48-94AE3C0795CF}" xr6:coauthVersionLast="47" xr6:coauthVersionMax="47" xr10:uidLastSave="{00000000-0000-0000-0000-000000000000}"/>
  <bookViews>
    <workbookView xWindow="22995" yWindow="2850" windowWidth="21600" windowHeight="11295" xr2:uid="{9068E1D5-D8E1-4FE5-ACD0-C2BE1A9620CC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1" i="2" l="1" a="1"/>
  <c r="P11" i="2" a="1"/>
  <c r="E11" i="2" a="1"/>
  <c r="Z11" i="2" l="1"/>
  <c r="P11" i="2"/>
  <c r="E1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<sst xmlns="http://schemas.openxmlformats.org/spreadsheetml/2006/main" count="16046" uniqueCount="10615">
  <si>
    <t>Units</t>
  </si>
  <si>
    <t>Account</t>
  </si>
  <si>
    <t>Frame</t>
  </si>
  <si>
    <t>taxonomy</t>
  </si>
  <si>
    <t>api_token</t>
  </si>
  <si>
    <t>USD</t>
  </si>
  <si>
    <t>NetIncomeLoss</t>
  </si>
  <si>
    <t>CY2024Q1</t>
  </si>
  <si>
    <t>us-gaap</t>
  </si>
  <si>
    <t>t3stt@ken</t>
  </si>
  <si>
    <t>accn</t>
  </si>
  <si>
    <t>cik</t>
  </si>
  <si>
    <t>end</t>
  </si>
  <si>
    <t>entityName</t>
  </si>
  <si>
    <t>loc</t>
  </si>
  <si>
    <t>start</t>
  </si>
  <si>
    <t>val</t>
  </si>
  <si>
    <t>0001104659-24-037408</t>
  </si>
  <si>
    <t>AAR CORP</t>
  </si>
  <si>
    <t>US-IL</t>
  </si>
  <si>
    <t>0001628280-24-020011</t>
  </si>
  <si>
    <t>ABBOTT LABORATORIES</t>
  </si>
  <si>
    <t>0001264931-24-000035</t>
  </si>
  <si>
    <t>WORLDS INC.</t>
  </si>
  <si>
    <t>US-MA</t>
  </si>
  <si>
    <t>0000950170-24-055586</t>
  </si>
  <si>
    <t>ACME UNITED CORP</t>
  </si>
  <si>
    <t>US-CT</t>
  </si>
  <si>
    <t>0000002178-24-000076</t>
  </si>
  <si>
    <t>ADAMS RESOURCES &amp; ENERGY, INC.</t>
  </si>
  <si>
    <t>US-TX</t>
  </si>
  <si>
    <t>0001654954-24-005809</t>
  </si>
  <si>
    <t>BK Technologies Corporation</t>
  </si>
  <si>
    <t>US-FL</t>
  </si>
  <si>
    <t>0000002488-24-000056</t>
  </si>
  <si>
    <t>ADVANCED MICRO DEVICES, INC</t>
  </si>
  <si>
    <t>US-CA</t>
  </si>
  <si>
    <t>0000002969-24-000026</t>
  </si>
  <si>
    <t>AIR PRODUCTS AND CHEMICALS, INC.</t>
  </si>
  <si>
    <t>US-PA</t>
  </si>
  <si>
    <t>0000950170-24-050199</t>
  </si>
  <si>
    <t>CECO ENVIRONMENTAL CORP.</t>
  </si>
  <si>
    <t>Matson, Inc.</t>
  </si>
  <si>
    <t>US-HI</t>
  </si>
  <si>
    <t>0000003499-24-000015</t>
  </si>
  <si>
    <t>ALEXANDERS INC</t>
  </si>
  <si>
    <t>US-NJ</t>
  </si>
  <si>
    <t>0000003545-24-000066</t>
  </si>
  <si>
    <t>ALICO, INC.</t>
  </si>
  <si>
    <t>0000003570-24-000055</t>
  </si>
  <si>
    <t>CHENIERE ENERGY, INC.</t>
  </si>
  <si>
    <t>0000004127-24-000070</t>
  </si>
  <si>
    <t>Skyworks Solutions, Inc.</t>
  </si>
  <si>
    <t>0000004281-24-000014</t>
  </si>
  <si>
    <t>HOWMET AEROSPACE INC.</t>
  </si>
  <si>
    <t>0001628280-24-021077</t>
  </si>
  <si>
    <t>HESS CORPORATION</t>
  </si>
  <si>
    <t>US-NY</t>
  </si>
  <si>
    <t>0000004904-24-000046</t>
  </si>
  <si>
    <t>AMERICAN ELECTRIC POWER CO INC.</t>
  </si>
  <si>
    <t>US-OH</t>
  </si>
  <si>
    <t>0000004962-24-000031</t>
  </si>
  <si>
    <t>AMERICAN EXPRESS COMPANY</t>
  </si>
  <si>
    <t>Aflac Incorporated</t>
  </si>
  <si>
    <t>US-GA</t>
  </si>
  <si>
    <t>0000005272-24-000051</t>
  </si>
  <si>
    <t>American International Group, Inc.</t>
  </si>
  <si>
    <t>0000005513-24-000095</t>
  </si>
  <si>
    <t>Unum Group</t>
  </si>
  <si>
    <t>US-TN</t>
  </si>
  <si>
    <t>0000950170-24-057108</t>
  </si>
  <si>
    <t>AMERICAN VANGUARD CORPORATION</t>
  </si>
  <si>
    <t>0000950170-24-058689</t>
  </si>
  <si>
    <t>AMPCO-PITTSBURGH CORP</t>
  </si>
  <si>
    <t>American Airlines Group Inc.</t>
  </si>
  <si>
    <t>0000006281-24-000132</t>
  </si>
  <si>
    <t>Analog Devices, Inc.</t>
  </si>
  <si>
    <t>0001784031-24-000009</t>
  </si>
  <si>
    <t>APACHE CORPORATION</t>
  </si>
  <si>
    <t>0000006951-24-000022</t>
  </si>
  <si>
    <t>APPLIED MATERIALS INC /DE</t>
  </si>
  <si>
    <t>0000006955-24-000042</t>
  </si>
  <si>
    <t>ENERPAC TOOL GROUP CORP.</t>
  </si>
  <si>
    <t>US-WI</t>
  </si>
  <si>
    <t>0000007084-24-000017</t>
  </si>
  <si>
    <t>ARCHER-DANIELS-MIDLAND CO</t>
  </si>
  <si>
    <t>0000007332-24-000028</t>
  </si>
  <si>
    <t>Southwestern Energy Company</t>
  </si>
  <si>
    <t>0000950170-24-050195</t>
  </si>
  <si>
    <t>ARMSTRONG WORLD INDUSTRIES, INC.</t>
  </si>
  <si>
    <t>0001558370-24-006456</t>
  </si>
  <si>
    <t>ARROW ELECTRONICS, INC.</t>
  </si>
  <si>
    <t>US-CO</t>
  </si>
  <si>
    <t>0001437749-24-011724</t>
  </si>
  <si>
    <t>ARTS WAY MANUFACTURING CO INC</t>
  </si>
  <si>
    <t>US-IA</t>
  </si>
  <si>
    <t>Associated Banc-Corp</t>
  </si>
  <si>
    <t>0000008063-24-000029</t>
  </si>
  <si>
    <t>ASTRONICS CORPORATION</t>
  </si>
  <si>
    <t>0000950170-24-107204</t>
  </si>
  <si>
    <t>AstroNova, Inc.</t>
  </si>
  <si>
    <t>US-RI</t>
  </si>
  <si>
    <t>0001140361-24-025855</t>
  </si>
  <si>
    <t>ATLANTIC AMERICAN CORP</t>
  </si>
  <si>
    <t>0001493152-24-019782</t>
  </si>
  <si>
    <t>AGEAGLE     AERIAL SYSTEMS INC.</t>
  </si>
  <si>
    <t>US-KS</t>
  </si>
  <si>
    <t>0000008670-24-000014</t>
  </si>
  <si>
    <t>AUTOMATIC DATA PROCESSING, INC.</t>
  </si>
  <si>
    <t>0000008818-24-000009</t>
  </si>
  <si>
    <t>AVERY DENNISON CORPORATION</t>
  </si>
  <si>
    <t>0000008858-24-000020</t>
  </si>
  <si>
    <t>AVNET, INC.</t>
  </si>
  <si>
    <t>US-AZ</t>
  </si>
  <si>
    <t>0000950170-24-045898</t>
  </si>
  <si>
    <t>BADGER METER, INC.</t>
  </si>
  <si>
    <t>Balchem Corp</t>
  </si>
  <si>
    <t>0000009984-24-000063</t>
  </si>
  <si>
    <t>BARNES GROUP INC</t>
  </si>
  <si>
    <t>0000010048-24-000010</t>
  </si>
  <si>
    <t>BARNWELL INDUSTRIES, INC.</t>
  </si>
  <si>
    <t>0001437749-24-010760</t>
  </si>
  <si>
    <t>BASSETT FURNITURE INDUSTRIES, INCORPORATED</t>
  </si>
  <si>
    <t>US-VA</t>
  </si>
  <si>
    <t>0001628280-24-019786</t>
  </si>
  <si>
    <t>BAXTER INTERNATIONAL INC.</t>
  </si>
  <si>
    <t>0000010795-24-000039</t>
  </si>
  <si>
    <t>Becton, Dickinson and Company</t>
  </si>
  <si>
    <t>0000011544-24-000012</t>
  </si>
  <si>
    <t>W. R. BERKLEY CORP</t>
  </si>
  <si>
    <t>0001174947-24-000746</t>
  </si>
  <si>
    <t>FLANIGAN’S ENTERPRISES, INC.</t>
  </si>
  <si>
    <t>BIO-RAD LABORATORIES, INC.</t>
  </si>
  <si>
    <t>0001213900-24-041336</t>
  </si>
  <si>
    <t>DOMINARI HOLDINGS INC.</t>
  </si>
  <si>
    <t>0001838862-24-000021</t>
  </si>
  <si>
    <t>H&amp;R Block, Inc.</t>
  </si>
  <si>
    <t>US-MO</t>
  </si>
  <si>
    <t>0000012927-24-000025</t>
  </si>
  <si>
    <t>THE BOEING COMPANY</t>
  </si>
  <si>
    <t>0000950170-24-094921</t>
  </si>
  <si>
    <t>Galaxy Gaming, Inc.</t>
  </si>
  <si>
    <t>US-NV</t>
  </si>
  <si>
    <t>0001493152-24-022237</t>
  </si>
  <si>
    <t>BRIDGFORD FOODS CORPORATION</t>
  </si>
  <si>
    <t>0000014272-24-000096</t>
  </si>
  <si>
    <t>BRISTOL-MYERS SQUIBB COMPANY</t>
  </si>
  <si>
    <t>0000014707-24-000024</t>
  </si>
  <si>
    <t>CALERES, INC</t>
  </si>
  <si>
    <t>0000014846-24-000027</t>
  </si>
  <si>
    <t>BRT APARTMENTS CORP.</t>
  </si>
  <si>
    <t>Brunswick Corporation</t>
  </si>
  <si>
    <t>0001558370-24-007219</t>
  </si>
  <si>
    <t>CHASE GENERAL CORP</t>
  </si>
  <si>
    <t>0000015615-24-000045</t>
  </si>
  <si>
    <t>MasTec, Inc.</t>
  </si>
  <si>
    <t>0000950170-24-057010</t>
  </si>
  <si>
    <t>Cabot Corporation</t>
  </si>
  <si>
    <t>0000016058-24-000070</t>
  </si>
  <si>
    <t>CACI International Inc</t>
  </si>
  <si>
    <t>0001562762-24-000077</t>
  </si>
  <si>
    <t>CAL-MAINE FOODS, INC.</t>
  </si>
  <si>
    <t>US-MS</t>
  </si>
  <si>
    <t>0000016732-24-000082</t>
  </si>
  <si>
    <t>CAMPBELL SOUP CO</t>
  </si>
  <si>
    <t>0000016918-24-000054</t>
  </si>
  <si>
    <t>CONSTELLATION BRANDS, INC.</t>
  </si>
  <si>
    <t>0000017313-24-000022</t>
  </si>
  <si>
    <t>CAPITAL SOUTHWEST CORPORATION</t>
  </si>
  <si>
    <t>0000017843-24-000006</t>
  </si>
  <si>
    <t>CARPENTER TECHNOLOGY CORPORATION</t>
  </si>
  <si>
    <t>THE CATO CORPORATION</t>
  </si>
  <si>
    <t>US-NC</t>
  </si>
  <si>
    <t>0000018349-24-000086</t>
  </si>
  <si>
    <t>SYNOVUS FINANCIAL CORP</t>
  </si>
  <si>
    <t>0000950170-24-105736</t>
  </si>
  <si>
    <t>Genesco Inc</t>
  </si>
  <si>
    <t>0000018926-24-000054</t>
  </si>
  <si>
    <t>LUMEN TECHNOLOGIES, INC.</t>
  </si>
  <si>
    <t>US-LA</t>
  </si>
  <si>
    <t>0001562762-24-000106</t>
  </si>
  <si>
    <t>CHEMED CORPORATION</t>
  </si>
  <si>
    <t>0000019617-24-000326</t>
  </si>
  <si>
    <t>JPMorgan Chase &amp; Co</t>
  </si>
  <si>
    <t>0001628280-24-021732</t>
  </si>
  <si>
    <t>CHESAPEAKE UTILITIES CORP</t>
  </si>
  <si>
    <t>US-DE</t>
  </si>
  <si>
    <t>0001193125-24-200613</t>
  </si>
  <si>
    <t>CHICAGO RIVET &amp; MACHINE CO</t>
  </si>
  <si>
    <t>Churchill Downs Inc</t>
  </si>
  <si>
    <t>US-KY</t>
  </si>
  <si>
    <t>0000020286-24-000030</t>
  </si>
  <si>
    <t>CINCINNATI FINANCIAL CORPORATION</t>
  </si>
  <si>
    <t>0001562762-24-000191</t>
  </si>
  <si>
    <t>FRONTIER COMMUNICATIONS PARENT, INC.</t>
  </si>
  <si>
    <t>0001140361-24-036570</t>
  </si>
  <si>
    <t>AMBASE CORPORATION</t>
  </si>
  <si>
    <t>0000021076-24-000016</t>
  </si>
  <si>
    <t>THE CLOROX COMPANY</t>
  </si>
  <si>
    <t>0000021175-24-000039</t>
  </si>
  <si>
    <t>CNA FINANCIAL CORPORATION</t>
  </si>
  <si>
    <t>0000021344-24-000017</t>
  </si>
  <si>
    <t>COCA COLA CO</t>
  </si>
  <si>
    <t>0001437749-24-014436</t>
  </si>
  <si>
    <t>COHU INC</t>
  </si>
  <si>
    <t>0000021665-24-000015</t>
  </si>
  <si>
    <t>COLGATE-PALMOLIVE COMPANY</t>
  </si>
  <si>
    <t>0000022356-24-000035</t>
  </si>
  <si>
    <t>COMMERCE BANCSHARES, INC.</t>
  </si>
  <si>
    <t>0000022444-24-000069</t>
  </si>
  <si>
    <t>COMMERCIAL METALS COMPANY</t>
  </si>
  <si>
    <t>0000022701-24-000004</t>
  </si>
  <si>
    <t>PINEAPPLE ENERGY INC.</t>
  </si>
  <si>
    <t>US-MN</t>
  </si>
  <si>
    <t>0000950170-24-051815</t>
  </si>
  <si>
    <t>COMSTOCK RESOURCES, INC.</t>
  </si>
  <si>
    <t>0000023197-24-000080</t>
  </si>
  <si>
    <t>COMTECH TELECOMMUNICATIONS CORP /DE/</t>
  </si>
  <si>
    <t>0001437749-24-011081</t>
  </si>
  <si>
    <t>CONAGRA BRANDS INC.</t>
  </si>
  <si>
    <t>0001558370-24-006550</t>
  </si>
  <si>
    <t>CTO REALTY GROWTH, INC.</t>
  </si>
  <si>
    <t>0000024090-24-000141</t>
  </si>
  <si>
    <t>CITIZENS, INC.</t>
  </si>
  <si>
    <t>0000024545-24-000012</t>
  </si>
  <si>
    <t>Molson Coors Beverage Company</t>
  </si>
  <si>
    <t>0001437749-24-014319</t>
  </si>
  <si>
    <t>CORNING INC /NY</t>
  </si>
  <si>
    <t>0000025232-24-000024</t>
  </si>
  <si>
    <t>COUSINS PROPERTIES INC</t>
  </si>
  <si>
    <t>0001628280-24-035654</t>
  </si>
  <si>
    <t>CRANE NXT, CO.</t>
  </si>
  <si>
    <t>0000950170-24-051333</t>
  </si>
  <si>
    <t>CRAWFORD &amp; CO</t>
  </si>
  <si>
    <t>0001213900-24-067771</t>
  </si>
  <si>
    <t>TherapeuticsMD, Inc.</t>
  </si>
  <si>
    <t>CTS CORPORATION</t>
  </si>
  <si>
    <t>0000026324-24-000012</t>
  </si>
  <si>
    <t>CURTISS-WRIGHT CORPORATION</t>
  </si>
  <si>
    <t>0001437749-24-013892</t>
  </si>
  <si>
    <t>Dana Inc.</t>
  </si>
  <si>
    <t>0001558370-24-008773</t>
  </si>
  <si>
    <t>DEERE JOHN CAPITAL CORP</t>
  </si>
  <si>
    <t>0000027904-24-000012</t>
  </si>
  <si>
    <t>DELTA AIR LINES, INC.</t>
  </si>
  <si>
    <t>0000027996-24-000120</t>
  </si>
  <si>
    <t>DELUXE CORPORATION</t>
  </si>
  <si>
    <t>0000028823-24-000041</t>
  </si>
  <si>
    <t>Diebold Nixdorf, Incorporated</t>
  </si>
  <si>
    <t>0000028917-24-000022</t>
  </si>
  <si>
    <t>DILLARD’S, INC.</t>
  </si>
  <si>
    <t>US-AR</t>
  </si>
  <si>
    <t>0000950170-24-057252</t>
  </si>
  <si>
    <t>DIODES INC /DEL/</t>
  </si>
  <si>
    <t>0000029332-24-000036</t>
  </si>
  <si>
    <t>THE DIXIE GROUP, INC</t>
  </si>
  <si>
    <t>0001558370-24-008742</t>
  </si>
  <si>
    <t>DOLLAR GENERAL CORP ORATION</t>
  </si>
  <si>
    <t>0000029644-24-000067</t>
  </si>
  <si>
    <t>DONALDSON COMPANY, INC.</t>
  </si>
  <si>
    <t>0000029905-24-000020</t>
  </si>
  <si>
    <t>DOVER Corp</t>
  </si>
  <si>
    <t>0000029989-24-000014</t>
  </si>
  <si>
    <t>OMNICOM GROUP INC.</t>
  </si>
  <si>
    <t>0001628280-24-035846</t>
  </si>
  <si>
    <t>DUCOMMUN INCORPORATED</t>
  </si>
  <si>
    <t>0000030625-24-000041</t>
  </si>
  <si>
    <t>FLOWSERVE CORP</t>
  </si>
  <si>
    <t>Wendy's Co</t>
  </si>
  <si>
    <t>0001654954-24-005629</t>
  </si>
  <si>
    <t>THE EASTERN COMPANY</t>
  </si>
  <si>
    <t>0001437749-24-025552</t>
  </si>
  <si>
    <t>EASTMAN KODAK CO</t>
  </si>
  <si>
    <t>0001558370-24-006535</t>
  </si>
  <si>
    <t>ECOLAB INC.</t>
  </si>
  <si>
    <t>0001185185-24-000577</t>
  </si>
  <si>
    <t>EDUCATIONAL DEVELOPMENT CORPORATION</t>
  </si>
  <si>
    <t>US-OK</t>
  </si>
  <si>
    <t>0000031791-24-000021</t>
  </si>
  <si>
    <t>REVVITY, INC</t>
  </si>
  <si>
    <t>0000032604-24-000024</t>
  </si>
  <si>
    <t>EMERSON ELECTRIC CO.</t>
  </si>
  <si>
    <t>0000033185-24-000032</t>
  </si>
  <si>
    <t>EQUIFAX INC</t>
  </si>
  <si>
    <t>0000033213-24-000021</t>
  </si>
  <si>
    <t>EQT CORPORATION</t>
  </si>
  <si>
    <t>0001437749-24-013094</t>
  </si>
  <si>
    <t>ESCALADE, INCORPORATED</t>
  </si>
  <si>
    <t>US-IN</t>
  </si>
  <si>
    <t>0001174947-24-001099</t>
  </si>
  <si>
    <t>ESPEY MFG. &amp; ELECTRONICS CORP.</t>
  </si>
  <si>
    <t>0001654954-24-006368</t>
  </si>
  <si>
    <t>KINGSTONE COMPANIES, INC.</t>
  </si>
  <si>
    <t>0000034067-24-000075</t>
  </si>
  <si>
    <t>DMC GLOBAL INC.</t>
  </si>
  <si>
    <t>0000034088-24-000029</t>
  </si>
  <si>
    <t>Exxon Mobil Corporation</t>
  </si>
  <si>
    <t>0001493152-24-019582</t>
  </si>
  <si>
    <t>RELIABILITY INCORPORATED</t>
  </si>
  <si>
    <t>US-MD</t>
  </si>
  <si>
    <t>0000034563-24-000046</t>
  </si>
  <si>
    <t>FARMER BROTHERS CO</t>
  </si>
  <si>
    <t>0000034903-24-000046</t>
  </si>
  <si>
    <t>FEDERAL REALTY INVESTMENT TRUST</t>
  </si>
  <si>
    <t>0001654954-24-006228</t>
  </si>
  <si>
    <t>TENAX THERAPEUTICS, INC.</t>
  </si>
  <si>
    <t>0000035527-24-000166</t>
  </si>
  <si>
    <t>Fifth Third Bancorp</t>
  </si>
  <si>
    <t>0000950170-24-052911</t>
  </si>
  <si>
    <t>First Financial Bankshares, Inc.</t>
  </si>
  <si>
    <t>0000036104-24-000037</t>
  </si>
  <si>
    <t>US BANCORP \DE\</t>
  </si>
  <si>
    <t>0000950170-24-091897</t>
  </si>
  <si>
    <t>Trustmark Corp</t>
  </si>
  <si>
    <t>0000950170-24-052773</t>
  </si>
  <si>
    <t>M&amp;T BANK CORPORATION</t>
  </si>
  <si>
    <t>0001558370-24-006809</t>
  </si>
  <si>
    <t>FIRST HAWAIIAN, INC.</t>
  </si>
  <si>
    <t>0001174947-24-000842</t>
  </si>
  <si>
    <t>FIRST REAL ESTATE INVESTMENT TRUST OF NEW JERSEY, INC.</t>
  </si>
  <si>
    <t>0000036966-24-000060</t>
  </si>
  <si>
    <t>FIRST HORIZON CORP</t>
  </si>
  <si>
    <t>0000950170-24-102402</t>
  </si>
  <si>
    <t>FLEXSTEEL INDUSTRIES, INC.</t>
  </si>
  <si>
    <t>0000037785-24-000066</t>
  </si>
  <si>
    <t>FMC CORPORATION</t>
  </si>
  <si>
    <t>0000037808-24-000011</t>
  </si>
  <si>
    <t>FNB CORP/PA/</t>
  </si>
  <si>
    <t>Ford Motor Co</t>
  </si>
  <si>
    <t>US-MI</t>
  </si>
  <si>
    <t>0000038009-24-000045</t>
  </si>
  <si>
    <t>Ford Motor Credit Co LLC</t>
  </si>
  <si>
    <t>0001683168-24-005693</t>
  </si>
  <si>
    <t>FORWARD INDUSTRIES, INC.</t>
  </si>
  <si>
    <t>0000038723-24-000084</t>
  </si>
  <si>
    <t>1st FRANKLIN FINANCIAL CORPORATION</t>
  </si>
  <si>
    <t>0000038725-24-000078</t>
  </si>
  <si>
    <t>FRANKLIN ELECTRIC CO., INC.</t>
  </si>
  <si>
    <t>0000038777-24-000069</t>
  </si>
  <si>
    <t>FRANKLIN RESOURCES, INC.</t>
  </si>
  <si>
    <t>0000039263-24-000039</t>
  </si>
  <si>
    <t>Cullen/Frost Bankers, Inc.</t>
  </si>
  <si>
    <t>0000039311-24-000056</t>
  </si>
  <si>
    <t>INDEPENDENT BANK CORPORATION</t>
  </si>
  <si>
    <t>0001437749-24-009763</t>
  </si>
  <si>
    <t>FULLER H B CO</t>
  </si>
  <si>
    <t>0000950170-24-055643</t>
  </si>
  <si>
    <t>TEGNA INC.</t>
  </si>
  <si>
    <t>0000039911-24-000128</t>
  </si>
  <si>
    <t>GAP, INC</t>
  </si>
  <si>
    <t>0000040211-24-000039</t>
  </si>
  <si>
    <t>GATX Corporation</t>
  </si>
  <si>
    <t>0000040533-24-000014</t>
  </si>
  <si>
    <t>GENERAL DYNAMICS CORPORATION</t>
  </si>
  <si>
    <t>0000040545-24-000113</t>
  </si>
  <si>
    <t>GENERAL ELECTRIC COMPANY</t>
  </si>
  <si>
    <t>0001477932-24-004832</t>
  </si>
  <si>
    <t>GEE GROUP INC.</t>
  </si>
  <si>
    <t>0001193125-24-168943</t>
  </si>
  <si>
    <t>GENERAL MILLS, INC.</t>
  </si>
  <si>
    <t>0000040729-24-000012</t>
  </si>
  <si>
    <t>Ally Financial Inc.</t>
  </si>
  <si>
    <t>0000040987-24-000068</t>
  </si>
  <si>
    <t>GENUINE PARTS CO</t>
  </si>
  <si>
    <t>0000041719-24-000018</t>
  </si>
  <si>
    <t>Glatfelter Corporation</t>
  </si>
  <si>
    <t>0000950170-24-054023</t>
  </si>
  <si>
    <t>THE GOODYEAR TIRE &amp; RUBBER COMPANY</t>
  </si>
  <si>
    <t>The Gorman-Rupp Company</t>
  </si>
  <si>
    <t>0000042888-24-000014</t>
  </si>
  <si>
    <t>GRACO INC.</t>
  </si>
  <si>
    <t>0001437749-24-025410</t>
  </si>
  <si>
    <t>GRAY TELEVISION INC</t>
  </si>
  <si>
    <t>0000043920-24-000030</t>
  </si>
  <si>
    <t>GREIF, INC.</t>
  </si>
  <si>
    <t>0000045012-24-000015</t>
  </si>
  <si>
    <t>HALLIBURTON COMPANY</t>
  </si>
  <si>
    <t>0000045876-24-000026</t>
  </si>
  <si>
    <t>ENVIRI CORPORATION</t>
  </si>
  <si>
    <t>0000045919-24-000062</t>
  </si>
  <si>
    <t>HARTE HANKS, INC.</t>
  </si>
  <si>
    <t>HASBRO, INC.</t>
  </si>
  <si>
    <t>0000950170-24-085428</t>
  </si>
  <si>
    <t>BANK OF HAWAII CORPORATION</t>
  </si>
  <si>
    <t>0000046619-24-000039</t>
  </si>
  <si>
    <t>HEICO CORPORATION</t>
  </si>
  <si>
    <t>0000046765-24-000045</t>
  </si>
  <si>
    <t>HELMERICH &amp; PAYNE, INC.</t>
  </si>
  <si>
    <t>0000047111-24-000023</t>
  </si>
  <si>
    <t>HERSHEY CO</t>
  </si>
  <si>
    <t>0001437749-24-013831</t>
  </si>
  <si>
    <t>CRAWFORD UNITED Corp</t>
  </si>
  <si>
    <t>0000048287-24-000097</t>
  </si>
  <si>
    <t>HNI Corporation</t>
  </si>
  <si>
    <t>0000048465-24-000032</t>
  </si>
  <si>
    <t>HORMEL FOODS CORPORATION</t>
  </si>
  <si>
    <t>0001628280-24-019474</t>
  </si>
  <si>
    <t>HUBBELL INC</t>
  </si>
  <si>
    <t>0000049071-24-000023</t>
  </si>
  <si>
    <t>HUMANA INC</t>
  </si>
  <si>
    <t>0000049196-24-000047</t>
  </si>
  <si>
    <t>Huntington Bancshares Incorporated</t>
  </si>
  <si>
    <t>0001628280-24-021372</t>
  </si>
  <si>
    <t>Dine Brands Global, Inc.</t>
  </si>
  <si>
    <t>0001437749-24-017141</t>
  </si>
  <si>
    <t>REPOSITRAK, INC.</t>
  </si>
  <si>
    <t>US-UT</t>
  </si>
  <si>
    <t>0000050493-24-000014</t>
  </si>
  <si>
    <t>INGLES MARKETS, INCORPORATED</t>
  </si>
  <si>
    <t>0000050725-24-000096</t>
  </si>
  <si>
    <t>GRIFFON CORPORATION</t>
  </si>
  <si>
    <t>0000050863-24-000076</t>
  </si>
  <si>
    <t>INTEL CORPORATION</t>
  </si>
  <si>
    <t>0000051143-24-000025</t>
  </si>
  <si>
    <t>INTERNATIONAL BUSINESS MACHINES CORPORATION</t>
  </si>
  <si>
    <t>0000051253-24-000016</t>
  </si>
  <si>
    <t>INTERNATIONAL FLAVORS &amp; FRAGRANCES INC</t>
  </si>
  <si>
    <t>0000051644-24-000021</t>
  </si>
  <si>
    <t>INTERPUBLIC GROUP OF COMPANIES, INC.</t>
  </si>
  <si>
    <t>0000052827-24-000150</t>
  </si>
  <si>
    <t>RAYONIER INC.</t>
  </si>
  <si>
    <t>0000052988-24-000032</t>
  </si>
  <si>
    <t>JACOBS SOLUTIONS INC.</t>
  </si>
  <si>
    <t>0001206774-24-000621</t>
  </si>
  <si>
    <t>MAYS J W INC</t>
  </si>
  <si>
    <t>0001628280-24-020015</t>
  </si>
  <si>
    <t>Kellanova</t>
  </si>
  <si>
    <t>0000055135-24-000018</t>
  </si>
  <si>
    <t>KELLY SERVICES, INC.</t>
  </si>
  <si>
    <t>0001477932-24-004128</t>
  </si>
  <si>
    <t>KENILWORTH SYSTEMS CORPORATION</t>
  </si>
  <si>
    <t>0000055242-24-000026</t>
  </si>
  <si>
    <t>KENNAMETAL INC.</t>
  </si>
  <si>
    <t>0000055785-24-000054</t>
  </si>
  <si>
    <t>KIMBERLY-CLARK CORPORATION</t>
  </si>
  <si>
    <t>0000950170-24-053690</t>
  </si>
  <si>
    <t>KIRBY CORPORATION</t>
  </si>
  <si>
    <t>0000056701-24-000014</t>
  </si>
  <si>
    <t>KOSS CORPORATION</t>
  </si>
  <si>
    <t>0001437749-24-026602</t>
  </si>
  <si>
    <t>PrimeEnergy Resources Corporation</t>
  </si>
  <si>
    <t>0000056978-24-000099</t>
  </si>
  <si>
    <t>KULICKE AND SOFFA INDUSTRIES, INC.</t>
  </si>
  <si>
    <t>0000057515-24-000012</t>
  </si>
  <si>
    <t>Lancaster Colony Corporation</t>
  </si>
  <si>
    <t>0001628280-24-034325</t>
  </si>
  <si>
    <t>LEE ENTERPRISES, INC</t>
  </si>
  <si>
    <t>0000058492-24-000338</t>
  </si>
  <si>
    <t>LEGGETT &amp; PLATT, INC</t>
  </si>
  <si>
    <t>0001558370-24-007618</t>
  </si>
  <si>
    <t>VALHI, INC.</t>
  </si>
  <si>
    <t>0000059440-24-000011</t>
  </si>
  <si>
    <t>VECTOR GROUP LTD</t>
  </si>
  <si>
    <t>0000059478-24-000118</t>
  </si>
  <si>
    <t>ELI LILLY AND COMPANY</t>
  </si>
  <si>
    <t>LINCOLN ELECTRIC HOLDINGS INC</t>
  </si>
  <si>
    <t>0000059558-24-000024</t>
  </si>
  <si>
    <t>LINCOLN NATIONAL CORPORATION</t>
  </si>
  <si>
    <t>0000060086-24-000086</t>
  </si>
  <si>
    <t>LOEWS CORP</t>
  </si>
  <si>
    <t>0001628280-24-035537</t>
  </si>
  <si>
    <t>LOUISIANA-PACIFIC CORPORATION</t>
  </si>
  <si>
    <t>0000060667-24-000085</t>
  </si>
  <si>
    <t>LOWE’S COMPANIES, INC.</t>
  </si>
  <si>
    <t>LSB Industries, Inc.</t>
  </si>
  <si>
    <t>0001437749-24-017094</t>
  </si>
  <si>
    <t>THE LGL GROUP, INC.</t>
  </si>
  <si>
    <t>0000061398-24-000022</t>
  </si>
  <si>
    <t>TELLURIAN INC. /DE/</t>
  </si>
  <si>
    <t>0000950170-24-055669</t>
  </si>
  <si>
    <t>The Manitowoc Company, Inc.</t>
  </si>
  <si>
    <t>0000062234-24-000028</t>
  </si>
  <si>
    <t>MARCUS CORP</t>
  </si>
  <si>
    <t>0000062709-24-000037</t>
  </si>
  <si>
    <t>Marsh &amp; McLennan Companies, Inc.</t>
  </si>
  <si>
    <t>0000062996-24-000012</t>
  </si>
  <si>
    <t>Masco Corporation</t>
  </si>
  <si>
    <t>MATTEL INC /DE/</t>
  </si>
  <si>
    <t>0000063296-24-000045</t>
  </si>
  <si>
    <t>MATTHEWS INTERNATIONAL CORP</t>
  </si>
  <si>
    <t>0001437749-24-027225</t>
  </si>
  <si>
    <t>MAUI LAND &amp; PINEAPPLE CO INC</t>
  </si>
  <si>
    <t>0000063754-24-000033</t>
  </si>
  <si>
    <t>McCORMICK &amp; COMPANY, INCORPORATED</t>
  </si>
  <si>
    <t>0000063908-24-000092</t>
  </si>
  <si>
    <t>McDONALD’S CORPORATION</t>
  </si>
  <si>
    <t>0000064040-24-000125</t>
  </si>
  <si>
    <t>S&amp;P Global Inc.</t>
  </si>
  <si>
    <t>0001493152-24-020047</t>
  </si>
  <si>
    <t>Soluna Holdings, Inc.</t>
  </si>
  <si>
    <t>0001193125-24-197832</t>
  </si>
  <si>
    <t>GENCOR INDUSTRIES, INC.</t>
  </si>
  <si>
    <t>0000064803-24-000016</t>
  </si>
  <si>
    <t>CVS HEALTH CORPORATION</t>
  </si>
  <si>
    <t>0000064996-24-000019</t>
  </si>
  <si>
    <t>MERCURY GENERAL CORP</t>
  </si>
  <si>
    <t>0001558370-24-009141</t>
  </si>
  <si>
    <t>MESABI TRUST</t>
  </si>
  <si>
    <t>0001174947-24-000726</t>
  </si>
  <si>
    <t>EVI Industries, Inc.</t>
  </si>
  <si>
    <t>0001214659-24-006491</t>
  </si>
  <si>
    <t>MICROPAC INDUSTRIES, INC.</t>
  </si>
  <si>
    <t>0001493152-24-018637</t>
  </si>
  <si>
    <t>MicroVision, Inc.</t>
  </si>
  <si>
    <t>US-WA</t>
  </si>
  <si>
    <t>MIDDLESEX WATER COMPANY</t>
  </si>
  <si>
    <t>0000066382-24-000014</t>
  </si>
  <si>
    <t>MillerKnoll, Inc.</t>
  </si>
  <si>
    <t>0000066570-24-000022</t>
  </si>
  <si>
    <t>MSA SAFETY INC</t>
  </si>
  <si>
    <t>0000066740-24-000053</t>
  </si>
  <si>
    <t>3M COMPANY</t>
  </si>
  <si>
    <t>0000066756-24-000050</t>
  </si>
  <si>
    <t>ALLETE, Inc.</t>
  </si>
  <si>
    <t>0000067215-24-000029</t>
  </si>
  <si>
    <t>DYCOM INDUSTRIES, INC.</t>
  </si>
  <si>
    <t>0000067716-24-000082</t>
  </si>
  <si>
    <t>MDU RESOURCES GROUP INC</t>
  </si>
  <si>
    <t>US-ND</t>
  </si>
  <si>
    <t>0000067887-24-000029</t>
  </si>
  <si>
    <t>MOOG Inc.</t>
  </si>
  <si>
    <t>0000068505-24-000016</t>
  </si>
  <si>
    <t>MOTOROLA SOLUTIONS, INC.</t>
  </si>
  <si>
    <t>0000068622-24-000007</t>
  </si>
  <si>
    <t>QWEST CORPORATION</t>
  </si>
  <si>
    <t>0001493152-24-019168</t>
  </si>
  <si>
    <t>THE INTERGROUP CORPORATION</t>
  </si>
  <si>
    <t>0000950170-24-054453</t>
  </si>
  <si>
    <t>Myers Industries, Inc.</t>
  </si>
  <si>
    <t>0001558370-24-006776</t>
  </si>
  <si>
    <t>NAPCO SECURITY TECHNOLOGIES, INC</t>
  </si>
  <si>
    <t>0000070145-24-000013</t>
  </si>
  <si>
    <t>NATIONAL FUEL GAS COMPANY</t>
  </si>
  <si>
    <t>0000070502-24-000031</t>
  </si>
  <si>
    <t>NATIONAL RURAL UTILITIES COOPERATIVE FINANCE CORPORATION</t>
  </si>
  <si>
    <t>0000070858-24-000156</t>
  </si>
  <si>
    <t>Bank of America Corporation</t>
  </si>
  <si>
    <t>0000070866-24-000025</t>
  </si>
  <si>
    <t>NCR VOYIX CORPORATION</t>
  </si>
  <si>
    <t>0001513162-24-000057</t>
  </si>
  <si>
    <t>NUVERA COMMUNICATIONS, INC.</t>
  </si>
  <si>
    <t>0000071691-24-000105</t>
  </si>
  <si>
    <t>THE NEW YORK TIMES COMPANY</t>
  </si>
  <si>
    <t>0000071829-24-000036</t>
  </si>
  <si>
    <t>Newpark Resources, Inc.</t>
  </si>
  <si>
    <t>0001558370-24-007351</t>
  </si>
  <si>
    <t>NL INDUSTRIES, INC.</t>
  </si>
  <si>
    <t>0000950170-24-106742</t>
  </si>
  <si>
    <t>NOBILITY HOMES, INC.</t>
  </si>
  <si>
    <t>0000072331-24-000111</t>
  </si>
  <si>
    <t>NORDSON CORPORATION</t>
  </si>
  <si>
    <t>0000072333-24-000080</t>
  </si>
  <si>
    <t>Nordstrom, Inc.</t>
  </si>
  <si>
    <t>0001437749-24-016236</t>
  </si>
  <si>
    <t>Vaxart, Inc.</t>
  </si>
  <si>
    <t>0000950170-24-066282</t>
  </si>
  <si>
    <t>MOVADO GROUP, INC.</t>
  </si>
  <si>
    <t>0000072903-24-000096</t>
  </si>
  <si>
    <t>Xcel Energy Inc.</t>
  </si>
  <si>
    <t>0000072909-24-000007</t>
  </si>
  <si>
    <t>NORTHERN STATES POWER CO /WI/</t>
  </si>
  <si>
    <t>0000072971-24-000129</t>
  </si>
  <si>
    <t>WELLS FARGO &amp; COMPANY/MN</t>
  </si>
  <si>
    <t>NORTHERN TRUST CORPORATION</t>
  </si>
  <si>
    <t>0001493152-24-014474</t>
  </si>
  <si>
    <t>BIOMERICA, INC.</t>
  </si>
  <si>
    <t>0000950170-24-055144</t>
  </si>
  <si>
    <t>NUCOR CORPORATION</t>
  </si>
  <si>
    <t>0000074046-24-000043</t>
  </si>
  <si>
    <t>OIL-DRI CORPORATION OF AMERICA</t>
  </si>
  <si>
    <t>0000074208-24-000039</t>
  </si>
  <si>
    <t>UDR, Inc.</t>
  </si>
  <si>
    <t>0000074260-24-000084</t>
  </si>
  <si>
    <t>OLD REPUBLIC INTERNATIONAL CORPORATION</t>
  </si>
  <si>
    <t>0000074303-24-000105</t>
  </si>
  <si>
    <t>Olin Corporation</t>
  </si>
  <si>
    <t>0001493152-24-018632</t>
  </si>
  <si>
    <t>OVERSEAS SHIPHOLDING GROUP, INC.</t>
  </si>
  <si>
    <t>0001558370-24-010720</t>
  </si>
  <si>
    <t>Owens &amp; Minor, Inc.</t>
  </si>
  <si>
    <t>0000075288-24-000009</t>
  </si>
  <si>
    <t>OXFORD INDUSTRIES, INC.</t>
  </si>
  <si>
    <t>0000950170-24-052081</t>
  </si>
  <si>
    <t>PACCAR Inc</t>
  </si>
  <si>
    <t>0000950170-24-055165</t>
  </si>
  <si>
    <t>PACKAGING CORP OF AMERICA</t>
  </si>
  <si>
    <t>0001437749-24-019951</t>
  </si>
  <si>
    <t>PARK AEROSPACE CORP.,</t>
  </si>
  <si>
    <t>0000076282-24-000033</t>
  </si>
  <si>
    <t>Park-Ohio Holdings Corp</t>
  </si>
  <si>
    <t>0000076605-24-000109</t>
  </si>
  <si>
    <t>PATRICK INDUSTRIES, INC.</t>
  </si>
  <si>
    <t>0000077360-24-000020</t>
  </si>
  <si>
    <t>Pentair plc</t>
  </si>
  <si>
    <t>GB-</t>
  </si>
  <si>
    <t>0000077476-24-000017</t>
  </si>
  <si>
    <t>PepsiCo, Inc.</t>
  </si>
  <si>
    <t>0000077543-24-000106</t>
  </si>
  <si>
    <t>Tutor Perini Corporation</t>
  </si>
  <si>
    <t>0000078003-24-000107</t>
  </si>
  <si>
    <t>PFIZER INC</t>
  </si>
  <si>
    <t>0001562762-24-000197</t>
  </si>
  <si>
    <t>ESSENTIAL UTILITIES, INC.</t>
  </si>
  <si>
    <t>0000078239-24-000074</t>
  </si>
  <si>
    <t>PVH CORP.</t>
  </si>
  <si>
    <t>0000078814-24-000026</t>
  </si>
  <si>
    <t>PITNEY BOWES INC</t>
  </si>
  <si>
    <t>0000078890-24-000172</t>
  </si>
  <si>
    <t>BRINK’S CO</t>
  </si>
  <si>
    <t>0000950170-24-047140</t>
  </si>
  <si>
    <t>BROWN &amp; BROWN, INC.</t>
  </si>
  <si>
    <t>0001493152-24-019165</t>
  </si>
  <si>
    <t>PORTSMOUTH SQUARE, INC.</t>
  </si>
  <si>
    <t>0000079879-24-000107</t>
  </si>
  <si>
    <t>PPG INDUSTRIES INC</t>
  </si>
  <si>
    <t>0000950170-24-051969</t>
  </si>
  <si>
    <t>Preformed Line Products Company</t>
  </si>
  <si>
    <t>0001437749-24-016001</t>
  </si>
  <si>
    <t>NATIONAL PRESTO INDUSTRIES INC</t>
  </si>
  <si>
    <t>0000080420-24-000059</t>
  </si>
  <si>
    <t>Powell Industries, Inc.</t>
  </si>
  <si>
    <t>0000080424-24-000051</t>
  </si>
  <si>
    <t>PROCTER &amp; GAMBLE CO</t>
  </si>
  <si>
    <t>0000080661-24-000018</t>
  </si>
  <si>
    <t>PROGRESSIVE CORP/OH/</t>
  </si>
  <si>
    <t>0000081018-24-000010</t>
  </si>
  <si>
    <t>PUBLIC SERVICE CO OF COLORADO</t>
  </si>
  <si>
    <t>0000081061-24-000024</t>
  </si>
  <si>
    <t>PUBLIX SUPER MARKETS, INC.</t>
  </si>
  <si>
    <t>0000081362-24-000058</t>
  </si>
  <si>
    <t>QUAKER CHEMICAL CORPORATION</t>
  </si>
  <si>
    <t>0000950170-24-058202</t>
  </si>
  <si>
    <t>Rand Capital Corporation</t>
  </si>
  <si>
    <t>UNITED STATES LIME &amp; MINERALS INC</t>
  </si>
  <si>
    <t>0001493152-24-024329</t>
  </si>
  <si>
    <t>INNSUITES HOSPITALITY TRUST</t>
  </si>
  <si>
    <t>0000082811-24-000088</t>
  </si>
  <si>
    <t>REGAL REXNORD CORP</t>
  </si>
  <si>
    <t>0000083246-24-000009</t>
  </si>
  <si>
    <t>HSBC USA Inc.</t>
  </si>
  <si>
    <t>0000083350-24-000013</t>
  </si>
  <si>
    <t>RESERVE PETROLEUM CO</t>
  </si>
  <si>
    <t>RLI Corp</t>
  </si>
  <si>
    <t>0000084748-24-000028</t>
  </si>
  <si>
    <t>ROGERS CORP</t>
  </si>
  <si>
    <t>0000084839-24-000070</t>
  </si>
  <si>
    <t>ROLLINS, INC.</t>
  </si>
  <si>
    <t>0000085535-24-000010</t>
  </si>
  <si>
    <t>Royal Gold, Inc</t>
  </si>
  <si>
    <t>0000085961-24-000078</t>
  </si>
  <si>
    <t>RYDER SYSTEM, INC.</t>
  </si>
  <si>
    <t>0000086312-24-000032</t>
  </si>
  <si>
    <t>Travelers Companies, Inc.</t>
  </si>
  <si>
    <t>0001213900-24-066356</t>
  </si>
  <si>
    <t>NEONODE INC.</t>
  </si>
  <si>
    <t>SE-</t>
  </si>
  <si>
    <t>0000950170-24-047250</t>
  </si>
  <si>
    <t>SCHLUMBERGER LIMITED/NV</t>
  </si>
  <si>
    <t>0001654954-24-010640</t>
  </si>
  <si>
    <t>SCIENTIFIC INDUSTRIES, INC.</t>
  </si>
  <si>
    <t>0000950170-24-089245</t>
  </si>
  <si>
    <t>SCOTT’S LIQUID GOLD-INC.</t>
  </si>
  <si>
    <t>0000088205-24-000039</t>
  </si>
  <si>
    <t>SPX TECHNOLOGIES, INC.</t>
  </si>
  <si>
    <t>0000088941-24-000065</t>
  </si>
  <si>
    <t>SEMTECH CORP</t>
  </si>
  <si>
    <t>0000089089-24-000093</t>
  </si>
  <si>
    <t>SERVICE CORPORATION INTERNATIONAL</t>
  </si>
  <si>
    <t>0001437749-24-025282</t>
  </si>
  <si>
    <t>SERVOTRONICS INC /DE/</t>
  </si>
  <si>
    <t>0000089439-24-000025</t>
  </si>
  <si>
    <t>MUELLER INDUSTRIES INC</t>
  </si>
  <si>
    <t>0000089800-24-000157</t>
  </si>
  <si>
    <t>THE SHERWIN-WILLIAMS COMPANY</t>
  </si>
  <si>
    <t>0000090168-24-000014</t>
  </si>
  <si>
    <t>SIFCO Industries, Inc</t>
  </si>
  <si>
    <t>0001628280-24-021044</t>
  </si>
  <si>
    <t>SIMMONS FIRST NATIONAL CORP</t>
  </si>
  <si>
    <t>0000091142-24-000132</t>
  </si>
  <si>
    <t>A. O. Smith Corporation</t>
  </si>
  <si>
    <t>0000091440-24-000029</t>
  </si>
  <si>
    <t>Snap-on Inc</t>
  </si>
  <si>
    <t>0000091576-24-000066</t>
  </si>
  <si>
    <t>KeyCorp</t>
  </si>
  <si>
    <t>0000091767-24-000029</t>
  </si>
  <si>
    <t>Sonoco Products Company</t>
  </si>
  <si>
    <t>US-SC</t>
  </si>
  <si>
    <t>0000950170-24-051712</t>
  </si>
  <si>
    <t>DOMINION ENERGY SOUTH CAROLINA, INC.</t>
  </si>
  <si>
    <t>0000092380-24-000055</t>
  </si>
  <si>
    <t>SOUTHWEST AIRLINES CO.</t>
  </si>
  <si>
    <t>0000092521-24-000009</t>
  </si>
  <si>
    <t>SOUTHWESTERN PUBLIC SERVICE CO</t>
  </si>
  <si>
    <t>0001477932-24-004842</t>
  </si>
  <si>
    <t>VolitionRx Limited</t>
  </si>
  <si>
    <t>0001140361-24-023649</t>
  </si>
  <si>
    <t>Standard Motor Products, Inc.</t>
  </si>
  <si>
    <t>0000093410-24-000021</t>
  </si>
  <si>
    <t>Chevron Corp</t>
  </si>
  <si>
    <t>STANLEY BLACK &amp; DECKER, INC.</t>
  </si>
  <si>
    <t>0000093676-24-000010</t>
  </si>
  <si>
    <t>STARRETT L S CO</t>
  </si>
  <si>
    <t>STATE STREET CORPORATION</t>
  </si>
  <si>
    <t>0000950170-24-055552</t>
  </si>
  <si>
    <t>STEPAN COMPANY</t>
  </si>
  <si>
    <t>0000094344-24-000009</t>
  </si>
  <si>
    <t>STEWART INFORMATION SERVICES CORP</t>
  </si>
  <si>
    <t>0000094845-24-000026</t>
  </si>
  <si>
    <t>LEVI STRAUSS &amp; CO</t>
  </si>
  <si>
    <t>0001174947-24-000687</t>
  </si>
  <si>
    <t>STURM, RUGER &amp; COMPANY, INC.</t>
  </si>
  <si>
    <t>0000950170-24-052046</t>
  </si>
  <si>
    <t>SUPERIOR INDUSTRIES INTERNATIONAL, INC.</t>
  </si>
  <si>
    <t>0001437749-24-015127</t>
  </si>
  <si>
    <t>SUPERIOR GROUP OF COMPANIES, INC.</t>
  </si>
  <si>
    <t>0000095953-24-000028</t>
  </si>
  <si>
    <t>Ascent Industries Co.</t>
  </si>
  <si>
    <t>0000096021-24-000043</t>
  </si>
  <si>
    <t>Sysco Corporation</t>
  </si>
  <si>
    <t>0000950170-24-058022</t>
  </si>
  <si>
    <t>TAMPA ELECTRIC COMPANY</t>
  </si>
  <si>
    <t>0001376474-24-000142</t>
  </si>
  <si>
    <t>TAYLOR DEVICES INC</t>
  </si>
  <si>
    <t>0000950170-24-060341</t>
  </si>
  <si>
    <t>SUNLINK HEALTH SYSTEMS, INC.</t>
  </si>
  <si>
    <t>0000096869-24-000008</t>
  </si>
  <si>
    <t>TEJON RANCH CO.</t>
  </si>
  <si>
    <t>TELEFLEX INCORPORATED</t>
  </si>
  <si>
    <t>0000097134-24-000016</t>
  </si>
  <si>
    <t>TENNANT CO</t>
  </si>
  <si>
    <t>0000950170-24-052761</t>
  </si>
  <si>
    <t>TERADYNE, INC.</t>
  </si>
  <si>
    <t>0000097216-24-000099</t>
  </si>
  <si>
    <t>Terex Corporation</t>
  </si>
  <si>
    <t>0000097476-24-000021</t>
  </si>
  <si>
    <t>TEXAS INSTRUMENTS INCORPORATED</t>
  </si>
  <si>
    <t>0001437749-24-014386</t>
  </si>
  <si>
    <t>TIDEWATER INC</t>
  </si>
  <si>
    <t>0001213900-24-033015</t>
  </si>
  <si>
    <t>TSR, Inc.</t>
  </si>
  <si>
    <t>0000098362-24-000053</t>
  </si>
  <si>
    <t>TIMKEN CO</t>
  </si>
  <si>
    <t>0001558370-24-007567</t>
  </si>
  <si>
    <t>TOOTSIE ROLL INDUSTRIES INC</t>
  </si>
  <si>
    <t>0001513162-24-000065</t>
  </si>
  <si>
    <t>TRANS-LUX CORPORATION</t>
  </si>
  <si>
    <t>0000099250-24-000006</t>
  </si>
  <si>
    <t>Transcontinental Gas Pipe Line Company, LLC</t>
  </si>
  <si>
    <t>0000099780-24-000055</t>
  </si>
  <si>
    <t>TRINITY INDUSTRIES INC</t>
  </si>
  <si>
    <t>0001437749-24-015219</t>
  </si>
  <si>
    <t>TWIN DISC INC</t>
  </si>
  <si>
    <t>0000100493-24-000069</t>
  </si>
  <si>
    <t>TYSON FOODS, INC.</t>
  </si>
  <si>
    <t>0000100517-24-000079</t>
  </si>
  <si>
    <t>United Airlines Holdings, Inc.</t>
  </si>
  <si>
    <t>0001558370-24-008969</t>
  </si>
  <si>
    <t>ARGAN INC</t>
  </si>
  <si>
    <t>UNIFI, INC.</t>
  </si>
  <si>
    <t>0000029915-24-000006</t>
  </si>
  <si>
    <t>Union Carbide Corporation</t>
  </si>
  <si>
    <t>0001437749-24-013206</t>
  </si>
  <si>
    <t>UNION PACIFIC CORP</t>
  </si>
  <si>
    <t>US-NE</t>
  </si>
  <si>
    <t>0000101199-24-000056</t>
  </si>
  <si>
    <t>UNITED FIRE GROUP, INC</t>
  </si>
  <si>
    <t>0001171843-24-004675</t>
  </si>
  <si>
    <t>UNITED-GUARDIAN, INC</t>
  </si>
  <si>
    <t>0000950170-24-053990</t>
  </si>
  <si>
    <t>UMB FINANCIAL CORP</t>
  </si>
  <si>
    <t>0001654954-24-010214</t>
  </si>
  <si>
    <t>UNITED STATES ANTIMONY CORPORATION</t>
  </si>
  <si>
    <t>US-MT</t>
  </si>
  <si>
    <t>0001437749-24-025184</t>
  </si>
  <si>
    <t>US ENERGY CORP</t>
  </si>
  <si>
    <t>0000101778-24-000115</t>
  </si>
  <si>
    <t>Marathon Oil Corporation</t>
  </si>
  <si>
    <t>0000101829-24-000012</t>
  </si>
  <si>
    <t>RTX CORPORATION</t>
  </si>
  <si>
    <t>0000101984-24-000132</t>
  </si>
  <si>
    <t>UNIVERSAL ELECTRONICS INC.</t>
  </si>
  <si>
    <t>0000102212-24-000038</t>
  </si>
  <si>
    <t>UNIVEST FINANCIAL CORPORATION</t>
  </si>
  <si>
    <t>Valmont Industries, Inc.</t>
  </si>
  <si>
    <t>0000102752-24-000052</t>
  </si>
  <si>
    <t>VSE CORPORATION</t>
  </si>
  <si>
    <t>0001558370-24-011106</t>
  </si>
  <si>
    <t>VEECO INSTRUMENTS INC.</t>
  </si>
  <si>
    <t>0000103595-24-000008</t>
  </si>
  <si>
    <t>VILLAGE SUPER MARKET, INC.</t>
  </si>
  <si>
    <t>0000103730-24-000084</t>
  </si>
  <si>
    <t>Vishay Intertechnology, Inc.</t>
  </si>
  <si>
    <t>0000104169-24-000105</t>
  </si>
  <si>
    <t>WALMART INC.</t>
  </si>
  <si>
    <t>0000104889-24-000016</t>
  </si>
  <si>
    <t>GRAHAM HOLDINGS CO</t>
  </si>
  <si>
    <t>0000104894-24-000043</t>
  </si>
  <si>
    <t>ELME COMMUNITIES</t>
  </si>
  <si>
    <t>0000950170-24-050788</t>
  </si>
  <si>
    <t>AVISTA CORPORATION</t>
  </si>
  <si>
    <t>0001193125-24-130664</t>
  </si>
  <si>
    <t>WATSCO, INC.</t>
  </si>
  <si>
    <t>0000105132-24-000045</t>
  </si>
  <si>
    <t>WD-40 COMPANY</t>
  </si>
  <si>
    <t>0000950170-24-052105</t>
  </si>
  <si>
    <t>WW INTERNATIONAL, INC.</t>
  </si>
  <si>
    <t>0000105418-24-000038</t>
  </si>
  <si>
    <t>WEIS MARKETS, INC</t>
  </si>
  <si>
    <t>0000105634-24-000013</t>
  </si>
  <si>
    <t>EMCOR Group, Inc.</t>
  </si>
  <si>
    <t>0001214659-24-008656</t>
  </si>
  <si>
    <t>NEW CONCEPT ENERGY, INC.</t>
  </si>
  <si>
    <t>WEST PHARMACEUTICAL SERVICES, INC.</t>
  </si>
  <si>
    <t>0000106040-24-000022</t>
  </si>
  <si>
    <t>WESTERN DIGITAL CORPORATION</t>
  </si>
  <si>
    <t>0001558370-24-007553</t>
  </si>
  <si>
    <t>WEYCO GROUP, INC.</t>
  </si>
  <si>
    <t>0000950170-24-049224</t>
  </si>
  <si>
    <t>WEYERHAEUSER COMPANY</t>
  </si>
  <si>
    <t>0000106640-24-000100</t>
  </si>
  <si>
    <t>WHIRLPOOL CORP /DE/</t>
  </si>
  <si>
    <t>0000107263-24-000063</t>
  </si>
  <si>
    <t>WILLIAMS COMPANIES, INC.</t>
  </si>
  <si>
    <t>0000107687-24-000008</t>
  </si>
  <si>
    <t>WINNEBAGO INDUSTRIES, INC.</t>
  </si>
  <si>
    <t>0000107815-24-000159</t>
  </si>
  <si>
    <t>WISCONSIN PUBLIC SERVICE CORPORATION</t>
  </si>
  <si>
    <t>0000950170-24-052720</t>
  </si>
  <si>
    <t>WOODWARD, INC.</t>
  </si>
  <si>
    <t>0000108385-24-000024</t>
  </si>
  <si>
    <t>WORLD ACCEPTANCE CORPORATION</t>
  </si>
  <si>
    <t>0000950170-24-042963</t>
  </si>
  <si>
    <t>WORTHINGTON ENTERPRISES, INC</t>
  </si>
  <si>
    <t>0000108985-24-000037</t>
  </si>
  <si>
    <t>YORK WATER CO</t>
  </si>
  <si>
    <t>0000109177-24-000022</t>
  </si>
  <si>
    <t>Spectrum Brands Holdings, Inc.</t>
  </si>
  <si>
    <t>0000109198-24-000035</t>
  </si>
  <si>
    <t>The TJX Companies, Inc.</t>
  </si>
  <si>
    <t>0000109380-24-000108</t>
  </si>
  <si>
    <t>ZIONS BANCORPORATION, NATIONAL ASSOCIATION</t>
  </si>
  <si>
    <t>0000109563-24-000033</t>
  </si>
  <si>
    <t>APPLIED INDUSTRIAL TECHNOLOGIES, INC.</t>
  </si>
  <si>
    <t>0001493152-24-019970</t>
  </si>
  <si>
    <t>GT BIOPHARMA, INC.</t>
  </si>
  <si>
    <t>0000110019-24-000006</t>
  </si>
  <si>
    <t>Northwest Pipeline LLC</t>
  </si>
  <si>
    <t>0000110471-24-000110</t>
  </si>
  <si>
    <t>WOLVERINE WORLD WIDE INC /DE/</t>
  </si>
  <si>
    <t>0000950170-24-041744</t>
  </si>
  <si>
    <t>RPM INTERNATIONAL INC/DE/</t>
  </si>
  <si>
    <t>0000200406-24-000049</t>
  </si>
  <si>
    <t>Johnson &amp; Johnson</t>
  </si>
  <si>
    <t>0000202058-24-000103</t>
  </si>
  <si>
    <t>L3HARRIS TECHNOLOGIES, INC.</t>
  </si>
  <si>
    <t>0000950170-24-048739</t>
  </si>
  <si>
    <t>CAPITAL PROPERTIES, INC.</t>
  </si>
  <si>
    <t>0000950170-24-052154</t>
  </si>
  <si>
    <t>WESBANCO, INC.</t>
  </si>
  <si>
    <t>US-WV</t>
  </si>
  <si>
    <t>0000205402-24-000023</t>
  </si>
  <si>
    <t>GRAYBAR ELECTRIC COMPANY, INC.</t>
  </si>
  <si>
    <t>0000215466-24-000095</t>
  </si>
  <si>
    <t>COEUR MINING, INC.</t>
  </si>
  <si>
    <t>0001628280-24-021092</t>
  </si>
  <si>
    <t>HAVERTY FURNITURE COMPANIES, INC</t>
  </si>
  <si>
    <t>0000216228-24-000033</t>
  </si>
  <si>
    <t>ITT INC.</t>
  </si>
  <si>
    <t>0001513162-24-000063</t>
  </si>
  <si>
    <t>PISMO COAST VILLAGE, INC.</t>
  </si>
  <si>
    <t>0000217346-24-000052</t>
  </si>
  <si>
    <t>Textron Inc.</t>
  </si>
  <si>
    <t>0000230557-24-000012</t>
  </si>
  <si>
    <t>SELECTIVE INSURANCE GROUP, INC</t>
  </si>
  <si>
    <t>0001628280-24-021178</t>
  </si>
  <si>
    <t>NATURE’S SUNSHINE PRODUCTS, INC.</t>
  </si>
  <si>
    <t>0000950170-24-050876</t>
  </si>
  <si>
    <t>Parsons Corporation</t>
  </si>
  <si>
    <t>0001558370-24-004922</t>
  </si>
  <si>
    <t>PURE CYCLE CORPORATION</t>
  </si>
  <si>
    <t>0000277135-24-000059</t>
  </si>
  <si>
    <t>W.W. Grainger, Inc.</t>
  </si>
  <si>
    <t>0000277509-24-000020</t>
  </si>
  <si>
    <t>FEDERAL SIGNAL CORPORATION</t>
  </si>
  <si>
    <t>0000277638-24-000015</t>
  </si>
  <si>
    <t>THE DAVEY TREE EXPERT COMPANY</t>
  </si>
  <si>
    <t>0000277948-24-000054</t>
  </si>
  <si>
    <t>CSX CORPORATION</t>
  </si>
  <si>
    <t>0001493152-24-032247</t>
  </si>
  <si>
    <t>OMNIQ Corp.</t>
  </si>
  <si>
    <t>0001140361-24-024653</t>
  </si>
  <si>
    <t>Sensient Technologies Corp</t>
  </si>
  <si>
    <t>0001628280-24-020283</t>
  </si>
  <si>
    <t>Merck &amp; Co., Inc.</t>
  </si>
  <si>
    <t>0001437749-24-014596</t>
  </si>
  <si>
    <t>STANDEX INTERNATIONAL CORP/DE/</t>
  </si>
  <si>
    <t>US-NH</t>
  </si>
  <si>
    <t>0000310522-24-000239</t>
  </si>
  <si>
    <t>FEDERAL NATIONAL MORTGAGE ASSOCIATION FANNIE MAE</t>
  </si>
  <si>
    <t>US-DC</t>
  </si>
  <si>
    <t>0000310764-24-000064</t>
  </si>
  <si>
    <t>STRYKER CORP</t>
  </si>
  <si>
    <t>0001171843-24-002705</t>
  </si>
  <si>
    <t>WESTAMERICA BANCORPORATION</t>
  </si>
  <si>
    <t>0001185185-24-000501</t>
  </si>
  <si>
    <t>INNOVATIVE FOOD HOLDINGS, INC.</t>
  </si>
  <si>
    <t>0000313616-24-000102</t>
  </si>
  <si>
    <t>DANAHER CORPORATION</t>
  </si>
  <si>
    <t>0000950170-24-090144</t>
  </si>
  <si>
    <t>CHURCH &amp; DWIGHT CO., INC.</t>
  </si>
  <si>
    <t>0001558370-24-007329</t>
  </si>
  <si>
    <t>MCEWEN MINING INC.</t>
  </si>
  <si>
    <t>CA-ON</t>
  </si>
  <si>
    <t>0001654954-24-006405</t>
  </si>
  <si>
    <t>TOMI Environmental Solutions, Inc.</t>
  </si>
  <si>
    <t>0000314489-24-000157</t>
  </si>
  <si>
    <t>FIRST BUSEY CORPORATION</t>
  </si>
  <si>
    <t>0000314808-24-000062</t>
  </si>
  <si>
    <t>Valaris Limited</t>
  </si>
  <si>
    <t>BM-</t>
  </si>
  <si>
    <t>0000950170-24-092831</t>
  </si>
  <si>
    <t>PHX MINERALS INC.</t>
  </si>
  <si>
    <t>0001558370-24-008770</t>
  </si>
  <si>
    <t>DEERE &amp; CO</t>
  </si>
  <si>
    <t>ROBERT HALF INC.</t>
  </si>
  <si>
    <t>0001628280-24-018649</t>
  </si>
  <si>
    <t>Aon plc</t>
  </si>
  <si>
    <t>IE-</t>
  </si>
  <si>
    <t>0001558370-24-009007</t>
  </si>
  <si>
    <t>HURCO COMPANIES, INC.</t>
  </si>
  <si>
    <t>0001493152-24-031524</t>
  </si>
  <si>
    <t>PROVECTUS BIOPHARMACEUTICALS, INC.</t>
  </si>
  <si>
    <t>0001558370-24-006529</t>
  </si>
  <si>
    <t>INTERNATIONAL BANCSHARES CORPORATION</t>
  </si>
  <si>
    <t>0000950170-24-116305</t>
  </si>
  <si>
    <t>RANGE RESOURCES CORPORATION</t>
  </si>
  <si>
    <t>0001140361-24-025857</t>
  </si>
  <si>
    <t>CreditRiskMonitor.com, Inc.</t>
  </si>
  <si>
    <t>0001213900-24-052447</t>
  </si>
  <si>
    <t>ENZO BIOCHEM, INC</t>
  </si>
  <si>
    <t>0000316709-24-000044</t>
  </si>
  <si>
    <t>SCHWAB CHARLES CORP</t>
  </si>
  <si>
    <t>0000317540-24-000032</t>
  </si>
  <si>
    <t>COCA-COLA CONSOLIDATED, INC.</t>
  </si>
  <si>
    <t>Amgen Inc.</t>
  </si>
  <si>
    <t>0000318300-24-000195</t>
  </si>
  <si>
    <t>PEOPLES BANCORP INC.</t>
  </si>
  <si>
    <t>0001493152-24-019459</t>
  </si>
  <si>
    <t>ABEONA THERAPEUTICS INC.</t>
  </si>
  <si>
    <t>0001493152-24-032027</t>
  </si>
  <si>
    <t>Security National Financial Corporation</t>
  </si>
  <si>
    <t>0000318833-24-000054</t>
  </si>
  <si>
    <t>TEAM, INC.</t>
  </si>
  <si>
    <t>0000319201-24-000012</t>
  </si>
  <si>
    <t>KLA CORPORATION</t>
  </si>
  <si>
    <t>0001437749-24-026825</t>
  </si>
  <si>
    <t>Enservco Corporation</t>
  </si>
  <si>
    <t>0000320017-24-000031</t>
  </si>
  <si>
    <t>LISATA THERAPEUTICS, INC.</t>
  </si>
  <si>
    <t>0000320121-24-000020</t>
  </si>
  <si>
    <t>TELOS CORPORATION</t>
  </si>
  <si>
    <t>0000320187-24-000019</t>
  </si>
  <si>
    <t>NIKE, Inc.</t>
  </si>
  <si>
    <t>US-OR</t>
  </si>
  <si>
    <t>0000320193-24-000069</t>
  </si>
  <si>
    <t>Apple Inc.</t>
  </si>
  <si>
    <t>0000320335-24-000025</t>
  </si>
  <si>
    <t>GLOBE LIFE INC.</t>
  </si>
  <si>
    <t>CORECARD CORPORATION</t>
  </si>
  <si>
    <t>AUTONATION, INC.</t>
  </si>
  <si>
    <t>0001140361-24-025063</t>
  </si>
  <si>
    <t>COMMUNITY TRUST BANCORP INC /KY/</t>
  </si>
  <si>
    <t>0000350894-24-000084</t>
  </si>
  <si>
    <t>SEI INVESTMENTS COMPANY</t>
  </si>
  <si>
    <t>0000351569-24-000012</t>
  </si>
  <si>
    <t>AMERIS BANCORP</t>
  </si>
  <si>
    <t>0000897101-24-000170</t>
  </si>
  <si>
    <t>ELECTRO SENSORS INC</t>
  </si>
  <si>
    <t>0000351817-24-000084</t>
  </si>
  <si>
    <t>SILVERBOW RESOURCES, INC.</t>
  </si>
  <si>
    <t>0001654954-24-010421</t>
  </si>
  <si>
    <t>DATA I/O CORPORATION</t>
  </si>
  <si>
    <t>0000352541-24-000058</t>
  </si>
  <si>
    <t>ALLIANT ENERGY CORP</t>
  </si>
  <si>
    <t>0000352825-24-000108</t>
  </si>
  <si>
    <t>L.B. Foster Company</t>
  </si>
  <si>
    <t>0000950170-24-055683</t>
  </si>
  <si>
    <t>UNIVERSAL HEALTH SERVICES, INC.</t>
  </si>
  <si>
    <t>0001437749-24-016203</t>
  </si>
  <si>
    <t>CKX Lands, Inc.</t>
  </si>
  <si>
    <t>0001477932-24-002726</t>
  </si>
  <si>
    <t>ADVANCED OXYGEN TECHNOLOGIES, INC.</t>
  </si>
  <si>
    <t>US-VT</t>
  </si>
  <si>
    <t>0000950170-24-050950</t>
  </si>
  <si>
    <t>ARTHUR J. GALLAGHER &amp; CO.</t>
  </si>
  <si>
    <t>0000950170-24-056453</t>
  </si>
  <si>
    <t>CVB FINANCIAL CORP.</t>
  </si>
  <si>
    <t>0000354707-24-000020</t>
  </si>
  <si>
    <t>HAWAIIAN ELECTRIC INDUSTRIES, INC.</t>
  </si>
  <si>
    <t>0000354950-24-000152</t>
  </si>
  <si>
    <t>HOME DEPOT, INC.</t>
  </si>
  <si>
    <t>0001628280-24-020142</t>
  </si>
  <si>
    <t>SHENANDOAH TELECOMMUNICATIONS COMPANY</t>
  </si>
  <si>
    <t>0000355019-24-000022</t>
  </si>
  <si>
    <t>FONAR CORPORATION</t>
  </si>
  <si>
    <t>0000355811-24-000027</t>
  </si>
  <si>
    <t>GENTEX CORPORATION</t>
  </si>
  <si>
    <t>0000950170-24-090651</t>
  </si>
  <si>
    <t>RICHARDSON ELECTRONICS, LTD.</t>
  </si>
  <si>
    <t>0000356037-24-000028</t>
  </si>
  <si>
    <t>CSP Inc</t>
  </si>
  <si>
    <t>0000356171-24-000020</t>
  </si>
  <si>
    <t>TriCo Bancshares</t>
  </si>
  <si>
    <t>0000356309-24-000043</t>
  </si>
  <si>
    <t>NEW JERSEY RESOURCES CORPORATION</t>
  </si>
  <si>
    <t>0000357173-24-000035</t>
  </si>
  <si>
    <t>OLD SECOND BANCORP INC</t>
  </si>
  <si>
    <t>0001140361-24-036598</t>
  </si>
  <si>
    <t>TRUSTCO BANK CORP NY</t>
  </si>
  <si>
    <t>0000700564-24-000022</t>
  </si>
  <si>
    <t>FULTON FINANCIAL CORP</t>
  </si>
  <si>
    <t>0000950170-24-054010</t>
  </si>
  <si>
    <t>FIRST MID BANCSHARES, INC.</t>
  </si>
  <si>
    <t>VICTORY CLEAN ENERGY, INC.</t>
  </si>
  <si>
    <t>0001437749-24-025545</t>
  </si>
  <si>
    <t>RCM TECHNOLOGIES, INC.</t>
  </si>
  <si>
    <t>MYR GROUP INC.</t>
  </si>
  <si>
    <t>0001654954-24-005963</t>
  </si>
  <si>
    <t>Atrion Corporation</t>
  </si>
  <si>
    <t>CENTRAL PACIFIC FINANCIAL CORP</t>
  </si>
  <si>
    <t>0000701374-24-000029</t>
  </si>
  <si>
    <t>Six Flags Entertainment Corporation</t>
  </si>
  <si>
    <t>0001654954-24-005792</t>
  </si>
  <si>
    <t>ENVELA CORPORATION</t>
  </si>
  <si>
    <t>0000701985-24-000018</t>
  </si>
  <si>
    <t>BATH &amp; BODY WORKS, INC.</t>
  </si>
  <si>
    <t>0000702165-24-000035</t>
  </si>
  <si>
    <t>NORFOLK SOUTHERN CORPORATION</t>
  </si>
  <si>
    <t>0000703351-24-000015</t>
  </si>
  <si>
    <t>BRINKER INTERNATIONAL, INC.</t>
  </si>
  <si>
    <t>DISTRIBUTION SOLUTIONS GROUP, INC.</t>
  </si>
  <si>
    <t>0001493152-24-020764</t>
  </si>
  <si>
    <t>PHI GROUP, INC.</t>
  </si>
  <si>
    <t>0001161697-24-000334</t>
  </si>
  <si>
    <t>KORU MEDICAL SYSTEMS, INC.</t>
  </si>
  <si>
    <t>SOUTHSIDE BANCSHARES, INC.</t>
  </si>
  <si>
    <t>0000706129-24-000070</t>
  </si>
  <si>
    <t>HORIZON BANCORP, INC.</t>
  </si>
  <si>
    <t>0000706863-24-000038</t>
  </si>
  <si>
    <t>UNION BANKSHARES, INC.</t>
  </si>
  <si>
    <t>Old National Bancorp</t>
  </si>
  <si>
    <t>0000707388-24-000091</t>
  </si>
  <si>
    <t>Star Equity Holdings, Inc.</t>
  </si>
  <si>
    <t>0000707549-24-000067</t>
  </si>
  <si>
    <t>LAM RESEARCH CORPORATION</t>
  </si>
  <si>
    <t>0001558370-24-007970</t>
  </si>
  <si>
    <t>AMERISERV FINANCIAL INC /PA/</t>
  </si>
  <si>
    <t>0000708781-24-000058</t>
  </si>
  <si>
    <t>CASS INFORMATION SYSTEMS, INC.</t>
  </si>
  <si>
    <t>0000708821-24-000078</t>
  </si>
  <si>
    <t>PAR TECHNOLOGY CORPORATION</t>
  </si>
  <si>
    <t>0000708955-24-000028</t>
  </si>
  <si>
    <t>FIRST FINANCIAL BANCORP /OH/</t>
  </si>
  <si>
    <t>0001654954-24-007662</t>
  </si>
  <si>
    <t>NOBLE ROMAN’S, INC.</t>
  </si>
  <si>
    <t>0000709283-24-000014</t>
  </si>
  <si>
    <t>QUANTUM CORP /DE/</t>
  </si>
  <si>
    <t>0000950170-24-093421</t>
  </si>
  <si>
    <t>FARMERS NATIONAL BANC CORP.</t>
  </si>
  <si>
    <t>0001062993-24-010122</t>
  </si>
  <si>
    <t>THUNDER MOUNTAIN GOLD, INC.</t>
  </si>
  <si>
    <t>US-ID</t>
  </si>
  <si>
    <t>0000950170-24-042952</t>
  </si>
  <si>
    <t>Neogen Corporation</t>
  </si>
  <si>
    <t>0000711404-24-000062</t>
  </si>
  <si>
    <t>The Cooper Companies, Inc.</t>
  </si>
  <si>
    <t>0000711669-24-000061</t>
  </si>
  <si>
    <t>COLONY BANKCORP, INC.</t>
  </si>
  <si>
    <t>0000950170-24-056243</t>
  </si>
  <si>
    <t>CAMBRIDGE BANCORP</t>
  </si>
  <si>
    <t>ACCO Brands Corporation</t>
  </si>
  <si>
    <t>0000712534-24-000162</t>
  </si>
  <si>
    <t>FIRST MERCHANTS CORP</t>
  </si>
  <si>
    <t>0000712537-24-000087</t>
  </si>
  <si>
    <t>FIRST COMMONWEALTH FINANCIAL CORP /PA/</t>
  </si>
  <si>
    <t>0001558370-24-007080</t>
  </si>
  <si>
    <t>ONE LIBERTY PROPERTIES, INC.</t>
  </si>
  <si>
    <t>0001437749-24-014647</t>
  </si>
  <si>
    <t>ConnectOne Bancorp, Inc.</t>
  </si>
  <si>
    <t>0001493152-24-018880</t>
  </si>
  <si>
    <t>SANARA MEDTECH INC.</t>
  </si>
  <si>
    <t>0000714310-24-000151</t>
  </si>
  <si>
    <t>Valley National Bancorp</t>
  </si>
  <si>
    <t>0000714395-24-000036</t>
  </si>
  <si>
    <t>German American Bancorp, Inc.</t>
  </si>
  <si>
    <t>0000714562-24-000028</t>
  </si>
  <si>
    <t>FIRST FINANCIAL CORPORATION</t>
  </si>
  <si>
    <t>0001558370-24-008805</t>
  </si>
  <si>
    <t>JUNIATA VALLEY FINANCIAL CORP</t>
  </si>
  <si>
    <t>0000715072-24-000155</t>
  </si>
  <si>
    <t>RENASANT CORP</t>
  </si>
  <si>
    <t>0001493152-24-022573</t>
  </si>
  <si>
    <t>ANIXA BIOSCIENCES, INC.</t>
  </si>
  <si>
    <t>0000715579-24-000088</t>
  </si>
  <si>
    <t>ACNB CORPORATION</t>
  </si>
  <si>
    <t>0000715787-24-000027</t>
  </si>
  <si>
    <t>INTERFACE INC</t>
  </si>
  <si>
    <t>0000950170-24-051708</t>
  </si>
  <si>
    <t>DOMINION ENERGY, INC.</t>
  </si>
  <si>
    <t>0000950170-24-064351</t>
  </si>
  <si>
    <t>CINCINNATI BELL INC.</t>
  </si>
  <si>
    <t>0000716605-24-000013</t>
  </si>
  <si>
    <t>PENNS WOODS BANCORP INC</t>
  </si>
  <si>
    <t>0000716634-24-000018</t>
  </si>
  <si>
    <t>READING INTERNATIONAL, INC.</t>
  </si>
  <si>
    <t>0000716643-24-000020</t>
  </si>
  <si>
    <t>Regis Corp</t>
  </si>
  <si>
    <t>0000717423-24-000013</t>
  </si>
  <si>
    <t>MURPHY OIL CORPORATION</t>
  </si>
  <si>
    <t>0000717538-24-000076</t>
  </si>
  <si>
    <t>ARROW FINANCIAL CORPORATION</t>
  </si>
  <si>
    <t>0000950170-24-057688</t>
  </si>
  <si>
    <t>FIRST US BANCSHARES INC</t>
  </si>
  <si>
    <t>US-AL</t>
  </si>
  <si>
    <t>0000950170-24-081314</t>
  </si>
  <si>
    <t>UNIFIRST CORPORATION</t>
  </si>
  <si>
    <t>0001140361-24-023848</t>
  </si>
  <si>
    <t>RAVE RESTAURANT GROUP, INC.</t>
  </si>
  <si>
    <t>0001654954-24-010530</t>
  </si>
  <si>
    <t>Community Bancorp./VT</t>
  </si>
  <si>
    <t>0000950170-24-054488</t>
  </si>
  <si>
    <t>STAAR Surgical Co</t>
  </si>
  <si>
    <t>0000719135-24-000026</t>
  </si>
  <si>
    <t>APYX MEDICAL CORPORATION</t>
  </si>
  <si>
    <t>0000719220-24-000037</t>
  </si>
  <si>
    <t>S&amp;T BANCORP INC.</t>
  </si>
  <si>
    <t>0000950170-24-061848</t>
  </si>
  <si>
    <t>GRESHAM WORLDWIDE, INC.</t>
  </si>
  <si>
    <t>0001437749-24-016599</t>
  </si>
  <si>
    <t>FIRST NATIONAL CORP /VA/</t>
  </si>
  <si>
    <t>0000950170-24-056495</t>
  </si>
  <si>
    <t>HECLA MINING CO/DE/</t>
  </si>
  <si>
    <t>0001410578-24-000815</t>
  </si>
  <si>
    <t>INRAD OPTICS, INC.</t>
  </si>
  <si>
    <t>0000719733-24-000113</t>
  </si>
  <si>
    <t>KEY TRONIC CORP</t>
  </si>
  <si>
    <t>0000720005-24-000034</t>
  </si>
  <si>
    <t>RAYMOND JAMES FINANCIAL, INC.</t>
  </si>
  <si>
    <t>0001628280-24-036297</t>
  </si>
  <si>
    <t>INOTIV, INC.</t>
  </si>
  <si>
    <t>0000950170-24-055725</t>
  </si>
  <si>
    <t>AMTECH SYSTEMS, INC.</t>
  </si>
  <si>
    <t>0000950170-24-055125</t>
  </si>
  <si>
    <t>STIFEL FINANCIAL CORP</t>
  </si>
  <si>
    <t>0001493152-24-023120</t>
  </si>
  <si>
    <t>NON INVASIVE MONITORING SYSTEMS INC /FL/</t>
  </si>
  <si>
    <t>0000720858-24-000007</t>
  </si>
  <si>
    <t>INVESTORS TITLE CO</t>
  </si>
  <si>
    <t>0001062993-24-009696</t>
  </si>
  <si>
    <t>Dynatronics Corporation</t>
  </si>
  <si>
    <t>0000721371-24-000056</t>
  </si>
  <si>
    <t>Cardinal Health, Inc.</t>
  </si>
  <si>
    <t>0001213900-24-068660</t>
  </si>
  <si>
    <t>SMART POWERR CORP.</t>
  </si>
  <si>
    <t>CN-</t>
  </si>
  <si>
    <t>0000721994-24-000035</t>
  </si>
  <si>
    <t>LAKELAND FINANCIAL CORPORATION</t>
  </si>
  <si>
    <t>0001437749-24-016630</t>
  </si>
  <si>
    <t>NORTECH SYSTEMS INCORPORATED</t>
  </si>
  <si>
    <t>0001683168-24-003524</t>
  </si>
  <si>
    <t>FRANKLIN WIRELESS CORP.</t>
  </si>
  <si>
    <t>0000723125-24-000019</t>
  </si>
  <si>
    <t>Micron Technology, Inc.</t>
  </si>
  <si>
    <t>0001410578-24-000739</t>
  </si>
  <si>
    <t>COMMUNITY BANK SYSTEM, INC.</t>
  </si>
  <si>
    <t>0000723254-24-000018</t>
  </si>
  <si>
    <t>Cintas Corporation</t>
  </si>
  <si>
    <t>0001493152-24-019228</t>
  </si>
  <si>
    <t>LONGWEN GROUP CORP.</t>
  </si>
  <si>
    <t>0000723612-24-000032</t>
  </si>
  <si>
    <t>Avis Budget Group, Inc.</t>
  </si>
  <si>
    <t>0000723646-24-000042</t>
  </si>
  <si>
    <t>FRANKLIN FINANCIAL SERVICES CORPORATION</t>
  </si>
  <si>
    <t>0000723733-24-000006</t>
  </si>
  <si>
    <t>MULTI SOLUTIONS II, INC</t>
  </si>
  <si>
    <t>0001558370-24-012240</t>
  </si>
  <si>
    <t>TRINITY PLACE HOLDINGS INC.</t>
  </si>
  <si>
    <t>0001654954-24-010651</t>
  </si>
  <si>
    <t>CEL-SCI CORPORATION</t>
  </si>
  <si>
    <t>0001683168-24-003323</t>
  </si>
  <si>
    <t>DALRADA FINANCIAL CORPORATION</t>
  </si>
  <si>
    <t>0000726601-24-000024</t>
  </si>
  <si>
    <t>Capital City Bank Group, Inc.</t>
  </si>
  <si>
    <t>0000726728-24-000077</t>
  </si>
  <si>
    <t>REALTY INCOME CORPORATION</t>
  </si>
  <si>
    <t>0000726854-24-000135</t>
  </si>
  <si>
    <t>CITY HOLDING COMPANY</t>
  </si>
  <si>
    <t>0000726865-24-000199</t>
  </si>
  <si>
    <t>THE LINCOLN NATIONAL LIFE INSURANCE COMPANY</t>
  </si>
  <si>
    <t>0001628280-24-022710</t>
  </si>
  <si>
    <t>ACCELERATE DIAGNOSTICS, INC.</t>
  </si>
  <si>
    <t>0001437749-24-026172</t>
  </si>
  <si>
    <t>CADIZ INC</t>
  </si>
  <si>
    <t>0001493152-24-019963</t>
  </si>
  <si>
    <t>Selectis Health, Inc.</t>
  </si>
  <si>
    <t>0001410578-24-001220</t>
  </si>
  <si>
    <t>Enzon Pharmaceuticals, Inc.</t>
  </si>
  <si>
    <t>0000820027-24-000056</t>
  </si>
  <si>
    <t>RIVERSOURCE LIFE INSURANCE COMPANY</t>
  </si>
  <si>
    <t>0000727920-24-000009</t>
  </si>
  <si>
    <t>Equitable Financial Life Insurance Company</t>
  </si>
  <si>
    <t>0001477932-24-004672</t>
  </si>
  <si>
    <t>MIDWEST ENERGY EMISSIONS CORP.</t>
  </si>
  <si>
    <t>0000950170-24-096148</t>
  </si>
  <si>
    <t>PERSPECTIVE THERAPEUTICS, INC.</t>
  </si>
  <si>
    <t>0000728391-24-000037</t>
  </si>
  <si>
    <t>IPALCO ENTERPRISES, INC.</t>
  </si>
  <si>
    <t>0001437749-24-013384</t>
  </si>
  <si>
    <t>J.B. HUNT TRANSPORT SERVICES, INC.</t>
  </si>
  <si>
    <t>BEL FUSE INC /NJ</t>
  </si>
  <si>
    <t>0001193125-24-197630</t>
  </si>
  <si>
    <t>UNITED BANKSHARES INC/WV</t>
  </si>
  <si>
    <t>0000730263-24-000006</t>
  </si>
  <si>
    <t>THOR Industries, Inc.</t>
  </si>
  <si>
    <t>0000950170-24-051310</t>
  </si>
  <si>
    <t>REPLIGEN CORP</t>
  </si>
  <si>
    <t>0001493152-24-032653</t>
  </si>
  <si>
    <t>Tofutti Brands Inc.</t>
  </si>
  <si>
    <t>0001558370-24-006552</t>
  </si>
  <si>
    <t>Adtalem Global Education Inc.</t>
  </si>
  <si>
    <t>0000730708-24-000139</t>
  </si>
  <si>
    <t>Seacoast Banking Corporation of Florida</t>
  </si>
  <si>
    <t>HEALTHCARE SERVICES GROUP, INC.</t>
  </si>
  <si>
    <t>0001999371-24-005970</t>
  </si>
  <si>
    <t>MUNCY COLUMBIA FINANCIAL CORPORATION</t>
  </si>
  <si>
    <t>0000950170-24-052101</t>
  </si>
  <si>
    <t>PACCAR FINANCIAL CORP</t>
  </si>
  <si>
    <t>0001410578-24-000855</t>
  </si>
  <si>
    <t>UNITED BANCORP, INC</t>
  </si>
  <si>
    <t>0000731766-24-000155</t>
  </si>
  <si>
    <t>UnitedHealth Group Incorporated</t>
  </si>
  <si>
    <t>0000731802-24-000023</t>
  </si>
  <si>
    <t>Atmos Energy Corp</t>
  </si>
  <si>
    <t>0001437749-24-016136</t>
  </si>
  <si>
    <t>TRIO-TECH INTERNATIONAL</t>
  </si>
  <si>
    <t>SG-</t>
  </si>
  <si>
    <t>0000732417-24-000023</t>
  </si>
  <si>
    <t>Hills Bancorporation</t>
  </si>
  <si>
    <t>0000732712-24-000029</t>
  </si>
  <si>
    <t>Verizon Communications Inc.</t>
  </si>
  <si>
    <t>0000732717-24-000022</t>
  </si>
  <si>
    <t>AT&amp;T INC.</t>
  </si>
  <si>
    <t>0000950170-24-052579</t>
  </si>
  <si>
    <t>CONTINENTAL RESOURCES, INC</t>
  </si>
  <si>
    <t>0000733590-24-000011</t>
  </si>
  <si>
    <t>TRANSCONTINENTAL REALTY INVESTORS, INC.</t>
  </si>
  <si>
    <t>0001683168-24-005587</t>
  </si>
  <si>
    <t>INTRUSION INC.</t>
  </si>
  <si>
    <t>0000736772-24-000061</t>
  </si>
  <si>
    <t>CNB FINANCIAL CORP/PA</t>
  </si>
  <si>
    <t>0000737468-24-000028</t>
  </si>
  <si>
    <t>Washington Trust Bancorp Inc</t>
  </si>
  <si>
    <t>0000737875-24-000035</t>
  </si>
  <si>
    <t>FIRST KEYSTONE CORPORATION</t>
  </si>
  <si>
    <t>0001437749-24-024542</t>
  </si>
  <si>
    <t>AEMETIS, INC</t>
  </si>
  <si>
    <t>0001140361-24-025172</t>
  </si>
  <si>
    <t>CITIZENS FINANCIAL SERVICES, INC.</t>
  </si>
  <si>
    <t>FIRST OF LONG ISLAND CORP</t>
  </si>
  <si>
    <t>0001437749-24-020196</t>
  </si>
  <si>
    <t>R F INDUSTRIES LTD</t>
  </si>
  <si>
    <t>0001654954-24-006311</t>
  </si>
  <si>
    <t>F&amp;M BANK CORP.</t>
  </si>
  <si>
    <t>0001140361-24-026001</t>
  </si>
  <si>
    <t>OLD POINT FINANCIAL CORP</t>
  </si>
  <si>
    <t>RPC, INC.</t>
  </si>
  <si>
    <t>0001437749-24-013129</t>
  </si>
  <si>
    <t>SHYFT GROUP, INC.</t>
  </si>
  <si>
    <t>0001558370-24-011348</t>
  </si>
  <si>
    <t>BAR HARBOR BANKSHARES</t>
  </si>
  <si>
    <t>US-ME</t>
  </si>
  <si>
    <t>0001213900-24-088583</t>
  </si>
  <si>
    <t>AiADVERTISING, INC.</t>
  </si>
  <si>
    <t>0001410578-24-000733</t>
  </si>
  <si>
    <t>Applied DNA Sciences, Inc.</t>
  </si>
  <si>
    <t>0001437749-24-017104</t>
  </si>
  <si>
    <t>AMERICAN SHARED HOSPITAL SERVICES</t>
  </si>
  <si>
    <t>0001558370-24-005603</t>
  </si>
  <si>
    <t>The St. Joe Company</t>
  </si>
  <si>
    <t>0000745732-24-000050</t>
  </si>
  <si>
    <t>Ross Stores, Inc.</t>
  </si>
  <si>
    <t>0001437749-24-025172</t>
  </si>
  <si>
    <t>Oblong, Inc.</t>
  </si>
  <si>
    <t>0001558370-24-007577</t>
  </si>
  <si>
    <t>New England Realty Associates Limited Partnership</t>
  </si>
  <si>
    <t>0000950170-24-056466</t>
  </si>
  <si>
    <t>EXPEDITORS INTERNATIONAL OF WASHINGTON, INC.</t>
  </si>
  <si>
    <t>0000746598-24-000034</t>
  </si>
  <si>
    <t>BRADY CORP</t>
  </si>
  <si>
    <t>0000746838-24-000013</t>
  </si>
  <si>
    <t>UNISYS CORP</t>
  </si>
  <si>
    <t>0001213900-24-032766</t>
  </si>
  <si>
    <t>SURGE COMPONENTS, INC.</t>
  </si>
  <si>
    <t>0001140361-24-026010</t>
  </si>
  <si>
    <t>Eterna Therapeutics Inc.</t>
  </si>
  <si>
    <t>0000748790-24-000006</t>
  </si>
  <si>
    <t>GLOBAL CLEAN ENERGY HOLDINGS, INC.</t>
  </si>
  <si>
    <t>0000749251-24-000035</t>
  </si>
  <si>
    <t>Gartner, Inc.</t>
  </si>
  <si>
    <t>0001493152-24-018795</t>
  </si>
  <si>
    <t>Imunon, Inc.</t>
  </si>
  <si>
    <t>0001437749-24-016747</t>
  </si>
  <si>
    <t>iCAD INC</t>
  </si>
  <si>
    <t>0000750004-24-000028</t>
  </si>
  <si>
    <t>LIGHT &amp; WONDER, INC.</t>
  </si>
  <si>
    <t>0000950170-24-056531</t>
  </si>
  <si>
    <t>QNB Corp.</t>
  </si>
  <si>
    <t>0000750686-24-000186</t>
  </si>
  <si>
    <t>CAMDEN NATIONAL CORP</t>
  </si>
  <si>
    <t>0000950170-24-050913</t>
  </si>
  <si>
    <t>NNN REIT, INC.</t>
  </si>
  <si>
    <t>0001628280-24-027218</t>
  </si>
  <si>
    <t>VIRCO MFG. CORPORATION</t>
  </si>
  <si>
    <t>0000950170-24-051264</t>
  </si>
  <si>
    <t>VICOR CORPORATION</t>
  </si>
  <si>
    <t>ELECTRONIC SYSTEMS TECHNOLOGY INC</t>
  </si>
  <si>
    <t>McGRATH RENTCORP</t>
  </si>
  <si>
    <t>0000753308-24-000023</t>
  </si>
  <si>
    <t>NEXTERA ENERGY, INC.</t>
  </si>
  <si>
    <t>0001437749-24-015690</t>
  </si>
  <si>
    <t>U S GLOBAL INVESTORS INC</t>
  </si>
  <si>
    <t>0000950170-24-053926</t>
  </si>
  <si>
    <t>UNITIL CORPORATION</t>
  </si>
  <si>
    <t>0000759944-24-000090</t>
  </si>
  <si>
    <t>CITIZENS FINANCIAL GROUP INC/RI</t>
  </si>
  <si>
    <t>0000950170-24-054176</t>
  </si>
  <si>
    <t>BancFirst Corporation</t>
  </si>
  <si>
    <t>0000761648-24-000028</t>
  </si>
  <si>
    <t>CEDAR REALTY TRUST, INC.</t>
  </si>
  <si>
    <t>0001437749-24-028964</t>
  </si>
  <si>
    <t>LSI INDUSTRIES INC.</t>
  </si>
  <si>
    <t>0000763563-24-000060</t>
  </si>
  <si>
    <t>CHEMUNG FINANCIAL CORP</t>
  </si>
  <si>
    <t>0000763744-24-000109</t>
  </si>
  <si>
    <t>LCI INDUSTRIES</t>
  </si>
  <si>
    <t>0001193125-24-136053</t>
  </si>
  <si>
    <t>POPULAR, INC.</t>
  </si>
  <si>
    <t>PR-</t>
  </si>
  <si>
    <t>0001558370-24-011343</t>
  </si>
  <si>
    <t>First United Corporation</t>
  </si>
  <si>
    <t>0001558370-24-006602</t>
  </si>
  <si>
    <t>SOUTHSTATE CORP</t>
  </si>
  <si>
    <t>0000764065-24-000108</t>
  </si>
  <si>
    <t>CLEVELAND-CLIFFS INC.</t>
  </si>
  <si>
    <t>0000764180-24-000057</t>
  </si>
  <si>
    <t>Altria Group, Inc.</t>
  </si>
  <si>
    <t>0001493152-24-019796</t>
  </si>
  <si>
    <t>VBI Vaccines Inc/BC</t>
  </si>
  <si>
    <t>0001437749-24-022964</t>
  </si>
  <si>
    <t>Insteel Industries Inc</t>
  </si>
  <si>
    <t>0000764478-24-000022</t>
  </si>
  <si>
    <t>BEST BUY CO., INC.</t>
  </si>
  <si>
    <t>0000764764-24-000021</t>
  </si>
  <si>
    <t>CATERPILLAR FINANCIAL SERVICES CORPORATION</t>
  </si>
  <si>
    <t>0000765207-24-000027</t>
  </si>
  <si>
    <t>FIRST BANCORP, INC</t>
  </si>
  <si>
    <t>0001628280-24-018706</t>
  </si>
  <si>
    <t>Healthpeak Properties, Inc.</t>
  </si>
  <si>
    <t>0000766404-24-000006</t>
  </si>
  <si>
    <t>MULTI SOFT II, INC</t>
  </si>
  <si>
    <t>0000766421-24-000045</t>
  </si>
  <si>
    <t>ALASKA AIR GROUP, INC.</t>
  </si>
  <si>
    <t>0001493152-24-018873</t>
  </si>
  <si>
    <t>CVD EQUIPMENT CORPORATION</t>
  </si>
  <si>
    <t>SJW GROUP</t>
  </si>
  <si>
    <t>0001185185-24-000843</t>
  </si>
  <si>
    <t>COYNI, INC.</t>
  </si>
  <si>
    <t>0000768835-24-000049</t>
  </si>
  <si>
    <t>BIG LOTS, INC.</t>
  </si>
  <si>
    <t>0000768899-24-000085</t>
  </si>
  <si>
    <t>TrueBlue, Inc.</t>
  </si>
  <si>
    <t>0000769397-24-000150</t>
  </si>
  <si>
    <t>AUTODESK, INC.</t>
  </si>
  <si>
    <t>0000769520-24-000018</t>
  </si>
  <si>
    <t>THE MIDDLEBY CORPORATION</t>
  </si>
  <si>
    <t>0001437749-24-025961</t>
  </si>
  <si>
    <t>PEOPLES FINANCIAL CORPORATION</t>
  </si>
  <si>
    <t>0001493152-24-019194</t>
  </si>
  <si>
    <t>KOPIN CORPORATION</t>
  </si>
  <si>
    <t>0000771497-24-000013</t>
  </si>
  <si>
    <t>ABM INDUSTRIES INCORPORATED</t>
  </si>
  <si>
    <t>0001493152-24-019277</t>
  </si>
  <si>
    <t>DSS,     INC.</t>
  </si>
  <si>
    <t>0001393905-24-000147</t>
  </si>
  <si>
    <t>NITCHES INC.</t>
  </si>
  <si>
    <t>0000773141-24-000039</t>
  </si>
  <si>
    <t>M.D.C. HOLDINGS, INC.</t>
  </si>
  <si>
    <t>0001607062-24-000202</t>
  </si>
  <si>
    <t>VERITEC, INC.</t>
  </si>
  <si>
    <t>0001213900-24-061850</t>
  </si>
  <si>
    <t>AMERICAN CLEAN RESOURCES GROUP, INC.</t>
  </si>
  <si>
    <t>0000773840-24-000051</t>
  </si>
  <si>
    <t>Honeywell International Inc</t>
  </si>
  <si>
    <t>0001096906-24-001021</t>
  </si>
  <si>
    <t>ALTEX INDUSTRIES INC</t>
  </si>
  <si>
    <t>0001628280-24-019634</t>
  </si>
  <si>
    <t>HBT Financial, Inc.</t>
  </si>
  <si>
    <t>0000776867-24-000010</t>
  </si>
  <si>
    <t>WHITE MOUNTAINS INSURANCE GROUP, LTD</t>
  </si>
  <si>
    <t>0000776901-24-000107</t>
  </si>
  <si>
    <t>Independent Bank Corp.</t>
  </si>
  <si>
    <t>0000777917-24-000081</t>
  </si>
  <si>
    <t>PRUCO LIFE INSURANCE CO</t>
  </si>
  <si>
    <t>0001213900-24-066660</t>
  </si>
  <si>
    <t>ALTO INGREDIENTS, INC.</t>
  </si>
  <si>
    <t>0000779152-24-000033</t>
  </si>
  <si>
    <t>JACK HENRY &amp; ASSOCIATES, INC.</t>
  </si>
  <si>
    <t>0000779544-24-000033</t>
  </si>
  <si>
    <t>ARK RESTAURANTS CORP.</t>
  </si>
  <si>
    <t>0000780571-24-000010</t>
  </si>
  <si>
    <t>Itron, Inc.</t>
  </si>
  <si>
    <t>0000783324-24-000048</t>
  </si>
  <si>
    <t>VISTA GOLD CORP.</t>
  </si>
  <si>
    <t>0001437749-24-026890</t>
  </si>
  <si>
    <t>DAILY JOURNAL CORPORATION</t>
  </si>
  <si>
    <t>0000784199-24-000172</t>
  </si>
  <si>
    <t>ARTIVION, INC.</t>
  </si>
  <si>
    <t>0001410578-24-001078</t>
  </si>
  <si>
    <t>EACO CORP</t>
  </si>
  <si>
    <t>0000785161-24-000028</t>
  </si>
  <si>
    <t>Encompass Health Corporation</t>
  </si>
  <si>
    <t>0000785786-24-000033</t>
  </si>
  <si>
    <t>PLEXUS CORP.</t>
  </si>
  <si>
    <t>0001437749-24-025199</t>
  </si>
  <si>
    <t>J&amp;J SNACK FOODS CORP,</t>
  </si>
  <si>
    <t>DPL Inc.</t>
  </si>
  <si>
    <t>0001437749-24-016627</t>
  </si>
  <si>
    <t>NATURAL ALTERNATIVES INTERNATIONAL INC</t>
  </si>
  <si>
    <t>0001829126-24-001862</t>
  </si>
  <si>
    <t>UBUYHOLDINGS, INC.</t>
  </si>
  <si>
    <t>0001140361-24-024242</t>
  </si>
  <si>
    <t>Johnson Outdoors Inc.</t>
  </si>
  <si>
    <t>0001628280-24-019352</t>
  </si>
  <si>
    <t>Public Service Enterprise Group Incorporated</t>
  </si>
  <si>
    <t>0001079973-24-000639</t>
  </si>
  <si>
    <t>PRO-DEX, INC.</t>
  </si>
  <si>
    <t>0001437749-24-015139</t>
  </si>
  <si>
    <t>HALLADOR ENERGY CO</t>
  </si>
  <si>
    <t>0000950170-24-048288</t>
  </si>
  <si>
    <t>MICROSOFT CORPORATION</t>
  </si>
  <si>
    <t>0001628280-24-018474</t>
  </si>
  <si>
    <t>WORLD KINECT CORPORATION</t>
  </si>
  <si>
    <t>0000789570-24-000014</t>
  </si>
  <si>
    <t>MGM Resorts International</t>
  </si>
  <si>
    <t>NACCO INDUSTRIES, INC.</t>
  </si>
  <si>
    <t>0000790051-24-000085</t>
  </si>
  <si>
    <t>CARLISLE COMPANIES INCORPORATED</t>
  </si>
  <si>
    <t>0001554795-24-000185</t>
  </si>
  <si>
    <t>PRESTIGE CAPITAL CORPORATION</t>
  </si>
  <si>
    <t>0001683168-24-005325</t>
  </si>
  <si>
    <t>CONECTISYS CORPORATION</t>
  </si>
  <si>
    <t>0001140361-24-025185</t>
  </si>
  <si>
    <t>NBT BANCORP INC</t>
  </si>
  <si>
    <t>0001628280-24-022619</t>
  </si>
  <si>
    <t>RadNet, Inc.</t>
  </si>
  <si>
    <t>0001213900-24-083303</t>
  </si>
  <si>
    <t>IMAGING DIAGNOSTIC SYSTEMS, INC.</t>
  </si>
  <si>
    <t>0000790816-24-000022</t>
  </si>
  <si>
    <t>Brandywine Realty Trust</t>
  </si>
  <si>
    <t>0001558370-24-011980</t>
  </si>
  <si>
    <t>XOMA Royalty Corporation</t>
  </si>
  <si>
    <t>0000791963-24-000026</t>
  </si>
  <si>
    <t>OPPENHEIMER HOLDINGS INC.</t>
  </si>
  <si>
    <t>0001903596-24-000371</t>
  </si>
  <si>
    <t>ETHEMA HEALTH CORPORATION.</t>
  </si>
  <si>
    <t>0000950170-24-092627</t>
  </si>
  <si>
    <t>FARMERS &amp; MERCHANTS BANCORP, INC.</t>
  </si>
  <si>
    <t>0000792987-24-000027</t>
  </si>
  <si>
    <t>Astec Industries, Inc.</t>
  </si>
  <si>
    <t>0000793074-24-000037</t>
  </si>
  <si>
    <t>WERNER ENTERPRISES, INC.</t>
  </si>
  <si>
    <t>0001493152-24-036326</t>
  </si>
  <si>
    <t>VITRO BIOPHARMA, INC.</t>
  </si>
  <si>
    <t>0001437749-24-017113</t>
  </si>
  <si>
    <t>BLUE DOLPHIN ENERGY CO</t>
  </si>
  <si>
    <t>0001493152-24-018416</t>
  </si>
  <si>
    <t>RESEARCH FRONTIERS INCORPORATED</t>
  </si>
  <si>
    <t>0000793952-24-000103</t>
  </si>
  <si>
    <t>Harley-Davidson, Inc.</t>
  </si>
  <si>
    <t>0000794170-24-000035</t>
  </si>
  <si>
    <t>Toll Brothers, Inc.</t>
  </si>
  <si>
    <t>0000794323-24-000006</t>
  </si>
  <si>
    <t>LEVEL 3 PARENT, LLC</t>
  </si>
  <si>
    <t>0001628280-24-039219</t>
  </si>
  <si>
    <t>Macy's, Inc.</t>
  </si>
  <si>
    <t>0000795266-24-000060</t>
  </si>
  <si>
    <t>KB HOME</t>
  </si>
  <si>
    <t>0001558370-24-007502</t>
  </si>
  <si>
    <t>WATTS WATER TECHNOLOGIES INC</t>
  </si>
  <si>
    <t>0000796343-24-000065</t>
  </si>
  <si>
    <t>ADOBE INC.</t>
  </si>
  <si>
    <t>0001171843-24-002599</t>
  </si>
  <si>
    <t>Clearfield, Inc.</t>
  </si>
  <si>
    <t>0001437749-24-016875</t>
  </si>
  <si>
    <t>NATIONAL BANKSHARES INC</t>
  </si>
  <si>
    <t>0001437749-24-016618</t>
  </si>
  <si>
    <t>HG Holdings, Inc.</t>
  </si>
  <si>
    <t>0000797468-24-000095</t>
  </si>
  <si>
    <t>OCCIDENTAL PETROLEUM CORPORATION</t>
  </si>
  <si>
    <t>0001493152-24-020755</t>
  </si>
  <si>
    <t>VIEWBIX INC.</t>
  </si>
  <si>
    <t>IL-</t>
  </si>
  <si>
    <t>0001674796-24-000015</t>
  </si>
  <si>
    <t>HST Global, Inc.</t>
  </si>
  <si>
    <t>0001654954-24-007442</t>
  </si>
  <si>
    <t>LAKELAND INDUSTRIES, INC.</t>
  </si>
  <si>
    <t>0001437749-24-024895</t>
  </si>
  <si>
    <t>PAM TRANSPORTATION SERVICES INC</t>
  </si>
  <si>
    <t>0000798354-24-000100</t>
  </si>
  <si>
    <t>FISERV, INC.</t>
  </si>
  <si>
    <t>0000798359-24-000039</t>
  </si>
  <si>
    <t>CENTERSPACE</t>
  </si>
  <si>
    <t>0001193125-24-141913</t>
  </si>
  <si>
    <t>ODYSSEY MARINE EXPLORATION, INC.</t>
  </si>
  <si>
    <t>0000950170-24-055718</t>
  </si>
  <si>
    <t>UNIVERSAL HEALTH REALTY INCOME TRUST</t>
  </si>
  <si>
    <t>0000798941-24-000031</t>
  </si>
  <si>
    <t>FIRST CITIZENS BANCSHARES INC /DE/</t>
  </si>
  <si>
    <t>0001558370-24-012071</t>
  </si>
  <si>
    <t>DAWSON GEOPHYSICAL COMPANY</t>
  </si>
  <si>
    <t>0001437749-24-025273</t>
  </si>
  <si>
    <t>MARTEN TRANSPORT, LTD.</t>
  </si>
  <si>
    <t>0000799233-24-000030</t>
  </si>
  <si>
    <t>HEARTLAND EXPRESS INC</t>
  </si>
  <si>
    <t>0000950170-24-104054</t>
  </si>
  <si>
    <t>Lands’ End, Inc.</t>
  </si>
  <si>
    <t>0000799292-24-000039</t>
  </si>
  <si>
    <t>M/I HOMES, INC.</t>
  </si>
  <si>
    <t>0001493152-24-031792</t>
  </si>
  <si>
    <t>LadRx Corporation</t>
  </si>
  <si>
    <t>0000950170-24-092633</t>
  </si>
  <si>
    <t>The ODP Corporation</t>
  </si>
  <si>
    <t>0001140361-24-036147</t>
  </si>
  <si>
    <t>Donegal Group Inc.</t>
  </si>
  <si>
    <t>0000801337-24-000014</t>
  </si>
  <si>
    <t>WEBSTER FINANCIAL CORPORATION</t>
  </si>
  <si>
    <t>0001185185-24-000820</t>
  </si>
  <si>
    <t>MITESCO, INC.</t>
  </si>
  <si>
    <t>0000802481-24-000036</t>
  </si>
  <si>
    <t>PILGRIM’S PRIDE CORPORATION</t>
  </si>
  <si>
    <t>0000950170-24-054451</t>
  </si>
  <si>
    <t>ChoiceOne Financial Services, Inc.</t>
  </si>
  <si>
    <t>0001437749-24-027242</t>
  </si>
  <si>
    <t>FIREFLY NEUROSCIENCE, INC.</t>
  </si>
  <si>
    <t>0000803649-24-000039</t>
  </si>
  <si>
    <t>EQUITY COMMONWEALTH</t>
  </si>
  <si>
    <t>0000804269-24-000022</t>
  </si>
  <si>
    <t>General Motors Financial Company, Inc.</t>
  </si>
  <si>
    <t>0000804328-24-000039</t>
  </si>
  <si>
    <t>QUALCOMM INC/DE</t>
  </si>
  <si>
    <t>0000805676-24-000081</t>
  </si>
  <si>
    <t>PARK NATIONAL CORPORATION</t>
  </si>
  <si>
    <t>0000805928-24-000072</t>
  </si>
  <si>
    <t>Axogen, Inc.</t>
  </si>
  <si>
    <t>0000806279-24-000058</t>
  </si>
  <si>
    <t>CODORUS VALLEY BANCORP, INC.</t>
  </si>
  <si>
    <t>0001171843-24-002876</t>
  </si>
  <si>
    <t>PSYCHEMEDICS CORPORATION</t>
  </si>
  <si>
    <t>0000807863-24-000053</t>
  </si>
  <si>
    <t>MITEK SYSTEMS, INC.</t>
  </si>
  <si>
    <t>0000807882-24-000033</t>
  </si>
  <si>
    <t>JACK IN THE BOX INC.</t>
  </si>
  <si>
    <t>0000808326-24-000021</t>
  </si>
  <si>
    <t>EMCORE Corporation</t>
  </si>
  <si>
    <t>0000809248-24-000061</t>
  </si>
  <si>
    <t>CARROLS RESTAURANT GROUP, INC.</t>
  </si>
  <si>
    <t>0001140361-24-029174</t>
  </si>
  <si>
    <t>PHOTRONICS, INC.</t>
  </si>
  <si>
    <t>0000950170-24-114741</t>
  </si>
  <si>
    <t>MESA AIR GROUP, INC.</t>
  </si>
  <si>
    <t>0001558370-24-007016</t>
  </si>
  <si>
    <t>CITIZENS &amp; NORTHERN CORPORATION</t>
  </si>
  <si>
    <t>0000811156-24-000084</t>
  </si>
  <si>
    <t>CMS ENERGY CORPORATION</t>
  </si>
  <si>
    <t>0001683168-24-007192</t>
  </si>
  <si>
    <t>CARDIFF LEXINGTON CORPORATION</t>
  </si>
  <si>
    <t>0000950170-24-058704</t>
  </si>
  <si>
    <t>BIOLASE, INC.</t>
  </si>
  <si>
    <t>0000811532-24-000079</t>
  </si>
  <si>
    <t>CEDAR FAIR, L.P.</t>
  </si>
  <si>
    <t>0000811589-24-000035</t>
  </si>
  <si>
    <t>FIRST BANCORP</t>
  </si>
  <si>
    <t>KAISER ALUMINUM CORPORATION</t>
  </si>
  <si>
    <t>0001213900-24-042925</t>
  </si>
  <si>
    <t>ImmuCell Corporation</t>
  </si>
  <si>
    <t>0001437749-24-014354</t>
  </si>
  <si>
    <t>SUMMIT FINANCIAL GROUP, INC.</t>
  </si>
  <si>
    <t>0000811830-24-000020</t>
  </si>
  <si>
    <t>SANTANDER HOLDINGS USA, INC.</t>
  </si>
  <si>
    <t>0000812011-24-000060</t>
  </si>
  <si>
    <t>Vail Resorts, Inc.</t>
  </si>
  <si>
    <t>0001558370-24-006397</t>
  </si>
  <si>
    <t>O-I GLASS, INC.</t>
  </si>
  <si>
    <t>0001410578-24-001185</t>
  </si>
  <si>
    <t>RIDGEFIELD ACQUISITION CORP</t>
  </si>
  <si>
    <t>PROCYON CORPORATION</t>
  </si>
  <si>
    <t>0001558370-24-007782</t>
  </si>
  <si>
    <t>SOLIGENIX, INC.</t>
  </si>
  <si>
    <t>DESTINATION XL GROUP, INC.</t>
  </si>
  <si>
    <t>0000813672-24-000092</t>
  </si>
  <si>
    <t>CADENCE DESIGN SYSTEMS, INC.</t>
  </si>
  <si>
    <t>0001493152-24-033786</t>
  </si>
  <si>
    <t>CirTran Corporation</t>
  </si>
  <si>
    <t>0001558370-24-007379</t>
  </si>
  <si>
    <t>ICAHN ENTERPRISES L.P.</t>
  </si>
  <si>
    <t>0000813828-24-000020</t>
  </si>
  <si>
    <t>Paramount Global</t>
  </si>
  <si>
    <t>0000814453-24-000058</t>
  </si>
  <si>
    <t>NEWELL BRANDS INC</t>
  </si>
  <si>
    <t>0000814547-24-000016</t>
  </si>
  <si>
    <t>Fair Isaac Corp</t>
  </si>
  <si>
    <t>0000950170-24-057012</t>
  </si>
  <si>
    <t>MBIA INC.</t>
  </si>
  <si>
    <t>0001683168-24-005522</t>
  </si>
  <si>
    <t>LIFEWAY FOODS, INC.</t>
  </si>
  <si>
    <t>0001437749-24-015003</t>
  </si>
  <si>
    <t>CPS TECHNOLOGIES CORP/DE/</t>
  </si>
  <si>
    <t>0001903596-24-000493</t>
  </si>
  <si>
    <t>CAPSTONE COMPANIES, INC.</t>
  </si>
  <si>
    <t>0000815097-24-000035</t>
  </si>
  <si>
    <t>Carnival Corporation</t>
  </si>
  <si>
    <t>0000815556-24-000019</t>
  </si>
  <si>
    <t>FASTENAL CO</t>
  </si>
  <si>
    <t>0000950170-24-057529</t>
  </si>
  <si>
    <t>JONES FINANCIAL COMPANIES LLLP</t>
  </si>
  <si>
    <t>0000816761-24-000146</t>
  </si>
  <si>
    <t>TERADATA CORPORATION</t>
  </si>
  <si>
    <t>0000816956-24-000006</t>
  </si>
  <si>
    <t>CONMED CORPORATION</t>
  </si>
  <si>
    <t>0000950170-24-057227</t>
  </si>
  <si>
    <t>SYNAPTICS INCORPORATED</t>
  </si>
  <si>
    <t>0000950170-24-091764</t>
  </si>
  <si>
    <t>HERON THERAPEUTICS, INC. /DE/</t>
  </si>
  <si>
    <t>0000818479-24-000036</t>
  </si>
  <si>
    <t>DENTSPLY SIRONA Inc.</t>
  </si>
  <si>
    <t>0001437749-24-025690</t>
  </si>
  <si>
    <t>SECURITY FEDERAL CORP</t>
  </si>
  <si>
    <t>0001193125-24-134200</t>
  </si>
  <si>
    <t>TEVA PHARMACEUTICAL INDUSTRIES LIMITED</t>
  </si>
  <si>
    <t>0000819793-24-000033</t>
  </si>
  <si>
    <t>ALBANY INTERNATIONAL CORP.</t>
  </si>
  <si>
    <t>0000820027-24-000055</t>
  </si>
  <si>
    <t>AMERIPRISE FINANCIAL, INC.</t>
  </si>
  <si>
    <t>0001558370-24-005928</t>
  </si>
  <si>
    <t>AMPHENOL CORPORATION</t>
  </si>
  <si>
    <t>0000820318-24-000009</t>
  </si>
  <si>
    <t>COHERENT CORP.</t>
  </si>
  <si>
    <t>0001558370-24-008959</t>
  </si>
  <si>
    <t>G III APPAREL GROUP LTD /DE/</t>
  </si>
  <si>
    <t>0000821026-24-000141</t>
  </si>
  <si>
    <t>ANDERSONS, INC.</t>
  </si>
  <si>
    <t>0000821130-24-000028</t>
  </si>
  <si>
    <t>UNITED STATES CELLULAR CORPORATION</t>
  </si>
  <si>
    <t>0000821189-24-000021</t>
  </si>
  <si>
    <t>EOG RESOURCES, INC.</t>
  </si>
  <si>
    <t>0000821483-24-000022</t>
  </si>
  <si>
    <t>PAR PACIFIC HOLDINGS, INC.</t>
  </si>
  <si>
    <t>0000950170-24-105016</t>
  </si>
  <si>
    <t>EMMAUS LIFE SCIENCES, INC.</t>
  </si>
  <si>
    <t>0000822416-24-000016</t>
  </si>
  <si>
    <t>PULTEGROUP INC/MI/</t>
  </si>
  <si>
    <t>0001753926-24-000926</t>
  </si>
  <si>
    <t>INTER PARFUMS, INC.</t>
  </si>
  <si>
    <t>CLEAN HARBORS, INC</t>
  </si>
  <si>
    <t>0000823277-24-000019</t>
  </si>
  <si>
    <t>CHS Inc.</t>
  </si>
  <si>
    <t>0001558370-24-005734</t>
  </si>
  <si>
    <t>Waste Management, Inc</t>
  </si>
  <si>
    <t>0000824142-24-000120</t>
  </si>
  <si>
    <t>AAON, INC.</t>
  </si>
  <si>
    <t>0000824410-24-000019</t>
  </si>
  <si>
    <t>SANDY SPRING BANCORP, INC.</t>
  </si>
  <si>
    <t>0000825313-24-000037</t>
  </si>
  <si>
    <t>ALLIANCEBERNSTEIN HOLDING L.P.</t>
  </si>
  <si>
    <t>0001214659-24-013547</t>
  </si>
  <si>
    <t>Good Times Restaurants Inc.</t>
  </si>
  <si>
    <t>0001493152-24-032041</t>
  </si>
  <si>
    <t>DIVALL INSURED INCOME PROPERTIES 2 LIMITED PARTNERSHIP</t>
  </si>
  <si>
    <t>0000826154-24-000096</t>
  </si>
  <si>
    <t>ORRSTOWN FINANCIAL SERVICES, INC.</t>
  </si>
  <si>
    <t>0000826675-24-000051</t>
  </si>
  <si>
    <t>DYNEX CAPITAL, INC.</t>
  </si>
  <si>
    <t>0000827187-24-000071</t>
  </si>
  <si>
    <t>SLEEP NUMBER CORPORATION</t>
  </si>
  <si>
    <t>0000950170-24-056330</t>
  </si>
  <si>
    <t>CleanSpark, Inc.</t>
  </si>
  <si>
    <t>0001410578-24-000702</t>
  </si>
  <si>
    <t>INTERLINK ELECTRONICS, INC</t>
  </si>
  <si>
    <t>0001553350-24-000013</t>
  </si>
  <si>
    <t>ADMIRAL FINANCIAL CORP.</t>
  </si>
  <si>
    <t>0001628280-24-020601</t>
  </si>
  <si>
    <t>WSFS FINANCIAL CORPORATION</t>
  </si>
  <si>
    <t>0000829224-24-000024</t>
  </si>
  <si>
    <t>Starbucks Corporation</t>
  </si>
  <si>
    <t>0001654954-24-010179</t>
  </si>
  <si>
    <t>INUVO, INC.</t>
  </si>
  <si>
    <t>0001558370-24-010649</t>
  </si>
  <si>
    <t>SCI ENGINEERED MATERIALS, INC.</t>
  </si>
  <si>
    <t>0001493152-24-035352</t>
  </si>
  <si>
    <t>PRESSURE BIOSCIENCES, INC.</t>
  </si>
  <si>
    <t>0000831001-24-000051</t>
  </si>
  <si>
    <t>Citigroup Inc</t>
  </si>
  <si>
    <t>0001477932-24-005628</t>
  </si>
  <si>
    <t>LVPAI GROUP LIMITED</t>
  </si>
  <si>
    <t>0001062993-24-015231</t>
  </si>
  <si>
    <t>C21 Investments Inc.</t>
  </si>
  <si>
    <t>CA-</t>
  </si>
  <si>
    <t>0000832101-24-000016</t>
  </si>
  <si>
    <t>IDEX CORP</t>
  </si>
  <si>
    <t>0001140361-24-025691</t>
  </si>
  <si>
    <t>UTG, INC.</t>
  </si>
  <si>
    <t>0001437749-24-024867</t>
  </si>
  <si>
    <t>GEOVAX LABS, INC.</t>
  </si>
  <si>
    <t>0000832988-24-000192</t>
  </si>
  <si>
    <t>SIGNET JEWELERS LIMITED</t>
  </si>
  <si>
    <t>Meritage Homes Corporation</t>
  </si>
  <si>
    <t>0000833444-24-000029</t>
  </si>
  <si>
    <t>JOHNSON CONTROLS INTERNATIONAL PLC</t>
  </si>
  <si>
    <t>0000833640-24-000107</t>
  </si>
  <si>
    <t>POWER INTEGRATIONS, INC.</t>
  </si>
  <si>
    <t>0000950170-24-068427</t>
  </si>
  <si>
    <t>TOYOTA MOTOR CREDIT CORPORATION</t>
  </si>
  <si>
    <t>0001628280-24-022690</t>
  </si>
  <si>
    <t>BioLife Solutions, Inc.</t>
  </si>
  <si>
    <t>0001628280-24-019790</t>
  </si>
  <si>
    <t>MGP INGREDIENTS, INC.</t>
  </si>
  <si>
    <t>0001437749-24-024800</t>
  </si>
  <si>
    <t>STOCK YARDS BANCORP, INC.</t>
  </si>
  <si>
    <t>0000835357-24-000007</t>
  </si>
  <si>
    <t>EQUITABLE FINANCIAL LIFE INSURANCE COMPANY OF AMERICA</t>
  </si>
  <si>
    <t>AIXIN LIFE INTERNATIONAL, INC.</t>
  </si>
  <si>
    <t>0001437749-24-016603</t>
  </si>
  <si>
    <t>Middlefield Banc Corp.</t>
  </si>
  <si>
    <t>0000950170-24-041804</t>
  </si>
  <si>
    <t>Lindsay Corporation</t>
  </si>
  <si>
    <t>0001683168-24-003375</t>
  </si>
  <si>
    <t>MOSAIC IMMUNOENGINEERING, INC.</t>
  </si>
  <si>
    <t>0001558370-24-012215</t>
  </si>
  <si>
    <t>INNOVATIVE SOLUTIONS AND SUPPORT, INC.</t>
  </si>
  <si>
    <t>0000837010-24-000036</t>
  </si>
  <si>
    <t>VOYA RETIREMENT INSURANCE &amp; ANNUITY CO</t>
  </si>
  <si>
    <t>0000837465-24-000032</t>
  </si>
  <si>
    <t>Topgolf Callaway Brands Corp.</t>
  </si>
  <si>
    <t>0001199835-24-000317</t>
  </si>
  <si>
    <t>WILLAMETTE VALLEY VINEYARDS, INC.</t>
  </si>
  <si>
    <t>0001213900-24-068957</t>
  </si>
  <si>
    <t>VASO CORPORATION</t>
  </si>
  <si>
    <t>0001558370-24-008136</t>
  </si>
  <si>
    <t>WESTWATER RESOURCES, INC.</t>
  </si>
  <si>
    <t>FIRSTCASH HOLDINGS, INC.</t>
  </si>
  <si>
    <t>0001753926-24-000998</t>
  </si>
  <si>
    <t>CLEARONE INC</t>
  </si>
  <si>
    <t>0001558370-24-006803</t>
  </si>
  <si>
    <t>BIO-TECHNE Corp</t>
  </si>
  <si>
    <t>0000842162-24-000032</t>
  </si>
  <si>
    <t>LEAR CORP</t>
  </si>
  <si>
    <t>0000842517-24-000088</t>
  </si>
  <si>
    <t>Isabella Bank Corp</t>
  </si>
  <si>
    <t>0000842633-24-000072</t>
  </si>
  <si>
    <t>TRIMAS CORPORATION</t>
  </si>
  <si>
    <t>0000950170-24-055532</t>
  </si>
  <si>
    <t>BLUE RIDGE BANKSHARES, INC.</t>
  </si>
  <si>
    <t>0001654954-24-010184</t>
  </si>
  <si>
    <t>Issuer Direct Corporation</t>
  </si>
  <si>
    <t>0000844059-24-000032</t>
  </si>
  <si>
    <t>FRP HOLDINGS, INC.</t>
  </si>
  <si>
    <t>0001493152-24-018493</t>
  </si>
  <si>
    <t>HEALTHIER CHOICES MANAGEMENT CORP.</t>
  </si>
  <si>
    <t>0001493152-24-032002</t>
  </si>
  <si>
    <t>DIAMONDHEAD CASINO CORPORATION</t>
  </si>
  <si>
    <t>0000844965-24-000052</t>
  </si>
  <si>
    <t>TETRA Technologies, Inc.</t>
  </si>
  <si>
    <t>0001213900-24-042907</t>
  </si>
  <si>
    <t>PRINCETON CAPITAL CORPORATION</t>
  </si>
  <si>
    <t>0001558370-24-012185</t>
  </si>
  <si>
    <t>GRANT PARK FUTURES FUND LIMITED PARTNERSHIP</t>
  </si>
  <si>
    <t>0001515971-24-000051</t>
  </si>
  <si>
    <t>KonaTel, Inc.</t>
  </si>
  <si>
    <t>0000845877-24-000201</t>
  </si>
  <si>
    <t>FEDERAL AGRICULTURAL MORTGAGE CORPORATION</t>
  </si>
  <si>
    <t>0001558370-24-006284</t>
  </si>
  <si>
    <t>Zynex, Inc.</t>
  </si>
  <si>
    <t>CO-</t>
  </si>
  <si>
    <t>0000846617-24-000053</t>
  </si>
  <si>
    <t>DIME COMMUNITY BANCSHARES, INC.</t>
  </si>
  <si>
    <t>0000846901-24-000005</t>
  </si>
  <si>
    <t>LAKELAND BANCORP, INC</t>
  </si>
  <si>
    <t>0001437749-24-024919</t>
  </si>
  <si>
    <t>FUEL TECH, INC.</t>
  </si>
  <si>
    <t>0001493152-24-031284</t>
  </si>
  <si>
    <t>STRATEGIC ACQUISITIONS, INC.</t>
  </si>
  <si>
    <t>0000950170-24-093848</t>
  </si>
  <si>
    <t>HERITAGE GLOBAL INC.</t>
  </si>
  <si>
    <t>0000849146-24-000047</t>
  </si>
  <si>
    <t>LIFEVANTAGE CORP</t>
  </si>
  <si>
    <t>0001628280-24-022452</t>
  </si>
  <si>
    <t>CRH public limited company</t>
  </si>
  <si>
    <t>0000849869-24-000069</t>
  </si>
  <si>
    <t>SILGAN HOLDINGS INC</t>
  </si>
  <si>
    <t>0001628280-24-021676</t>
  </si>
  <si>
    <t>HORACE MANN EDUCATORS CORPORATION</t>
  </si>
  <si>
    <t>0001437749-24-020080</t>
  </si>
  <si>
    <t>Foot Locker, Inc.</t>
  </si>
  <si>
    <t>0000850429-24-000012</t>
  </si>
  <si>
    <t>Tredegar Corporation</t>
  </si>
  <si>
    <t>0000850460-24-000027</t>
  </si>
  <si>
    <t>ENCORE WIRE CORP</t>
  </si>
  <si>
    <t>0000851205-24-000051</t>
  </si>
  <si>
    <t>COGNEX CORP</t>
  </si>
  <si>
    <t>0000851310-24-000049</t>
  </si>
  <si>
    <t>HARMONIC INC.</t>
  </si>
  <si>
    <t>0000950170-24-089943</t>
  </si>
  <si>
    <t>EXPONENT, INC.</t>
  </si>
  <si>
    <t>0000851968-24-000082</t>
  </si>
  <si>
    <t>MOHAWK INDUSTRIES, INC.</t>
  </si>
  <si>
    <t>0000852772-24-000039</t>
  </si>
  <si>
    <t>DENNY’S CORPORATION</t>
  </si>
  <si>
    <t>0001193125-24-130360</t>
  </si>
  <si>
    <t>LANDSTAR SYSTEM, INC.</t>
  </si>
  <si>
    <t>0001410578-24-000572</t>
  </si>
  <si>
    <t>GREAT SOUTHERN BANCORP, INC.</t>
  </si>
  <si>
    <t>0000854775-24-000018</t>
  </si>
  <si>
    <t>DIGI INTERNATIONAL INC.</t>
  </si>
  <si>
    <t>0001437749-24-013962</t>
  </si>
  <si>
    <t>Lattice Semiconductor Corp</t>
  </si>
  <si>
    <t>0001437749-24-017036</t>
  </si>
  <si>
    <t>MILESTONE SCIENTIFIC INC.</t>
  </si>
  <si>
    <t>0001437749-24-016930</t>
  </si>
  <si>
    <t>Truleum, Inc.</t>
  </si>
  <si>
    <t>MERIT MEDICAL SYSTEMS INC</t>
  </si>
  <si>
    <t>0001493152-24-031878</t>
  </si>
  <si>
    <t>QHSLab, Inc.</t>
  </si>
  <si>
    <t>0000950170-24-052860</t>
  </si>
  <si>
    <t>PTC Inc.</t>
  </si>
  <si>
    <t>0000857855-24-000017</t>
  </si>
  <si>
    <t>UNITED COMMUNITY BANKS, INC.</t>
  </si>
  <si>
    <t>0001213900-24-044343</t>
  </si>
  <si>
    <t>CHINA GREEN AGRICULTURE, INC.</t>
  </si>
  <si>
    <t>0000858470-24-000106</t>
  </si>
  <si>
    <t>COTERRA ENERGY INC.</t>
  </si>
  <si>
    <t>0001558370-24-007603</t>
  </si>
  <si>
    <t>HAYNES INTERNATIONAL, INC.</t>
  </si>
  <si>
    <t>0000858877-24-000007</t>
  </si>
  <si>
    <t>CISCO SYSTEMS, INC.</t>
  </si>
  <si>
    <t>0001437749-24-014678</t>
  </si>
  <si>
    <t>FIRST COMMUNITY BANKSHARES INC /VA/</t>
  </si>
  <si>
    <t>0000859737-24-000020</t>
  </si>
  <si>
    <t>HOLOGIC, INC</t>
  </si>
  <si>
    <t>0000860413-24-000066</t>
  </si>
  <si>
    <t>FIRST INTERSTATE BANCSYSTEM, INC.</t>
  </si>
  <si>
    <t>0001477932-24-005135</t>
  </si>
  <si>
    <t>Jacksam Corporation</t>
  </si>
  <si>
    <t>0000950170-24-052195</t>
  </si>
  <si>
    <t>HCA Healthcare, Inc.</t>
  </si>
  <si>
    <t>0000860731-24-000025</t>
  </si>
  <si>
    <t>TYLER TECHNOLOGIES, INC.</t>
  </si>
  <si>
    <t>0000860748-24-000132</t>
  </si>
  <si>
    <t>Kemper Corporation</t>
  </si>
  <si>
    <t>0001999371-24-006154</t>
  </si>
  <si>
    <t>LOCORR FUTURES PORTFOLIO FUND L.P.</t>
  </si>
  <si>
    <t>0000861459-24-000020</t>
  </si>
  <si>
    <t>GRANITE CONSTRUCTION INC</t>
  </si>
  <si>
    <t>0001437749-24-015384</t>
  </si>
  <si>
    <t>Cathay General Bancorp</t>
  </si>
  <si>
    <t>0001493152-24-031587</t>
  </si>
  <si>
    <t>Investview, Inc.</t>
  </si>
  <si>
    <t>0000862668-24-000017</t>
  </si>
  <si>
    <t>Escalon Medical Corp.</t>
  </si>
  <si>
    <t>0000950170-24-044493</t>
  </si>
  <si>
    <t>CRYO-CELL INTERNATIONAL, INC.</t>
  </si>
  <si>
    <t>0000950170-24-090729</t>
  </si>
  <si>
    <t>Financial Institutions, Inc.</t>
  </si>
  <si>
    <t>0001628280-24-020286</t>
  </si>
  <si>
    <t>JANONE INC.</t>
  </si>
  <si>
    <t>0000863110-24-000037</t>
  </si>
  <si>
    <t>ARTESIAN RESOURCES CORPORATION</t>
  </si>
  <si>
    <t>0000950170-24-052438</t>
  </si>
  <si>
    <t>BENCHMARK ELECTRONICS, INC.</t>
  </si>
  <si>
    <t>0001437749-24-025338</t>
  </si>
  <si>
    <t>VERU INC.</t>
  </si>
  <si>
    <t>0001437749-24-016886</t>
  </si>
  <si>
    <t>SYPRIS SOLUTIONS, INC.</t>
  </si>
  <si>
    <t>0000866273-24-000028</t>
  </si>
  <si>
    <t>MATRIX SERVICE CO</t>
  </si>
  <si>
    <t>0000866374-24-000021</t>
  </si>
  <si>
    <t>FLEX LTD.</t>
  </si>
  <si>
    <t>0001683168-24-004859</t>
  </si>
  <si>
    <t>DarkPulse, Inc.</t>
  </si>
  <si>
    <t>0001410578-24-000723</t>
  </si>
  <si>
    <t>ESCO TECHNOLOGIES INC.</t>
  </si>
  <si>
    <t>0000866729-24-000011</t>
  </si>
  <si>
    <t>SCHOLASTIC CORPORATION</t>
  </si>
  <si>
    <t>0001558370-24-009005</t>
  </si>
  <si>
    <t>AUTOZONE INC</t>
  </si>
  <si>
    <t>0000866829-24-000019</t>
  </si>
  <si>
    <t>HELIX ENERGY SOLUTIONS GROUP, INC.</t>
  </si>
  <si>
    <t>0001683168-24-003521</t>
  </si>
  <si>
    <t>PRECISION OPTICS CORPORATION, INC.</t>
  </si>
  <si>
    <t>0001437749-24-015480</t>
  </si>
  <si>
    <t>EVERFLOW EASTERN PARTNERS LP</t>
  </si>
  <si>
    <t>0000868278-24-000007</t>
  </si>
  <si>
    <t>ProPhase Labs, Inc.</t>
  </si>
  <si>
    <t>0000868671-24-000064</t>
  </si>
  <si>
    <t>GLACIER BANCORP, INC.</t>
  </si>
  <si>
    <t>0000868780-24-000020</t>
  </si>
  <si>
    <t>Dorman Products, Inc.</t>
  </si>
  <si>
    <t>0001410578-24-000608</t>
  </si>
  <si>
    <t>AECOM</t>
  </si>
  <si>
    <t>REGENERON PHARMACEUTICALS, INC.</t>
  </si>
  <si>
    <t>0001628280-24-034769</t>
  </si>
  <si>
    <t>DELCATH SYSTEMS, INC.</t>
  </si>
  <si>
    <t>0000950170-24-092720</t>
  </si>
  <si>
    <t>SAREPTA THERAPEUTICS, INC.</t>
  </si>
  <si>
    <t>0001628280-24-020055</t>
  </si>
  <si>
    <t>OCWEN FINANCIAL CORPORATION</t>
  </si>
  <si>
    <t>0000874015-24-000142</t>
  </si>
  <si>
    <t>IONIS PHARMACEUTICALS, INC.</t>
  </si>
  <si>
    <t>0000874238-24-000081</t>
  </si>
  <si>
    <t>STERLING INFRASTRUCTURE, INC.</t>
  </si>
  <si>
    <t>0001628280-24-036161</t>
  </si>
  <si>
    <t>LIFETIME BRANDS, INC.</t>
  </si>
  <si>
    <t>0001628280-24-035423</t>
  </si>
  <si>
    <t>Gulfport Energy Corp</t>
  </si>
  <si>
    <t>0000874501-24-000128</t>
  </si>
  <si>
    <t>AMBAC FINANCIAL GROUP, INC.</t>
  </si>
  <si>
    <t>IDEXX LABORATORIES INC /DE</t>
  </si>
  <si>
    <t>0000874761-24-000038</t>
  </si>
  <si>
    <t>THE AES CORPORATION</t>
  </si>
  <si>
    <t>0000874766-24-000073</t>
  </si>
  <si>
    <t>THE HARTFORD FINANCIAL SERVICES GROUP, INC.</t>
  </si>
  <si>
    <t>0000950170-24-064645</t>
  </si>
  <si>
    <t>CorVel Corporation</t>
  </si>
  <si>
    <t>0000875045-24-000016</t>
  </si>
  <si>
    <t>BIOGEN INC.</t>
  </si>
  <si>
    <t>0000875320-24-000139</t>
  </si>
  <si>
    <t>VERTEX PHARMACEUTICALS INC / MA</t>
  </si>
  <si>
    <t>0001654954-24-010840</t>
  </si>
  <si>
    <t>LENDWAY, INC.</t>
  </si>
  <si>
    <t>0000875357-24-000023</t>
  </si>
  <si>
    <t>BOK FINANCIAL CORP</t>
  </si>
  <si>
    <t>0001171843-24-001955</t>
  </si>
  <si>
    <t>NORTHERN TECHNOLOGIES INTERNATIONAL CORPORATION</t>
  </si>
  <si>
    <t>0001437749-24-013121</t>
  </si>
  <si>
    <t>ULTRALIFE CORPORATION</t>
  </si>
  <si>
    <t>0001079973-24-000724</t>
  </si>
  <si>
    <t>Bion Environmental Technologies, Inc.</t>
  </si>
  <si>
    <t>0000876167-24-000080</t>
  </si>
  <si>
    <t>PROGRESS SOFTWARE CORP /MA</t>
  </si>
  <si>
    <t>0000950170-24-056998</t>
  </si>
  <si>
    <t>Lineage Cell Therapeutics, Inc.</t>
  </si>
  <si>
    <t>0001437749-24-026428</t>
  </si>
  <si>
    <t>ASENSUS SURGICAL, INC.</t>
  </si>
  <si>
    <t>0000876437-24-000064</t>
  </si>
  <si>
    <t>MGIC Investment Corp</t>
  </si>
  <si>
    <t>0000876523-24-000025</t>
  </si>
  <si>
    <t>EZCORP, INC.</t>
  </si>
  <si>
    <t>0000876883-24-000014</t>
  </si>
  <si>
    <t>Stagwell Inc</t>
  </si>
  <si>
    <t>Zebra Technologies Corporation</t>
  </si>
  <si>
    <t>0000950170-24-097572</t>
  </si>
  <si>
    <t>SPARTANNASH COMPANY</t>
  </si>
  <si>
    <t>0000877860-24-000047</t>
  </si>
  <si>
    <t>National Health Investors, Inc.</t>
  </si>
  <si>
    <t>0000950170-24-054284</t>
  </si>
  <si>
    <t>OLD DOMINION FREIGHT LINE, INC.</t>
  </si>
  <si>
    <t>0001437749-24-016080</t>
  </si>
  <si>
    <t>KIMCO REALTY CORPORATION</t>
  </si>
  <si>
    <t>INCYTE CORPORATION</t>
  </si>
  <si>
    <t>0001628280-24-022215</t>
  </si>
  <si>
    <t>Arrowhead Pharmaceuticals, Inc.</t>
  </si>
  <si>
    <t>WABASH NATIONAL CORPORATION</t>
  </si>
  <si>
    <t>0000879635-24-000146</t>
  </si>
  <si>
    <t>MID PENN BANCORP, INC.</t>
  </si>
  <si>
    <t>0001213900-24-067762</t>
  </si>
  <si>
    <t>APPLIED ENERGETICS, INC.</t>
  </si>
  <si>
    <t>0000950170-24-051300</t>
  </si>
  <si>
    <t>SANFILIPPO JOHN B &amp; SON INC</t>
  </si>
  <si>
    <t>0001628280-24-020216</t>
  </si>
  <si>
    <t>AGCO CORP /DE</t>
  </si>
  <si>
    <t>0000950170-24-057866</t>
  </si>
  <si>
    <t>CSB BANCORP INC /OH</t>
  </si>
  <si>
    <t>0001214659-24-008488</t>
  </si>
  <si>
    <t>WisdomTree, Inc.</t>
  </si>
  <si>
    <t>0000950170-24-096740</t>
  </si>
  <si>
    <t>EAGLE FINANCIAL SERVICES, INC.</t>
  </si>
  <si>
    <t>0001437749-24-018602</t>
  </si>
  <si>
    <t>AMERICAN SUPERCONDUCTOR CORP /DE/</t>
  </si>
  <si>
    <t>0001493152-24-018334</t>
  </si>
  <si>
    <t>ACORN ENERGY, INC.</t>
  </si>
  <si>
    <t>0000881453-24-000012</t>
  </si>
  <si>
    <t>Fortitude Life Insurance &amp; Annuity Co</t>
  </si>
  <si>
    <t>0000882095-24-000013</t>
  </si>
  <si>
    <t>GILEAD SCIENCES, INC.</t>
  </si>
  <si>
    <t>0000882184-24-000027</t>
  </si>
  <si>
    <t>D.R. Horton, Inc.</t>
  </si>
  <si>
    <t>0000950170-24-059768</t>
  </si>
  <si>
    <t>Aptose Biosciences Inc.</t>
  </si>
  <si>
    <t>0001437749-24-026817</t>
  </si>
  <si>
    <t>QUICKLOGIC Corp</t>
  </si>
  <si>
    <t>0001628280-24-035170</t>
  </si>
  <si>
    <t>BIOCRYST PHARMACEUTICALS, INC.</t>
  </si>
  <si>
    <t>0000882835-24-000018</t>
  </si>
  <si>
    <t>ROPER TECHNOLOGIES, INC.</t>
  </si>
  <si>
    <t>0001999371-24-009833</t>
  </si>
  <si>
    <t>Nanophase Technologies Corporation</t>
  </si>
  <si>
    <t>0000883241-24-000016</t>
  </si>
  <si>
    <t>SYNOPSYS, INC.</t>
  </si>
  <si>
    <t>0000883902-24-000027</t>
  </si>
  <si>
    <t>Cornerstone Building Brands, Inc.</t>
  </si>
  <si>
    <t>0000883948-24-000082</t>
  </si>
  <si>
    <t>ATLANTIC UNION BANKSHARES CORPORATION</t>
  </si>
  <si>
    <t>0001493152-24-032031</t>
  </si>
  <si>
    <t>MICROBOT MEDICAL INC.</t>
  </si>
  <si>
    <t>0000883984-24-000030</t>
  </si>
  <si>
    <t>ICU MEDICAL INC/DE</t>
  </si>
  <si>
    <t>0000950170-24-052502</t>
  </si>
  <si>
    <t>Viad Corp</t>
  </si>
  <si>
    <t>0001437749-24-025421</t>
  </si>
  <si>
    <t>Alpha Pro Tech, Ltd.</t>
  </si>
  <si>
    <t>0000884614-24-000055</t>
  </si>
  <si>
    <t>UGI CORPORATION</t>
  </si>
  <si>
    <t>0000950170-24-091200</t>
  </si>
  <si>
    <t>ORTHOFIX MEDICAL INC.</t>
  </si>
  <si>
    <t>0000884713-24-000028</t>
  </si>
  <si>
    <t>Primo Water Corporation</t>
  </si>
  <si>
    <t>0000884887-24-000108</t>
  </si>
  <si>
    <t>ROYAL CARIBBEAN CRUISES LTD</t>
  </si>
  <si>
    <t>0000885245-24-000067</t>
  </si>
  <si>
    <t>BUCKLE, INC</t>
  </si>
  <si>
    <t>0000950170-24-056405</t>
  </si>
  <si>
    <t>WILSON BANK HOLDING CO</t>
  </si>
  <si>
    <t>0001079973-24-000549</t>
  </si>
  <si>
    <t>JEWETT-CAMERON TRADING COMPANY LTD</t>
  </si>
  <si>
    <t>0001193805-24-001240</t>
  </si>
  <si>
    <t>GULF RESOURCES, INC.</t>
  </si>
  <si>
    <t>US-SD</t>
  </si>
  <si>
    <t>0000885550-24-000069</t>
  </si>
  <si>
    <t>CREDIT ACCEPTANCE CORP</t>
  </si>
  <si>
    <t>0000950170-24-059323</t>
  </si>
  <si>
    <t>OLD DOMINION ELECTRIC COOPERATIVE</t>
  </si>
  <si>
    <t>0000885590-24-000019</t>
  </si>
  <si>
    <t>Bausch Health Companies Inc.</t>
  </si>
  <si>
    <t>CA-QC</t>
  </si>
  <si>
    <t>0000950170-24-069880</t>
  </si>
  <si>
    <t>KOHL’S CORP</t>
  </si>
  <si>
    <t>0001140361-24-024976</t>
  </si>
  <si>
    <t>U S PHYSICAL THERAPY INC /NV</t>
  </si>
  <si>
    <t>0001558370-24-009026</t>
  </si>
  <si>
    <t>FUELCELL ENERGY, INC.</t>
  </si>
  <si>
    <t>0001558370-24-011739</t>
  </si>
  <si>
    <t>Saga Communications, Inc</t>
  </si>
  <si>
    <t>0000886163-24-000071</t>
  </si>
  <si>
    <t>LIGAND PHARMACEUTICALS INCORPORATED</t>
  </si>
  <si>
    <t>0000886206-24-000028</t>
  </si>
  <si>
    <t>FRANKLIN COVEY CO.</t>
  </si>
  <si>
    <t>0000886346-24-000092</t>
  </si>
  <si>
    <t>KADANT INC</t>
  </si>
  <si>
    <t>0000950170-24-093950</t>
  </si>
  <si>
    <t>GERON CORP</t>
  </si>
  <si>
    <t>0000950170-24-051196</t>
  </si>
  <si>
    <t>SUPERIOR ENERGY SERVICES, INC.</t>
  </si>
  <si>
    <t>0000886982-24-000016</t>
  </si>
  <si>
    <t>The Goldman Sachs Group, Inc.</t>
  </si>
  <si>
    <t>0000887343-24-000245</t>
  </si>
  <si>
    <t>COLUMBIA BANKING SYSTEM, INC.</t>
  </si>
  <si>
    <t>0001628280-24-033905</t>
  </si>
  <si>
    <t>VERICEL CORPORATION</t>
  </si>
  <si>
    <t>0001072613-24-000631</t>
  </si>
  <si>
    <t>EMPIRE PETROLEUM CORPORATION</t>
  </si>
  <si>
    <t>0001410578-24-000636</t>
  </si>
  <si>
    <t>THE CHEESECAKE FACTORY INCORPORATED</t>
  </si>
  <si>
    <t>0000887733-24-000011</t>
  </si>
  <si>
    <t>CENTRAL GARDEN &amp; PET CO</t>
  </si>
  <si>
    <t>0001558370-24-006117</t>
  </si>
  <si>
    <t>LTC PROPERTIES INC</t>
  </si>
  <si>
    <t>FTI CONSULTING, INC</t>
  </si>
  <si>
    <t>0001079973-24-000722</t>
  </si>
  <si>
    <t>NOCOPI TECHNOLOGIES, INC.</t>
  </si>
  <si>
    <t>LITTELFUSE INC /DE</t>
  </si>
  <si>
    <t>0001999371-24-010057</t>
  </si>
  <si>
    <t>CPI AEROSTRUCTURES, INC.</t>
  </si>
  <si>
    <t>0001096906-24-001775</t>
  </si>
  <si>
    <t>JAMES MARITIME HOLDINGS INC.</t>
  </si>
  <si>
    <t>0001683168-24-003234</t>
  </si>
  <si>
    <t>CONSUMER PORTFOLIO SERVICES, INC.</t>
  </si>
  <si>
    <t>0001628280-24-020701</t>
  </si>
  <si>
    <t>Patterson-UTI Energy, Inc.</t>
  </si>
  <si>
    <t>0001654954-24-005881</t>
  </si>
  <si>
    <t>LIGHTPATH TECHNOLOGIES, INC.</t>
  </si>
  <si>
    <t>0001558370-24-007935</t>
  </si>
  <si>
    <t>GLEN BURNIE BANCORP</t>
  </si>
  <si>
    <t>0001213900-24-068354</t>
  </si>
  <si>
    <t>PERASO INC.</t>
  </si>
  <si>
    <t>0001628280-24-021847</t>
  </si>
  <si>
    <t>VERTEX ENERGY, INC.</t>
  </si>
  <si>
    <t>0000890564-24-000013</t>
  </si>
  <si>
    <t>ASGN Inc</t>
  </si>
  <si>
    <t>0001493152-24-031352</t>
  </si>
  <si>
    <t>ENVERIC BIOSCIENCES, INC.</t>
  </si>
  <si>
    <t>0000890926-24-000028</t>
  </si>
  <si>
    <t>Radian Group Inc</t>
  </si>
  <si>
    <t>0000891014-24-000039</t>
  </si>
  <si>
    <t>MINERALS TECHNOLOGIES INC.</t>
  </si>
  <si>
    <t>UNIVERSAL INSURANCE HOLDINGS, INC.</t>
  </si>
  <si>
    <t>0001493152-24-020844</t>
  </si>
  <si>
    <t>NANO MAGIC INC.</t>
  </si>
  <si>
    <t>0000891482-24-000034</t>
  </si>
  <si>
    <t>FULL HOUSE RESORTS INC</t>
  </si>
  <si>
    <t>0001493152-24-030692</t>
  </si>
  <si>
    <t>PERMA FIX ENVIRONMENTAL SERVICES, INC</t>
  </si>
  <si>
    <t>0000892553-24-000096</t>
  </si>
  <si>
    <t>CHART INDUSTRIES, INC.</t>
  </si>
  <si>
    <t>SM ENERGY CO</t>
  </si>
  <si>
    <t>0000893691-24-000030</t>
  </si>
  <si>
    <t>Masonite International Corporation</t>
  </si>
  <si>
    <t>0000893847-24-000011</t>
  </si>
  <si>
    <t>HAWTHORN BANCSHARES, INC.</t>
  </si>
  <si>
    <t>Pediatrix Medical Group, Inc.</t>
  </si>
  <si>
    <t>0001437749-24-015742</t>
  </si>
  <si>
    <t>Air Transport Services Group, Inc.</t>
  </si>
  <si>
    <t>0000950170-24-051246</t>
  </si>
  <si>
    <t>SITE Centers Corp.</t>
  </si>
  <si>
    <t>0001558370-24-006654</t>
  </si>
  <si>
    <t>ARCBEST CORPORATION</t>
  </si>
  <si>
    <t>0001091818-24-000047</t>
  </si>
  <si>
    <t>GOLD ROCK HOLDINGS, INC.</t>
  </si>
  <si>
    <t>0001640334-24-001286</t>
  </si>
  <si>
    <t>General Enterprise Ventures, Inc.</t>
  </si>
  <si>
    <t>US-WY</t>
  </si>
  <si>
    <t>0001477932-24-005085</t>
  </si>
  <si>
    <t>BIOETHICS, LTD.</t>
  </si>
  <si>
    <t>0001437749-24-025625</t>
  </si>
  <si>
    <t>VAALCO ENERGY INC /DE/</t>
  </si>
  <si>
    <t>0000894671-24-000015</t>
  </si>
  <si>
    <t>OHIO VALLEY BANC CORP</t>
  </si>
  <si>
    <t>0001493152-24-020484</t>
  </si>
  <si>
    <t>THE ARENA GROUP HOLDINGS, INC.</t>
  </si>
  <si>
    <t>EQUITY LIFESTYLE PROPERTIES, INC.</t>
  </si>
  <si>
    <t>0000895419-24-000038</t>
  </si>
  <si>
    <t>WOLFSPEED, INC.</t>
  </si>
  <si>
    <t>0000895421-24-000322</t>
  </si>
  <si>
    <t>MORGAN STANLEY</t>
  </si>
  <si>
    <t>0000950170-24-070218</t>
  </si>
  <si>
    <t>Shoe Carnival, Inc.</t>
  </si>
  <si>
    <t>0001437749-24-025288</t>
  </si>
  <si>
    <t>ROCKY BRANDS, INC.</t>
  </si>
  <si>
    <t>0001640334-24-001300</t>
  </si>
  <si>
    <t>YUBO INTERNATIONAL BIOTECH LIMITED</t>
  </si>
  <si>
    <t>0001437749-24-013022</t>
  </si>
  <si>
    <t>Ethan Allen Interiors Inc.</t>
  </si>
  <si>
    <t>0000896159-24-000006</t>
  </si>
  <si>
    <t>CHUBB LIMITED</t>
  </si>
  <si>
    <t>CH-</t>
  </si>
  <si>
    <t>0000896262-24-000022</t>
  </si>
  <si>
    <t>AMEDISYS INC</t>
  </si>
  <si>
    <t>0000896264-24-000165</t>
  </si>
  <si>
    <t>USANA HEALTH SCIENCES, INC.</t>
  </si>
  <si>
    <t>0001628280-24-022312</t>
  </si>
  <si>
    <t>Cantaloupe, Inc.</t>
  </si>
  <si>
    <t>0001214659-24-009647</t>
  </si>
  <si>
    <t>AULT ALLIANCE, INC.</t>
  </si>
  <si>
    <t>0000896622-24-000021</t>
  </si>
  <si>
    <t>AptarGroup, Inc</t>
  </si>
  <si>
    <t>0000896878-24-000026</t>
  </si>
  <si>
    <t>INTUIT INC.</t>
  </si>
  <si>
    <t>0000897077-24-000063</t>
  </si>
  <si>
    <t>ALAMO GROUP INC.</t>
  </si>
  <si>
    <t>0001493152-24-020796</t>
  </si>
  <si>
    <t>Resonate Blends, Inc.</t>
  </si>
  <si>
    <t>AMARIN CORP PLC\UK</t>
  </si>
  <si>
    <t>0000897723-24-000031</t>
  </si>
  <si>
    <t>Sanmina Corporation</t>
  </si>
  <si>
    <t>0000898173-24-000022</t>
  </si>
  <si>
    <t>O Reilly Automotive Inc</t>
  </si>
  <si>
    <t>0000898174-24-000097</t>
  </si>
  <si>
    <t>REINSURANCE GROUP OF AMERICA, INCORPORATED</t>
  </si>
  <si>
    <t>0001628280-24-014951</t>
  </si>
  <si>
    <t>JABIL INC</t>
  </si>
  <si>
    <t>0001171843-24-004615</t>
  </si>
  <si>
    <t>Anika Therapeutics, Inc.</t>
  </si>
  <si>
    <t>0000899051-24-000024</t>
  </si>
  <si>
    <t>ALLSTATE CORP</t>
  </si>
  <si>
    <t>0000950170-24-092288</t>
  </si>
  <si>
    <t>MannKind Corporation</t>
  </si>
  <si>
    <t>0000899689-24-000021</t>
  </si>
  <si>
    <t>Vornado Realty Trust</t>
  </si>
  <si>
    <t>0000899715-24-000096</t>
  </si>
  <si>
    <t>TANGER INC</t>
  </si>
  <si>
    <t>0000899751-24-000056</t>
  </si>
  <si>
    <t>TITAN INTERNATIONAL, INC.</t>
  </si>
  <si>
    <t>0000899923-24-000041</t>
  </si>
  <si>
    <t>MYRIAD GENETICS, INC.</t>
  </si>
  <si>
    <t>0000900075-24-000014</t>
  </si>
  <si>
    <t>COPART, INC.</t>
  </si>
  <si>
    <t>0001628280-24-021948</t>
  </si>
  <si>
    <t>PAPA JOHN’S INTERNATIONAL, INC.</t>
  </si>
  <si>
    <t>0000950170-24-088744</t>
  </si>
  <si>
    <t>BARRETT BUSINESS SERVICES, INC.</t>
  </si>
  <si>
    <t>0001558370-24-006547</t>
  </si>
  <si>
    <t>ALERUS FINANCIAL CORPORATION</t>
  </si>
  <si>
    <t>0001410578-24-001246</t>
  </si>
  <si>
    <t>INNODATA INC</t>
  </si>
  <si>
    <t>0000950170-24-052144</t>
  </si>
  <si>
    <t>EQUITY RESIDENTIAL</t>
  </si>
  <si>
    <t>0000906163-24-000071</t>
  </si>
  <si>
    <t>NVR, Inc.</t>
  </si>
  <si>
    <t>0000906345-24-000017</t>
  </si>
  <si>
    <t>CAMDEN PROPERTY TRUST</t>
  </si>
  <si>
    <t>0001558370-24-011521</t>
  </si>
  <si>
    <t>QCR HOLDINGS, INC.</t>
  </si>
  <si>
    <t>BOYD GAMING CORP</t>
  </si>
  <si>
    <t>0000950170-24-057312</t>
  </si>
  <si>
    <t>NEKTAR THERAPEUTICS</t>
  </si>
  <si>
    <t>0001558370-24-011610</t>
  </si>
  <si>
    <t>MONARCH CASINO &amp; RESORT, INC</t>
  </si>
  <si>
    <t>0000907254-24-000042</t>
  </si>
  <si>
    <t>SAUL CENTERS, INC.</t>
  </si>
  <si>
    <t>0000907471-24-000071</t>
  </si>
  <si>
    <t>PATHWARD FINANCIAL, INC.</t>
  </si>
  <si>
    <t>0000950170-24-089246</t>
  </si>
  <si>
    <t>ARCA BIOPHARMA, INC.</t>
  </si>
  <si>
    <t>0000908255-24-000023</t>
  </si>
  <si>
    <t>BORGWARNER INC.</t>
  </si>
  <si>
    <t>0001493152-24-019332</t>
  </si>
  <si>
    <t>Oncotelic Therapeutics, Inc.</t>
  </si>
  <si>
    <t>0000908311-24-000019</t>
  </si>
  <si>
    <t>CREATIVE MEDIA &amp; COMMUNITY TRUST CORPORATION</t>
  </si>
  <si>
    <t>0000908315-24-000023</t>
  </si>
  <si>
    <t>WINMARK CORPORATION</t>
  </si>
  <si>
    <t>0000908937-24-000014</t>
  </si>
  <si>
    <t>SIRIUS XM HOLDINGS INC.</t>
  </si>
  <si>
    <t>0000909108-24-000023</t>
  </si>
  <si>
    <t>DIAMOND HILL INVESTMENT GROUP, INC.</t>
  </si>
  <si>
    <t>0001437749-24-015733</t>
  </si>
  <si>
    <t>TUCOWS INC /PA/</t>
  </si>
  <si>
    <t>0001140361-24-036240</t>
  </si>
  <si>
    <t>TANDY LEATHER FACTORY, INC</t>
  </si>
  <si>
    <t>0000909832-24-000029</t>
  </si>
  <si>
    <t>COSTCO WHOLESALE CORP /NEW</t>
  </si>
  <si>
    <t>0000910073-24-000131</t>
  </si>
  <si>
    <t>NEW YORK COMMUNITY BANCORP, INC.</t>
  </si>
  <si>
    <t>0001444838-24-000070</t>
  </si>
  <si>
    <t>LXP INDUSTRIAL TRUST</t>
  </si>
  <si>
    <t>0001829126-24-003401</t>
  </si>
  <si>
    <t>Titan Pharmaceuticals, Inc.</t>
  </si>
  <si>
    <t>0001628280-24-034791</t>
  </si>
  <si>
    <t>Medifast, Inc.</t>
  </si>
  <si>
    <t>0000910406-24-000038</t>
  </si>
  <si>
    <t>THE HAIN CELESTIAL GROUP, INC.</t>
  </si>
  <si>
    <t>0000910521-24-000017</t>
  </si>
  <si>
    <t>DECKERS OUTDOOR CORP</t>
  </si>
  <si>
    <t>0000950170-24-052749</t>
  </si>
  <si>
    <t>REGENCY CENTERS CORPORATION</t>
  </si>
  <si>
    <t>0000950170-24-057509</t>
  </si>
  <si>
    <t>CBL &amp; ASSOCIATES PROPERTIES, INC.</t>
  </si>
  <si>
    <t>0000910638-24-000035</t>
  </si>
  <si>
    <t>3D SYSTEMS CORP</t>
  </si>
  <si>
    <t>0000911147-24-000043</t>
  </si>
  <si>
    <t>CENTURY CASINOS, INC.</t>
  </si>
  <si>
    <t>CASELLA WASTE SYSTEMS, INC.</t>
  </si>
  <si>
    <t>0001654954-24-006292</t>
  </si>
  <si>
    <t>PALATIN TECHNOLOGIES, INC.</t>
  </si>
  <si>
    <t>Natural Health Trends Corp.</t>
  </si>
  <si>
    <t>HK-</t>
  </si>
  <si>
    <t>0000912093-24-000033</t>
  </si>
  <si>
    <t>Viavi Solutions Inc.</t>
  </si>
  <si>
    <t>0000912242-24-000083</t>
  </si>
  <si>
    <t>MACERICH CO</t>
  </si>
  <si>
    <t>0000912463-24-000051</t>
  </si>
  <si>
    <t>GUESS INC</t>
  </si>
  <si>
    <t>0001493152-24-032378</t>
  </si>
  <si>
    <t>NOVELSTEM INTERNATIONAL CORP.</t>
  </si>
  <si>
    <t>0000912562-24-000028</t>
  </si>
  <si>
    <t>GIBRALTAR INDUSTRIES, INC.</t>
  </si>
  <si>
    <t>0000912593-24-000211</t>
  </si>
  <si>
    <t>SUN COMMUNITIES, INC</t>
  </si>
  <si>
    <t>0000950170-24-052131</t>
  </si>
  <si>
    <t>MID-AMERICA APARTMENT COMMUNITIES, INC.</t>
  </si>
  <si>
    <t>0000950170-24-041698</t>
  </si>
  <si>
    <t>RADIUS RECYCLING, INC.</t>
  </si>
  <si>
    <t>0000950170-24-071322</t>
  </si>
  <si>
    <t>Urban Outfitters, Inc.</t>
  </si>
  <si>
    <t>0001628280-24-023579</t>
  </si>
  <si>
    <t>FORWARD AIR CORPORATION</t>
  </si>
  <si>
    <t>0001628280-24-019784</t>
  </si>
  <si>
    <t>Laureate Education, Inc.</t>
  </si>
  <si>
    <t>0001558370-24-007280</t>
  </si>
  <si>
    <t>UFP INDUSTRIES, INC.</t>
  </si>
  <si>
    <t>0000913142-24-000018</t>
  </si>
  <si>
    <t>BELDEN INC.</t>
  </si>
  <si>
    <t>0000913144-24-000083</t>
  </si>
  <si>
    <t>RENAISSANCERE HOLDINGS LTD</t>
  </si>
  <si>
    <t>0001558370-24-010612</t>
  </si>
  <si>
    <t>CLARUS CORPORATION</t>
  </si>
  <si>
    <t>0000913341-24-000026</t>
  </si>
  <si>
    <t>C &amp; F FINANCIAL CORPORATION</t>
  </si>
  <si>
    <t>0000913760-24-000094</t>
  </si>
  <si>
    <t>StoneX Group Inc.</t>
  </si>
  <si>
    <t>0001437749-24-028925</t>
  </si>
  <si>
    <t>PERMA-PIPE INTERNATIONAL HOLDINGS, INC.</t>
  </si>
  <si>
    <t>0001437749-24-016614</t>
  </si>
  <si>
    <t>PARKERVISION INC</t>
  </si>
  <si>
    <t>0001171843-24-004633</t>
  </si>
  <si>
    <t>UFP Technologies, Inc.</t>
  </si>
  <si>
    <t>0000914208-24-000276</t>
  </si>
  <si>
    <t>Invesco Ltd.</t>
  </si>
  <si>
    <t>0000914475-24-000117</t>
  </si>
  <si>
    <t>NEUROCRINE BIOSCIENCES, INC.</t>
  </si>
  <si>
    <t>0001628280-24-026960</t>
  </si>
  <si>
    <t>Steel Connect, Inc.</t>
  </si>
  <si>
    <t>0000914748-24-000008</t>
  </si>
  <si>
    <t>EVEREST REINSURANCE HOLDINGS, INC.</t>
  </si>
  <si>
    <t>0000915389-24-000133</t>
  </si>
  <si>
    <t>EASTMAN CHEMICAL CO</t>
  </si>
  <si>
    <t>0000915840-24-000028</t>
  </si>
  <si>
    <t>BEAZER HOMES USA, INC.</t>
  </si>
  <si>
    <t>0000915913-24-000100</t>
  </si>
  <si>
    <t>ALBEMARLE CORPORATION</t>
  </si>
  <si>
    <t>0000950170-24-050478</t>
  </si>
  <si>
    <t>MARTIN MARIETTA MATERIALS, INC.</t>
  </si>
  <si>
    <t>0000916365-24-000088</t>
  </si>
  <si>
    <t>TRACTOR SUPPLY CO /DE/</t>
  </si>
  <si>
    <t>0000916540-24-000014</t>
  </si>
  <si>
    <t>DARLING INGREDIENTS INC.</t>
  </si>
  <si>
    <t>0001558370-24-012781</t>
  </si>
  <si>
    <t>SOUTHERN MISSOURI BANCORP, INC.</t>
  </si>
  <si>
    <t>0001654954-24-009611</t>
  </si>
  <si>
    <t>SOLITARIO RESOURCES CORP.</t>
  </si>
  <si>
    <t>0001558370-24-005482</t>
  </si>
  <si>
    <t>AGREE REALTY CORPORATION</t>
  </si>
  <si>
    <t>0000917273-24-000088</t>
  </si>
  <si>
    <t>RAMBUS INC</t>
  </si>
  <si>
    <t>0001437749-24-014650</t>
  </si>
  <si>
    <t>OLYMPIC STEEL INC</t>
  </si>
  <si>
    <t>0001628280-24-036167</t>
  </si>
  <si>
    <t>FARO TECHNOLOGIES, INC</t>
  </si>
  <si>
    <t>0000917520-24-000094</t>
  </si>
  <si>
    <t>INTEGRA LIFESCIENCES HOLDINGS CORP</t>
  </si>
  <si>
    <t>0000918541-24-000066</t>
  </si>
  <si>
    <t>NN, Inc.</t>
  </si>
  <si>
    <t>0000918965-24-000014</t>
  </si>
  <si>
    <t>ScanSource, Inc.</t>
  </si>
  <si>
    <t>0000950170-24-066610</t>
  </si>
  <si>
    <t>American Eagle Outfitters, Inc.</t>
  </si>
  <si>
    <t>0001437749-24-017039</t>
  </si>
  <si>
    <t>Finward Bancorp</t>
  </si>
  <si>
    <t>0000920112-24-000099</t>
  </si>
  <si>
    <t>HEARTLAND FINANCIAL USA, INC.</t>
  </si>
  <si>
    <t>LABCORP HOLDINGS INC.</t>
  </si>
  <si>
    <t>0000920371-24-000120</t>
  </si>
  <si>
    <t>Simpson Manufacturing Co., Inc.</t>
  </si>
  <si>
    <t>0000920427-24-000065</t>
  </si>
  <si>
    <t>Unity Bancorp, Inc.</t>
  </si>
  <si>
    <t>0001628280-24-013820</t>
  </si>
  <si>
    <t>LENNAR CORP /NEW/</t>
  </si>
  <si>
    <t>0001558370-24-007068</t>
  </si>
  <si>
    <t>ARMATA PHARMACEUTICALS, INC.</t>
  </si>
  <si>
    <t>0001437749-24-014966</t>
  </si>
  <si>
    <t>HMN FINANCIAL INC</t>
  </si>
  <si>
    <t>0000950170-24-053554</t>
  </si>
  <si>
    <t>FIBROGEN, INC.</t>
  </si>
  <si>
    <t>0001558370-24-007501</t>
  </si>
  <si>
    <t>REPUBLIC BANCORP, INC.</t>
  </si>
  <si>
    <t>0000950170-24-047943</t>
  </si>
  <si>
    <t>IMAX Corporation</t>
  </si>
  <si>
    <t>0000921638-24-000115</t>
  </si>
  <si>
    <t>SSR MINING INC.</t>
  </si>
  <si>
    <t>0000921738-24-000021</t>
  </si>
  <si>
    <t>PENN Entertainment, Inc.</t>
  </si>
  <si>
    <t>0000921825-24-000044</t>
  </si>
  <si>
    <t>FIRST INDUSTRIAL REALTY TRUST, INC.</t>
  </si>
  <si>
    <t>0000922224-24-000014</t>
  </si>
  <si>
    <t>PPL Corporation</t>
  </si>
  <si>
    <t>0001437749-24-017038</t>
  </si>
  <si>
    <t>CYCLO THERAPEUTICS, INC.</t>
  </si>
  <si>
    <t>0001558370-24-009302</t>
  </si>
  <si>
    <t>Ferrellgas Partners, L.P.</t>
  </si>
  <si>
    <t>ERIE INDEMNITY COMPANY</t>
  </si>
  <si>
    <t>0000950170-24-055744</t>
  </si>
  <si>
    <t>Apartment Investment and Management Company</t>
  </si>
  <si>
    <t>0000950170-24-042261</t>
  </si>
  <si>
    <t>GREENBRIER COMPANIES INC</t>
  </si>
  <si>
    <t>0001558370-24-011637</t>
  </si>
  <si>
    <t>FLUSHING FINANCIAL CORPORATION</t>
  </si>
  <si>
    <t>0001493152-24-020033</t>
  </si>
  <si>
    <t>SINGING MACHINE CO INC</t>
  </si>
  <si>
    <t>0000950170-24-055810</t>
  </si>
  <si>
    <t>The GEO Group, Inc.</t>
  </si>
  <si>
    <t>0001628280-24-036912</t>
  </si>
  <si>
    <t>ENERGY FOCUS, INC/DE</t>
  </si>
  <si>
    <t>0001437749-24-024913</t>
  </si>
  <si>
    <t>GENASYS INC.</t>
  </si>
  <si>
    <t>0001493152-24-023218</t>
  </si>
  <si>
    <t>OpenLocker Holdings, Inc.</t>
  </si>
  <si>
    <t>0001477932-24-002788</t>
  </si>
  <si>
    <t>GUIDED THERAPEUTICS, INC.</t>
  </si>
  <si>
    <t>0000950170-24-050909</t>
  </si>
  <si>
    <t>Surmodics, Inc.</t>
  </si>
  <si>
    <t>0001654954-24-010647</t>
  </si>
  <si>
    <t>Smith-Midland Corporation</t>
  </si>
  <si>
    <t>0001558370-24-011387</t>
  </si>
  <si>
    <t>MILLER INDUSTRIES, INC.</t>
  </si>
  <si>
    <t>0000924901-24-000020</t>
  </si>
  <si>
    <t>VERIS RESIDENTIAL, INC.</t>
  </si>
  <si>
    <t>0001410578-24-000637</t>
  </si>
  <si>
    <t>HUDSON TECHNOLOGIES INC /NY</t>
  </si>
  <si>
    <t>0001437749-24-016611</t>
  </si>
  <si>
    <t>BioCardia, Inc</t>
  </si>
  <si>
    <t>0000950170-24-057628</t>
  </si>
  <si>
    <t>ADTRAN Holdings, Inc.</t>
  </si>
  <si>
    <t>0000926326-24-000027</t>
  </si>
  <si>
    <t>OMNICELL, INC</t>
  </si>
  <si>
    <t>0001437749-24-029059</t>
  </si>
  <si>
    <t>MIND TECHNOLOGY, INC</t>
  </si>
  <si>
    <t>0000950170-24-096220</t>
  </si>
  <si>
    <t>Aspira Women’s Health Inc.</t>
  </si>
  <si>
    <t>0001829126-24-006140</t>
  </si>
  <si>
    <t>FUSS BRANDS CORP.</t>
  </si>
  <si>
    <t>0000927066-24-000090</t>
  </si>
  <si>
    <t>DAVITA INC.</t>
  </si>
  <si>
    <t>0000927628-24-000174</t>
  </si>
  <si>
    <t>CAPITAL ONE FINANCIAL CORP</t>
  </si>
  <si>
    <t>0000928054-24-000053</t>
  </si>
  <si>
    <t>FLOTEK INDUSTRIES INC/CN</t>
  </si>
  <si>
    <t>0001558370-24-008284</t>
  </si>
  <si>
    <t>CONSOLIDATED WATER CO. LTD.</t>
  </si>
  <si>
    <t>KY-</t>
  </si>
  <si>
    <t>0001558370-24-005311</t>
  </si>
  <si>
    <t>AMCON DISTRIBUTING CO</t>
  </si>
  <si>
    <t>COVENANT LOGISTICS GROUP, INC.</t>
  </si>
  <si>
    <t>WESCO International, Inc.</t>
  </si>
  <si>
    <t>0000930236-24-000023</t>
  </si>
  <si>
    <t>REDWOOD TRUST, INC.</t>
  </si>
  <si>
    <t>0001472375-24-000037</t>
  </si>
  <si>
    <t>GLOBAL ACQUISITIONS CORPORATION</t>
  </si>
  <si>
    <t>Kforce Inc</t>
  </si>
  <si>
    <t>0001628280-24-017335</t>
  </si>
  <si>
    <t>POLARIS INC.</t>
  </si>
  <si>
    <t>0000931148-24-000101</t>
  </si>
  <si>
    <t>GRAFTECH INTERNATIONAL LTD.</t>
  </si>
  <si>
    <t>UNIVERSAL STAINLESS &amp; ALLOY PRODUCTS INC</t>
  </si>
  <si>
    <t>0001493152-24-019084</t>
  </si>
  <si>
    <t>GLOBAL TECHNOLOGIES, LTD</t>
  </si>
  <si>
    <t>0001628280-24-020070</t>
  </si>
  <si>
    <t>INSIGHT ENTERPRISES, INC.</t>
  </si>
  <si>
    <t>0001552781-24-000471</t>
  </si>
  <si>
    <t>FIRST COMMUNITY CORPORATION</t>
  </si>
  <si>
    <t>0000950170-24-056833</t>
  </si>
  <si>
    <t>STRATTEC SECURITY CORP</t>
  </si>
  <si>
    <t>Upbound Group, Inc.</t>
  </si>
  <si>
    <t>0000933136-24-000035</t>
  </si>
  <si>
    <t>Mr. Cooper Group Inc.</t>
  </si>
  <si>
    <t>0001654954-24-010673</t>
  </si>
  <si>
    <t>374WATER INC.</t>
  </si>
  <si>
    <t>0001558370-24-007628</t>
  </si>
  <si>
    <t>AZENTA, INC.</t>
  </si>
  <si>
    <t>0000934549-24-000046</t>
  </si>
  <si>
    <t>Acacia Research Corporation</t>
  </si>
  <si>
    <t>0000934612-24-000009</t>
  </si>
  <si>
    <t>BURLINGTON NORTHERN SANTA FE, LLC</t>
  </si>
  <si>
    <t>0001214659-24-009489</t>
  </si>
  <si>
    <t>NETWORK CN INC.</t>
  </si>
  <si>
    <t>0000935036-24-000018</t>
  </si>
  <si>
    <t>ACI WORLDWIDE, INC.</t>
  </si>
  <si>
    <t>0001628280-24-022200</t>
  </si>
  <si>
    <t>RCI HOSPITALITY HOLDINGS, INC.</t>
  </si>
  <si>
    <t>0000935703-24-000029</t>
  </si>
  <si>
    <t>DOLLAR TREE, INC.</t>
  </si>
  <si>
    <t>0000936340-24-000116</t>
  </si>
  <si>
    <t>DTE Energy Co</t>
  </si>
  <si>
    <t>0000936395-24-000025</t>
  </si>
  <si>
    <t>Ciena Corp</t>
  </si>
  <si>
    <t>0000936468-24-000052</t>
  </si>
  <si>
    <t>LOCKHEED MARTIN CORPORATION</t>
  </si>
  <si>
    <t>0000936528-24-000072</t>
  </si>
  <si>
    <t>WAFD, INC.</t>
  </si>
  <si>
    <t>0000937098-24-000088</t>
  </si>
  <si>
    <t>TRINET GROUP, INC.</t>
  </si>
  <si>
    <t>0000937556-24-000064</t>
  </si>
  <si>
    <t>MASIMO CORP</t>
  </si>
  <si>
    <t>0000939767-24-000058</t>
  </si>
  <si>
    <t>EXELIXIS, INC.</t>
  </si>
  <si>
    <t>0000950170-24-052763</t>
  </si>
  <si>
    <t>HUB GROUP, INC.</t>
  </si>
  <si>
    <t>0000940944-24-000017</t>
  </si>
  <si>
    <t>DARDEN RESTAURANTS, INC.</t>
  </si>
  <si>
    <t>0001185185-24-000807</t>
  </si>
  <si>
    <t>TAITRON COMPONENTS INCORPORATED</t>
  </si>
  <si>
    <t>0001628280-24-017577</t>
  </si>
  <si>
    <t>WESTINGHOUSE AIR BRAKE TECHNOLOGIES CORPORATION</t>
  </si>
  <si>
    <t>0001493152-24-020654</t>
  </si>
  <si>
    <t>WORLD HEALTH ENERGY HOLDINGS, INC.</t>
  </si>
  <si>
    <t>0000943819-24-000008</t>
  </si>
  <si>
    <t>ResMed Inc.</t>
  </si>
  <si>
    <t>0000944075-24-000053</t>
  </si>
  <si>
    <t>SOCKET MOBILE, INC.</t>
  </si>
  <si>
    <t>0000944130-24-000031</t>
  </si>
  <si>
    <t>MINISTRY PARTNERS INVESTMENT COMPANY, LLC</t>
  </si>
  <si>
    <t>0001628280-24-017947</t>
  </si>
  <si>
    <t>CBIZ, Inc.</t>
  </si>
  <si>
    <t>0001140361-24-026267</t>
  </si>
  <si>
    <t>GSE Systems, Inc.</t>
  </si>
  <si>
    <t>0000950170-24-052129</t>
  </si>
  <si>
    <t>HANOVER INSURANCE GROUP, INC.</t>
  </si>
  <si>
    <t>0000950170-24-056931</t>
  </si>
  <si>
    <t>Civista Bancshares, Inc.</t>
  </si>
  <si>
    <t>0001437749-24-015106</t>
  </si>
  <si>
    <t>OPKO HEALTH, INC.</t>
  </si>
  <si>
    <t>Global Industrial Company</t>
  </si>
  <si>
    <t>0000945394-24-000042</t>
  </si>
  <si>
    <t>SERVICE PROPERTIES TRUST</t>
  </si>
  <si>
    <t>0001903596-24-000418</t>
  </si>
  <si>
    <t>AMERICAN CANNABIS COMPANY, INC.</t>
  </si>
  <si>
    <t>POOL CORPORATION</t>
  </si>
  <si>
    <t>0001437749-24-025120</t>
  </si>
  <si>
    <t>Climb Global Solutions, Inc.</t>
  </si>
  <si>
    <t>0001628280-24-020223</t>
  </si>
  <si>
    <t>TIAA REAL ESTATE ACCOUNT</t>
  </si>
  <si>
    <t>0001437749-24-027232</t>
  </si>
  <si>
    <t>WINDTREE THERAPEUTICS INC /DE/</t>
  </si>
  <si>
    <t>0001558370-24-008277</t>
  </si>
  <si>
    <t>RETRACTABLE TECHNOLOGIES INC</t>
  </si>
  <si>
    <t>0001493152-24-019917</t>
  </si>
  <si>
    <t>AIM IMMUNOTECH INC.</t>
  </si>
  <si>
    <t>0000950170-24-091781</t>
  </si>
  <si>
    <t>Premier Financial Corp.</t>
  </si>
  <si>
    <t>0000946673-24-000025</t>
  </si>
  <si>
    <t>BANNER CORPORATION</t>
  </si>
  <si>
    <t>0000947484-24-000073</t>
  </si>
  <si>
    <t>ARCH CAPITAL GROUP LTD.</t>
  </si>
  <si>
    <t>0000947559-24-000046</t>
  </si>
  <si>
    <t>THE FIRST BANCSHARES, INC.</t>
  </si>
  <si>
    <t>0001493152-24-018250</t>
  </si>
  <si>
    <t>LIFEMD, INC.</t>
  </si>
  <si>
    <t>0000948708-24-000020</t>
  </si>
  <si>
    <t>SMITH MICRO SOFTWARE, INC.</t>
  </si>
  <si>
    <t>0000950170-24-055809</t>
  </si>
  <si>
    <t>Diamond Offshore Drilling, Inc.</t>
  </si>
  <si>
    <t>0000949157-24-000046</t>
  </si>
  <si>
    <t>Century Aluminum Company</t>
  </si>
  <si>
    <t>0000950170-24-096193</t>
  </si>
  <si>
    <t>Achieve Life Sciences, Inc.</t>
  </si>
  <si>
    <t>CA-BC</t>
  </si>
  <si>
    <t>THE BOSTON BEER COMPANY, INC.</t>
  </si>
  <si>
    <t>0001999371-24-005847</t>
  </si>
  <si>
    <t>INCOME OPPORTUNITY REALTY INVESTORS, INC.</t>
  </si>
  <si>
    <t>0000950170-24-054668</t>
  </si>
  <si>
    <t>MEDALLION FINANCIAL CORP</t>
  </si>
  <si>
    <t>0001000228-24-000025</t>
  </si>
  <si>
    <t>HENRY SCHEIN, INC.</t>
  </si>
  <si>
    <t>0001437749-24-028941</t>
  </si>
  <si>
    <t>OPTICAL CABLE CORPORATION</t>
  </si>
  <si>
    <t>0001000623-24-000020</t>
  </si>
  <si>
    <t>MATIV HOLDINGS, INC.</t>
  </si>
  <si>
    <t>0001000694-24-000031</t>
  </si>
  <si>
    <t>NOVAVAX, INC.</t>
  </si>
  <si>
    <t>MD-</t>
  </si>
  <si>
    <t>0001000753-24-000034</t>
  </si>
  <si>
    <t>Insperity, Inc.</t>
  </si>
  <si>
    <t>0001437749-24-025790</t>
  </si>
  <si>
    <t>GEOSPACE TECHNOLOGIES CORP</t>
  </si>
  <si>
    <t>0001140361-24-027470</t>
  </si>
  <si>
    <t>BROADWAY FINANCIAL CORPORATION</t>
  </si>
  <si>
    <t>0001628280-24-022194</t>
  </si>
  <si>
    <t>SANGAMO THERAPEUTICS, INC.</t>
  </si>
  <si>
    <t>0001437749-24-025853</t>
  </si>
  <si>
    <t>TG THERAPEUTICS, INC.</t>
  </si>
  <si>
    <t>0001437749-24-014358</t>
  </si>
  <si>
    <t>Northwest Pipe Co.</t>
  </si>
  <si>
    <t>0001001614-24-000048</t>
  </si>
  <si>
    <t>Riley Exploration Permian, Inc.</t>
  </si>
  <si>
    <t>0001193125-24-125052</t>
  </si>
  <si>
    <t>INTEVAC, INC.</t>
  </si>
  <si>
    <t>0001437749-24-016375</t>
  </si>
  <si>
    <t>ASTROTECH Corp</t>
  </si>
  <si>
    <t>0000950170-24-051273</t>
  </si>
  <si>
    <t>STAR GROUP, L.P.</t>
  </si>
  <si>
    <t>0001002638-24-000025</t>
  </si>
  <si>
    <t>OPEN TEXT CORP</t>
  </si>
  <si>
    <t>0001003078-24-000050</t>
  </si>
  <si>
    <t>MSC INDUSTRIAL DIRECT CO., INC.</t>
  </si>
  <si>
    <t>0001004434-24-000030</t>
  </si>
  <si>
    <t>AFFILIATED MANAGERS GROUP, INC.</t>
  </si>
  <si>
    <t>0001004702-24-000077</t>
  </si>
  <si>
    <t>OceanFirst Financial Corp</t>
  </si>
  <si>
    <t>0000950170-24-060062</t>
  </si>
  <si>
    <t>Regional Health Properties, Inc.</t>
  </si>
  <si>
    <t>0001437749-24-017065</t>
  </si>
  <si>
    <t>SPAR GROUP, Inc.</t>
  </si>
  <si>
    <t>0001493152-24-018895</t>
  </si>
  <si>
    <t>THE MARYGOLD COMPANIES, INC.</t>
  </si>
  <si>
    <t>0000950170-24-056636</t>
  </si>
  <si>
    <t>SUBURBAN PROPANE PARTNERS LP</t>
  </si>
  <si>
    <t>0000950170-24-052114</t>
  </si>
  <si>
    <t>UNIVERSAL DISPLAY CORPORATION</t>
  </si>
  <si>
    <t>0001005286-24-000112</t>
  </si>
  <si>
    <t>LIFECORE BIOMEDICAL, INC.</t>
  </si>
  <si>
    <t>0001493152-24-023350</t>
  </si>
  <si>
    <t>IDT CORPORATION</t>
  </si>
  <si>
    <t>0000950170-24-051767</t>
  </si>
  <si>
    <t>CSG SYSTEMS INTERNATIONAL, INC.</t>
  </si>
  <si>
    <t>0001005817-24-000014</t>
  </si>
  <si>
    <t>Tompkins Financial Corp</t>
  </si>
  <si>
    <t>0001493152-24-023869</t>
  </si>
  <si>
    <t>PURE Bioscience, Inc.</t>
  </si>
  <si>
    <t>0000950170-24-059771</t>
  </si>
  <si>
    <t>IRIDEX CORP</t>
  </si>
  <si>
    <t>0001558370-24-007695</t>
  </si>
  <si>
    <t>PROTALIX BIOTHERAPEUTICS, INC.</t>
  </si>
  <si>
    <t>0001558370-24-007347</t>
  </si>
  <si>
    <t>EVOLUTION PETROLEUM CORP</t>
  </si>
  <si>
    <t>0001437749-24-014990</t>
  </si>
  <si>
    <t>CONSUMERS BANCORP INC /OH/</t>
  </si>
  <si>
    <t>0001006837-24-000079</t>
  </si>
  <si>
    <t>INNOVATE CORP.</t>
  </si>
  <si>
    <t>0001493152-24-036225</t>
  </si>
  <si>
    <t>COFFEE     HOLDING CO., INC.</t>
  </si>
  <si>
    <t>0001007587-24-000005</t>
  </si>
  <si>
    <t>KVH Industries, Inc.</t>
  </si>
  <si>
    <t>0001437749-24-029055</t>
  </si>
  <si>
    <t>STREAMLINE HEALTH SOLUTIONS INC.</t>
  </si>
  <si>
    <t>0001493152-24-019384</t>
  </si>
  <si>
    <t>Ecomax,     Inc.</t>
  </si>
  <si>
    <t>0000950170-24-059114</t>
  </si>
  <si>
    <t>ACORDA THERAPEUTICS, INC.</t>
  </si>
  <si>
    <t>0001185185-24-000762</t>
  </si>
  <si>
    <t>JAKKS Pacific, Inc.</t>
  </si>
  <si>
    <t>0001213900-24-043567</t>
  </si>
  <si>
    <t>AIR INDUSTRIES GROUP</t>
  </si>
  <si>
    <t>INVECH HOLDINGS, INC.</t>
  </si>
  <si>
    <t>0001437749-24-015124</t>
  </si>
  <si>
    <t>Siga Technologies INC</t>
  </si>
  <si>
    <t>0000939057-24-000106</t>
  </si>
  <si>
    <t>PROVIDENT FINANCIAL HOLDINGS, INC.</t>
  </si>
  <si>
    <t>0001558370-24-012118</t>
  </si>
  <si>
    <t>Golden Minerals Co</t>
  </si>
  <si>
    <t>0001437749-24-015965</t>
  </si>
  <si>
    <t>RUSH ENTERPRISES, INC.</t>
  </si>
  <si>
    <t>0001628280-24-020037</t>
  </si>
  <si>
    <t>SEALED AIR CORP/DE</t>
  </si>
  <si>
    <t>0001012477-24-000017</t>
  </si>
  <si>
    <t>AVADEL PHARMACEUTICALS PLC</t>
  </si>
  <si>
    <t>0001013237-24-000049</t>
  </si>
  <si>
    <t>FACTSET RESEARCH SYSTEMS INC.</t>
  </si>
  <si>
    <t>0001562762-24-000132</t>
  </si>
  <si>
    <t>Norwood Financial Corp</t>
  </si>
  <si>
    <t>0001013462-24-000024</t>
  </si>
  <si>
    <t>ANSYS, Inc.</t>
  </si>
  <si>
    <t>0000950170-24-053699</t>
  </si>
  <si>
    <t>BJ’S RESTAURANTS, INC.</t>
  </si>
  <si>
    <t>0001683168-24-005598</t>
  </si>
  <si>
    <t>WILHELMINA     INTERNATIONAL, INC.</t>
  </si>
  <si>
    <t>PEGASYSTEMS INC.</t>
  </si>
  <si>
    <t>0001013871-24-000010</t>
  </si>
  <si>
    <t>NRG Energy, Inc</t>
  </si>
  <si>
    <t>0001558370-24-007368</t>
  </si>
  <si>
    <t>TTEC Holdings, Inc.</t>
  </si>
  <si>
    <t>0001013934-24-000007</t>
  </si>
  <si>
    <t>Strategic Education, Inc.</t>
  </si>
  <si>
    <t>0001213900-24-052894</t>
  </si>
  <si>
    <t>DIGERATI TECHNOLOGIES, INC.</t>
  </si>
  <si>
    <t>0001014473-24-000023</t>
  </si>
  <si>
    <t>VERISIGN INC/CA</t>
  </si>
  <si>
    <t>OPTION CARE HEALTH, INC.</t>
  </si>
  <si>
    <t>0001493152-24-018885</t>
  </si>
  <si>
    <t>AINOS, INC.</t>
  </si>
  <si>
    <t>0001140361-24-024560</t>
  </si>
  <si>
    <t>Charles &amp; Colvard, Ltd.</t>
  </si>
  <si>
    <t>0001015328-24-000143</t>
  </si>
  <si>
    <t>WINTRUST FINANCIAL CORP</t>
  </si>
  <si>
    <t>0000950170-24-094716</t>
  </si>
  <si>
    <t>AWARE, INC.</t>
  </si>
  <si>
    <t>0001016281-24-000091</t>
  </si>
  <si>
    <t>CARRIAGE SERVICES, INC.</t>
  </si>
  <si>
    <t>0001437749-24-016015</t>
  </si>
  <si>
    <t>INTEGRATED BIOPHARMA INC</t>
  </si>
  <si>
    <t>0001140361-24-026005</t>
  </si>
  <si>
    <t>TRANSACT TECHNOLOGIES INC</t>
  </si>
  <si>
    <t>0001017480-24-000070</t>
  </si>
  <si>
    <t>HIBBETT, INC.</t>
  </si>
  <si>
    <t>0001410578-24-000773</t>
  </si>
  <si>
    <t>SEELOS THERAPEUTICS, INC.</t>
  </si>
  <si>
    <t>0001437749-24-027219</t>
  </si>
  <si>
    <t>PAID, Inc.</t>
  </si>
  <si>
    <t>0001018164-24-000032</t>
  </si>
  <si>
    <t>WILLIS LEASE FINANCE CORP</t>
  </si>
  <si>
    <t>0001018399-24-000041</t>
  </si>
  <si>
    <t>Enterprise Bancorp, Inc.</t>
  </si>
  <si>
    <t>0001018724-24-000083</t>
  </si>
  <si>
    <t>AMAZON.COM, INC.</t>
  </si>
  <si>
    <t>0001018840-24-000041</t>
  </si>
  <si>
    <t>Abercrombie &amp; Fitch Co.</t>
  </si>
  <si>
    <t>0001628280-24-019285</t>
  </si>
  <si>
    <t>ATI Inc.</t>
  </si>
  <si>
    <t>0000950170-24-049070</t>
  </si>
  <si>
    <t>AMERISAFE, INC.</t>
  </si>
  <si>
    <t>0001437749-24-026861</t>
  </si>
  <si>
    <t>BIO KEY INTERNATIONAL INC</t>
  </si>
  <si>
    <t>0001019849-24-000058</t>
  </si>
  <si>
    <t>Penske Automotive Group, Inc.</t>
  </si>
  <si>
    <t>0000950170-24-052296</t>
  </si>
  <si>
    <t>CERUS CORPORATION</t>
  </si>
  <si>
    <t>0001020710-24-000072</t>
  </si>
  <si>
    <t>DXP Enterprises, Inc.</t>
  </si>
  <si>
    <t>0001020859-24-000029</t>
  </si>
  <si>
    <t>UNITED NATURAL FOODS, INC.</t>
  </si>
  <si>
    <t>0000950170-24-067390</t>
  </si>
  <si>
    <t>Triumph Group, Inc.</t>
  </si>
  <si>
    <t>0001140361-24-025012</t>
  </si>
  <si>
    <t>NU SKIN ENTERPRISES, INC.</t>
  </si>
  <si>
    <t>0000950170-24-050701</t>
  </si>
  <si>
    <t>OGE ENERGY CORP.</t>
  </si>
  <si>
    <t>0000950170-24-048859</t>
  </si>
  <si>
    <t>NOV INC.</t>
  </si>
  <si>
    <t>0001493152-24-019845</t>
  </si>
  <si>
    <t>AWAYSIS CAPITAL, INC.</t>
  </si>
  <si>
    <t>0001022079-24-000099</t>
  </si>
  <si>
    <t>Quest Diagnostics Inc</t>
  </si>
  <si>
    <t>0001022321-24-000051</t>
  </si>
  <si>
    <t>GENESIS ENERGY LP</t>
  </si>
  <si>
    <t>0001493152-24-030485</t>
  </si>
  <si>
    <t>SideChannel, Inc.</t>
  </si>
  <si>
    <t>0001022652-24-000006</t>
  </si>
  <si>
    <t>INSEEGO CORP.</t>
  </si>
  <si>
    <t>0001558370-24-007736</t>
  </si>
  <si>
    <t>Steel Dynamics, Inc.</t>
  </si>
  <si>
    <t>0001493152-24-032349</t>
  </si>
  <si>
    <t>Protagenic Therapeutics, Inc.\new</t>
  </si>
  <si>
    <t>0001023024-24-000057</t>
  </si>
  <si>
    <t>ANI PHARMACEUTICALS, INC</t>
  </si>
  <si>
    <t>0001023128-24-000064</t>
  </si>
  <si>
    <t>Lithia Motors, Inc.</t>
  </si>
  <si>
    <t>0000950170-24-052499</t>
  </si>
  <si>
    <t>FORRESTER RESEARCH, INC.</t>
  </si>
  <si>
    <t>0001023459-24-000048</t>
  </si>
  <si>
    <t>Simulations Plus, Inc.</t>
  </si>
  <si>
    <t>0001024305-24-000023</t>
  </si>
  <si>
    <t>COTY INC.</t>
  </si>
  <si>
    <t>0001024478-24-000052</t>
  </si>
  <si>
    <t>ROCKWELL AUTOMATION, INC</t>
  </si>
  <si>
    <t>0000950170-24-056684</t>
  </si>
  <si>
    <t>HELIOS TECHNOLOGIES, INC.</t>
  </si>
  <si>
    <t>0001025378-24-000081</t>
  </si>
  <si>
    <t>W. P. Carey Inc.</t>
  </si>
  <si>
    <t>0001477932-24-004433</t>
  </si>
  <si>
    <t>Chase Packaging Corporation</t>
  </si>
  <si>
    <t>0001025835-24-000029</t>
  </si>
  <si>
    <t>ENTERPRISE FINANCIAL SERVICES CORP</t>
  </si>
  <si>
    <t>0001026214-24-000039</t>
  </si>
  <si>
    <t>Federal Home Loan Mortgage Corporation</t>
  </si>
  <si>
    <t>0001026655-24-000059</t>
  </si>
  <si>
    <t>CORE MOLDING TECHNOLOGIES, INC.</t>
  </si>
  <si>
    <t>0001558370-24-006795</t>
  </si>
  <si>
    <t>Tactile Systems Technology, Inc.</t>
  </si>
  <si>
    <t>0001028918-24-000082</t>
  </si>
  <si>
    <t>PACIFIC PREMIER BANCORP INC</t>
  </si>
  <si>
    <t>0001437749-24-026462</t>
  </si>
  <si>
    <t>Panbela Therapeutics, Inc.</t>
  </si>
  <si>
    <t>0000950170-24-055653</t>
  </si>
  <si>
    <t>Dynavax Technologies Corporation</t>
  </si>
  <si>
    <t>0001213900-24-039798</t>
  </si>
  <si>
    <t>EURONET WORLDWIDE, INC.</t>
  </si>
  <si>
    <t>0001654954-24-009573</t>
  </si>
  <si>
    <t>IDAHO STRATEGIC RESOURCES, INC</t>
  </si>
  <si>
    <t>0001030469-24-000019</t>
  </si>
  <si>
    <t>OFG Bancorp</t>
  </si>
  <si>
    <t>0001079973-24-000871</t>
  </si>
  <si>
    <t>SILVER BULL RESOURCES, INC.</t>
  </si>
  <si>
    <t>0001031203-24-000033</t>
  </si>
  <si>
    <t>Group 1 Automotive, Inc</t>
  </si>
  <si>
    <t>0000950170-24-094717</t>
  </si>
  <si>
    <t>GLOBAL SELF STORAGE, INC.</t>
  </si>
  <si>
    <t>0001031296-24-000026</t>
  </si>
  <si>
    <t>FIRSTENERGY CORP.</t>
  </si>
  <si>
    <t>0001031308-24-000004</t>
  </si>
  <si>
    <t>BENTLEY SYSTEMS, INCORPORATED</t>
  </si>
  <si>
    <t>0000950170-24-092032</t>
  </si>
  <si>
    <t>Gulf Island Fabrication, Inc.</t>
  </si>
  <si>
    <t>0001628280-24-017666</t>
  </si>
  <si>
    <t>SLM Corp</t>
  </si>
  <si>
    <t>0001032208-24-000015</t>
  </si>
  <si>
    <t>SEMPRA</t>
  </si>
  <si>
    <t>0001032220-24-000075</t>
  </si>
  <si>
    <t>Maximus, Inc.</t>
  </si>
  <si>
    <t>0001034054-24-000005</t>
  </si>
  <si>
    <t>SBA COMMUNICATIONS CORPORATION</t>
  </si>
  <si>
    <t>0000950170-24-048710</t>
  </si>
  <si>
    <t>AUTOLIV, INC.</t>
  </si>
  <si>
    <t>0001654954-24-010643</t>
  </si>
  <si>
    <t>WidePoint Corporation</t>
  </si>
  <si>
    <t>0001558370-24-007041</t>
  </si>
  <si>
    <t>RIGEL PHARMACEUTICALS INC</t>
  </si>
  <si>
    <t>0001035002-24-000022</t>
  </si>
  <si>
    <t>VALERO ENERGY CORP/TX</t>
  </si>
  <si>
    <t>0001628280-24-036376</t>
  </si>
  <si>
    <t>SHORE BANCSHARES, INC.</t>
  </si>
  <si>
    <t>0001035201-24-000007</t>
  </si>
  <si>
    <t>CALIFORNIA WATER SERVICE GROUP</t>
  </si>
  <si>
    <t>0001035267-24-000137</t>
  </si>
  <si>
    <t>Intuitive Surgical, Inc.</t>
  </si>
  <si>
    <t>0001035443-24-000158</t>
  </si>
  <si>
    <t>ALEXANDRIA REAL ESTATE EQUITIES, INC.</t>
  </si>
  <si>
    <t>0001437749-24-014664</t>
  </si>
  <si>
    <t>FNCB BANCORP, INC.</t>
  </si>
  <si>
    <t>0001558370-24-005763</t>
  </si>
  <si>
    <t>Comfort Systems USA, Inc.</t>
  </si>
  <si>
    <t>0000950170-24-057322</t>
  </si>
  <si>
    <t>IDENTIV, INC.</t>
  </si>
  <si>
    <t>0001437749-24-025878</t>
  </si>
  <si>
    <t>INTEST CORP</t>
  </si>
  <si>
    <t>0001213900-24-070729</t>
  </si>
  <si>
    <t>MEGA MATRIX CORP.</t>
  </si>
  <si>
    <t>0001656423-24-000028</t>
  </si>
  <si>
    <t>BOSTON PROPERTIES, INC.</t>
  </si>
  <si>
    <t>0001037646-24-000027</t>
  </si>
  <si>
    <t>Mettler Toledo International Inc</t>
  </si>
  <si>
    <t>0001558370-24-005745</t>
  </si>
  <si>
    <t>Arch Resources, Inc.</t>
  </si>
  <si>
    <t>0001037868-24-000030</t>
  </si>
  <si>
    <t>AMETEK, Inc.</t>
  </si>
  <si>
    <t>0001037976-24-000021</t>
  </si>
  <si>
    <t>Jones Lang LaSalle Incorporated</t>
  </si>
  <si>
    <t>0001437749-24-016847</t>
  </si>
  <si>
    <t>INTERNATIONAL ISOTOPES INC</t>
  </si>
  <si>
    <t>0001038357-24-000043</t>
  </si>
  <si>
    <t>PIONEER NATURAL RESOURCES CO</t>
  </si>
  <si>
    <t>0001558370-24-007644</t>
  </si>
  <si>
    <t>SMARTFINANCIAL INC.</t>
  </si>
  <si>
    <t>0001493152-24-020606</t>
  </si>
  <si>
    <t>NETSOL TECHNOLOGIES, INC.</t>
  </si>
  <si>
    <t>0001039399-24-000016</t>
  </si>
  <si>
    <t>FormFactor, Inc.</t>
  </si>
  <si>
    <t>0001185185-24-000506</t>
  </si>
  <si>
    <t>NovAccess Global Inc.</t>
  </si>
  <si>
    <t>0001039828-24-000071</t>
  </si>
  <si>
    <t>American National Group Inc.</t>
  </si>
  <si>
    <t>0001040161-24-000031</t>
  </si>
  <si>
    <t>PIXELWORKS, INC</t>
  </si>
  <si>
    <t>0001654954-24-004455</t>
  </si>
  <si>
    <t>AEHR TEST SYSTEMS</t>
  </si>
  <si>
    <t>0001628280-24-023185</t>
  </si>
  <si>
    <t>Intellicheck, Inc.</t>
  </si>
  <si>
    <t>0001040971-24-000018</t>
  </si>
  <si>
    <t>SL GREEN REALTY CORP</t>
  </si>
  <si>
    <t>0001628280-24-035859</t>
  </si>
  <si>
    <t>ROCKWELL MEDICAL, INC.</t>
  </si>
  <si>
    <t>0001041061-24-000020</t>
  </si>
  <si>
    <t>YUM! BRANDS, INC.</t>
  </si>
  <si>
    <t>0000939057-24-000163</t>
  </si>
  <si>
    <t>RIVERVIEW BANCORP INC</t>
  </si>
  <si>
    <t>0001562762-24-000130</t>
  </si>
  <si>
    <t>LESAKA TECHNOLOGIES, INC.</t>
  </si>
  <si>
    <t>ZA-</t>
  </si>
  <si>
    <t>0001041657-24-000006</t>
  </si>
  <si>
    <t>URBAN ONE, INC.</t>
  </si>
  <si>
    <t>0001041803-24-000023</t>
  </si>
  <si>
    <t>PriceSmart, Inc.</t>
  </si>
  <si>
    <t>0001628280-24-027897</t>
  </si>
  <si>
    <t>THE CHILDREN’S PLACE, INC.</t>
  </si>
  <si>
    <t>0001042046-24-000012</t>
  </si>
  <si>
    <t>AMERICAN FINANCIAL GROUP, INC.</t>
  </si>
  <si>
    <t>0001493152-24-038294</t>
  </si>
  <si>
    <t>YUNHONG GREEN CTI LTD.</t>
  </si>
  <si>
    <t>0001493152-24-030381</t>
  </si>
  <si>
    <t>Inhibitor Therapeutics, Inc.</t>
  </si>
  <si>
    <t>0001437749-24-014488</t>
  </si>
  <si>
    <t>MERCANTILE BANK CORPORATION</t>
  </si>
  <si>
    <t>0001042776-24-000067</t>
  </si>
  <si>
    <t>Piedmont Office Realty Trust, Inc.</t>
  </si>
  <si>
    <t>0000950170-24-082111</t>
  </si>
  <si>
    <t>DRIL-QUIP, INC.</t>
  </si>
  <si>
    <t>0001628280-24-036747</t>
  </si>
  <si>
    <t>Sonida Senior Living, Inc.</t>
  </si>
  <si>
    <t>0001437749-24-025209</t>
  </si>
  <si>
    <t>Stabilis Solutions, Inc.</t>
  </si>
  <si>
    <t>0001628280-24-020047</t>
  </si>
  <si>
    <t>ANNALY CAPITAL MANAGEMENT INC</t>
  </si>
  <si>
    <t>0001043277-24-000042</t>
  </si>
  <si>
    <t>C.H. ROBINSON WORLDWIDE, INC.</t>
  </si>
  <si>
    <t>STONERIDGE, INC</t>
  </si>
  <si>
    <t>0001043509-24-000043</t>
  </si>
  <si>
    <t>SONIC AUTOMOTIVE, INC.</t>
  </si>
  <si>
    <t>0001043604-24-000066</t>
  </si>
  <si>
    <t>JUNIPER NETWORKS, INC.</t>
  </si>
  <si>
    <t>0001140361-24-037086</t>
  </si>
  <si>
    <t>CAMPBELL FUND TRUST</t>
  </si>
  <si>
    <t>OneSpan Inc.</t>
  </si>
  <si>
    <t>0001045450-24-000036</t>
  </si>
  <si>
    <t>EPR PROPERTIES</t>
  </si>
  <si>
    <t>0000950170-24-048421</t>
  </si>
  <si>
    <t>Prologis, Inc.</t>
  </si>
  <si>
    <t>0001628280-24-023108</t>
  </si>
  <si>
    <t>Live Ventures Incorporated</t>
  </si>
  <si>
    <t>0001045810-24-000124</t>
  </si>
  <si>
    <t>NVIDIA CORP</t>
  </si>
  <si>
    <t>0001437749-24-025664</t>
  </si>
  <si>
    <t>Track Group, Inc.</t>
  </si>
  <si>
    <t>0001046025-24-000112</t>
  </si>
  <si>
    <t>HERITAGE FINANCIAL CORP</t>
  </si>
  <si>
    <t>0000939057-24-000111</t>
  </si>
  <si>
    <t>TIMBERLAND BANCORP, INC.</t>
  </si>
  <si>
    <t>0001628280-24-022241</t>
  </si>
  <si>
    <t>RB Global, Inc</t>
  </si>
  <si>
    <t>0001046257-24-000018</t>
  </si>
  <si>
    <t>INGREDION INCORPORATED</t>
  </si>
  <si>
    <t>0001046311-24-000028</t>
  </si>
  <si>
    <t>CHOICE HOTELS INTERNATIONAL INC /DE</t>
  </si>
  <si>
    <t>0000950170-24-051293</t>
  </si>
  <si>
    <t>PERDOCEO EDUCATION CORP</t>
  </si>
  <si>
    <t>0001047127-24-000094</t>
  </si>
  <si>
    <t>AMKOR TECHNOLOGY, INC.</t>
  </si>
  <si>
    <t>0001437749-24-015736</t>
  </si>
  <si>
    <t>NATIONAL HEALTHCARE CORP</t>
  </si>
  <si>
    <t>0001047340-24-000127</t>
  </si>
  <si>
    <t>FRESH DEL MONTE PRODUCE INC</t>
  </si>
  <si>
    <t>0001047862-24-000030</t>
  </si>
  <si>
    <t>Consolidated Edison, Inc.</t>
  </si>
  <si>
    <t>0001628280-24-033679</t>
  </si>
  <si>
    <t>MARRIOTT INTERNATIONAL INC /MD/</t>
  </si>
  <si>
    <t>0001048477-24-000070</t>
  </si>
  <si>
    <t>BioMarin Pharmaceutical Inc</t>
  </si>
  <si>
    <t>0001048695-24-000079</t>
  </si>
  <si>
    <t>F5, INC.</t>
  </si>
  <si>
    <t>0000950170-24-034709</t>
  </si>
  <si>
    <t>FedEx Corporation</t>
  </si>
  <si>
    <t>0001493152-24-020627</t>
  </si>
  <si>
    <t>KID CASTLE EDUCATIONAL CORPORATION</t>
  </si>
  <si>
    <t>0000950170-24-093615</t>
  </si>
  <si>
    <t>MKS INSTRUMENTS, INC.</t>
  </si>
  <si>
    <t>0001049521-24-000017</t>
  </si>
  <si>
    <t>MERCURY SYSTEMS, INC.</t>
  </si>
  <si>
    <t>0001558370-24-007052</t>
  </si>
  <si>
    <t>COMPX INTERNATIONAL INC</t>
  </si>
  <si>
    <t>0001049782-24-000024</t>
  </si>
  <si>
    <t>BROOKLINE BANCORP, INC</t>
  </si>
  <si>
    <t>0001558370-24-006387</t>
  </si>
  <si>
    <t>PC CONNECTION, INC.</t>
  </si>
  <si>
    <t>0001050441-24-000079</t>
  </si>
  <si>
    <t>Eagle Bancorp, Inc.</t>
  </si>
  <si>
    <t>MICROSTRATEGY INCORPORATED</t>
  </si>
  <si>
    <t>0000950170-24-057676</t>
  </si>
  <si>
    <t>PEAPACK-GLADSTONE FINANCIAL CORPORATION</t>
  </si>
  <si>
    <t>0001050825-24-000060</t>
  </si>
  <si>
    <t>STEELCASE INC</t>
  </si>
  <si>
    <t>0001050915-24-000082</t>
  </si>
  <si>
    <t>Quanta Services, Inc.</t>
  </si>
  <si>
    <t>0001051470-24-000143</t>
  </si>
  <si>
    <t>CROWN CASTLE INC.</t>
  </si>
  <si>
    <t>0001051512-24-000033</t>
  </si>
  <si>
    <t>TELEPHONE AND DATA SYSTEMS, INC.</t>
  </si>
  <si>
    <t>0001140361-24-037362</t>
  </si>
  <si>
    <t>STRATA SKIN SCIENCES, INC.</t>
  </si>
  <si>
    <t>0001558370-24-007792</t>
  </si>
  <si>
    <t>AXT INC</t>
  </si>
  <si>
    <t>0000950170-24-049250</t>
  </si>
  <si>
    <t>GETTY REALTY CORP.</t>
  </si>
  <si>
    <t>0001558370-24-011622</t>
  </si>
  <si>
    <t>HERITAGE COMMERCE CORP</t>
  </si>
  <si>
    <t>0001437749-24-013248</t>
  </si>
  <si>
    <t>MACATAWA BANK CORP</t>
  </si>
  <si>
    <t>0001437749-24-016615</t>
  </si>
  <si>
    <t>CervoMed Inc.</t>
  </si>
  <si>
    <t>CRA International, Inc.</t>
  </si>
  <si>
    <t>0001493152-24-030772</t>
  </si>
  <si>
    <t>Interpace     Biosciences, Inc.</t>
  </si>
  <si>
    <t>0001055160-24-000018</t>
  </si>
  <si>
    <t>MFA FINANCIAL, INC.</t>
  </si>
  <si>
    <t>0001055726-24-000046</t>
  </si>
  <si>
    <t>INOVIO PHARMACEUTICALS, INC.</t>
  </si>
  <si>
    <t>0001056288-24-000014</t>
  </si>
  <si>
    <t>Federated Hermes, Inc.</t>
  </si>
  <si>
    <t>0001056358-24-000063</t>
  </si>
  <si>
    <t>MANNATECH, INCORPORATED</t>
  </si>
  <si>
    <t>0000950170-24-049203</t>
  </si>
  <si>
    <t>MANHATTAN ASSOCIATES, INC.</t>
  </si>
  <si>
    <t>0001628280-24-035232</t>
  </si>
  <si>
    <t>American States Water Co</t>
  </si>
  <si>
    <t>0001558370-24-011338</t>
  </si>
  <si>
    <t>PEOPLES FINANCIAL SERVICES CORP.</t>
  </si>
  <si>
    <t>0000950170-24-048260</t>
  </si>
  <si>
    <t>MARINEMAX, INC.</t>
  </si>
  <si>
    <t>CoStar Group, Inc.</t>
  </si>
  <si>
    <t>0000950170-24-092921</t>
  </si>
  <si>
    <t>Hackett Group, Inc.</t>
  </si>
  <si>
    <t>0001057706-24-000007</t>
  </si>
  <si>
    <t>0001057877-24-000027</t>
  </si>
  <si>
    <t>IDACORP, Inc.</t>
  </si>
  <si>
    <t>CHIPOTLE MEXICAN GRILL, INC.</t>
  </si>
  <si>
    <t>COGNIZANT TECHNOLOGY SOLUTIONS CORPORATION</t>
  </si>
  <si>
    <t>0001437749-24-017030</t>
  </si>
  <si>
    <t>NextPlat Corp</t>
  </si>
  <si>
    <t>Cumulus Media Inc.</t>
  </si>
  <si>
    <t>0001213900-24-040912</t>
  </si>
  <si>
    <t>Immersion Corporation</t>
  </si>
  <si>
    <t>0000950170-24-053611</t>
  </si>
  <si>
    <t>GUARANTY BANCSHARES, INC.</t>
  </si>
  <si>
    <t>0000950170-24-055101</t>
  </si>
  <si>
    <t>GREYSTONE HOUSING IMPACT INVESTORS LP</t>
  </si>
  <si>
    <t>0001059556-24-000090</t>
  </si>
  <si>
    <t>Moody’s Corporation</t>
  </si>
  <si>
    <t>0001060391-24-000205</t>
  </si>
  <si>
    <t>REPUBLIC SERVICES, INC.</t>
  </si>
  <si>
    <t>0001060822-24-000113</t>
  </si>
  <si>
    <t>CARTER’S, INC.</t>
  </si>
  <si>
    <t>ICON plc</t>
  </si>
  <si>
    <t>-</t>
  </si>
  <si>
    <t>0000950170-24-096982</t>
  </si>
  <si>
    <t>VIRACTA THERAPEUTICS, INC.</t>
  </si>
  <si>
    <t>0001437749-24-015406</t>
  </si>
  <si>
    <t>AVALON HOLDINGS CORPORATION</t>
  </si>
  <si>
    <t>0001477932-24-004368</t>
  </si>
  <si>
    <t>PEREGRINE INDUSTRIES, INC.</t>
  </si>
  <si>
    <t>0001061219-24-000011</t>
  </si>
  <si>
    <t>ENTERPRISE PRODUCTS PARTNERS L.P.</t>
  </si>
  <si>
    <t>0001061630-24-000064</t>
  </si>
  <si>
    <t>Blackstone Mortgage Trust, Inc.</t>
  </si>
  <si>
    <t>0000950170-24-094743</t>
  </si>
  <si>
    <t>CYTOKINETICS, INCORPORATED</t>
  </si>
  <si>
    <t>0001062231-24-000054</t>
  </si>
  <si>
    <t>AMERICAN AXLE &amp; MANUFACTURING HOLDINGS, INC</t>
  </si>
  <si>
    <t>0001548123-24-000094</t>
  </si>
  <si>
    <t>ATLANTICA INC.</t>
  </si>
  <si>
    <t>0001062822-24-000046</t>
  </si>
  <si>
    <t>Lexicon Pharmaceuticals, Inc.</t>
  </si>
  <si>
    <t>0001437749-24-016302</t>
  </si>
  <si>
    <t>RiceBran Technologies</t>
  </si>
  <si>
    <t>0001493152-24-020726</t>
  </si>
  <si>
    <t>GIVEMEPOWER CORPORATION</t>
  </si>
  <si>
    <t>0001064728-24-000077</t>
  </si>
  <si>
    <t>PEABODY ENERGY CORP</t>
  </si>
  <si>
    <t>Centrus Energy Corp.</t>
  </si>
  <si>
    <t>0001072613-24-000458</t>
  </si>
  <si>
    <t>NETWORK-1 TECHNOLOGIES, INC.</t>
  </si>
  <si>
    <t>0001065088-24-000076</t>
  </si>
  <si>
    <t>eBay Inc.</t>
  </si>
  <si>
    <t>0001065280-24-000128</t>
  </si>
  <si>
    <t>Netflix, Inc.</t>
  </si>
  <si>
    <t>0001065696-24-000086</t>
  </si>
  <si>
    <t>LKQ CORPORATION</t>
  </si>
  <si>
    <t>0000950170-24-052923</t>
  </si>
  <si>
    <t>SKECHERS USA INC</t>
  </si>
  <si>
    <t>0001558370-24-012767</t>
  </si>
  <si>
    <t>eGain Corporation</t>
  </si>
  <si>
    <t>0001066605-24-000028</t>
  </si>
  <si>
    <t>HEIDRICK &amp; STRUGGLES INTERNATIONAL, INC.</t>
  </si>
  <si>
    <t>0001193125-24-135115</t>
  </si>
  <si>
    <t>CERES CLASSIC L.P.</t>
  </si>
  <si>
    <t>0001410578-24-000806</t>
  </si>
  <si>
    <t>THEGLOBE.COM, INC.</t>
  </si>
  <si>
    <t>0001493152-24-019929</t>
  </si>
  <si>
    <t>BITECH TECHNOLOGIES CORPORATION</t>
  </si>
  <si>
    <t>0001213900-24-045190</t>
  </si>
  <si>
    <t>Future FinTech Group Inc.</t>
  </si>
  <si>
    <t>0001140361-24-028029</t>
  </si>
  <si>
    <t>Cracker Barrel Old Country Store, Inc.</t>
  </si>
  <si>
    <t>0001067701-24-000016</t>
  </si>
  <si>
    <t>United Rentals, Inc.</t>
  </si>
  <si>
    <t>0001628280-24-036469</t>
  </si>
  <si>
    <t>Audacy, Inc.</t>
  </si>
  <si>
    <t>0000950170-24-053185</t>
  </si>
  <si>
    <t>BERKSHIRE HATHAWAY INC</t>
  </si>
  <si>
    <t>0001068148-24-000005</t>
  </si>
  <si>
    <t>PARK OHIO INDUSTRIES INC/OH</t>
  </si>
  <si>
    <t>0001493152-24-020043</t>
  </si>
  <si>
    <t>DATA443 RISK MITIGATION, INC.</t>
  </si>
  <si>
    <t>0000950170-24-055845</t>
  </si>
  <si>
    <t>PROSPERITY BANCSHARES, INC.</t>
  </si>
  <si>
    <t>0001069157-24-000046</t>
  </si>
  <si>
    <t>EAST WEST BANCORP, INC.</t>
  </si>
  <si>
    <t>0001069183-24-000049</t>
  </si>
  <si>
    <t>Axon Enterprise, Inc.</t>
  </si>
  <si>
    <t>0001628280-24-017634</t>
  </si>
  <si>
    <t>LENNOX INTERNATIONAL INC</t>
  </si>
  <si>
    <t>0001069258-24-000036</t>
  </si>
  <si>
    <t>KRATOS DEFENSE &amp; SECURITY SOLUTIONS, INC.</t>
  </si>
  <si>
    <t>0001493152-24-019962</t>
  </si>
  <si>
    <t>FLEXIBLE SOLUTIONS INTERNATIONAL INC.</t>
  </si>
  <si>
    <t>CA-AB</t>
  </si>
  <si>
    <t>0001437749-24-025611</t>
  </si>
  <si>
    <t>CASSAVA SCIENCES INC</t>
  </si>
  <si>
    <t>0001437749-24-024882</t>
  </si>
  <si>
    <t>RGC Resources, Inc.</t>
  </si>
  <si>
    <t>Trex Company, Inc.</t>
  </si>
  <si>
    <t>0001558370-24-007340</t>
  </si>
  <si>
    <t>Phibro Animal Health Corporation</t>
  </si>
  <si>
    <t>0001683168-24-005596</t>
  </si>
  <si>
    <t>AppTech Payments Corp.</t>
  </si>
  <si>
    <t>0001558370-24-005782</t>
  </si>
  <si>
    <t>PTC Therapeutics, Inc.</t>
  </si>
  <si>
    <t>0001171843-24-002868</t>
  </si>
  <si>
    <t>FIRST CAPITAL INC</t>
  </si>
  <si>
    <t>0001070412-24-000027</t>
  </si>
  <si>
    <t>CNX Resources Corporation</t>
  </si>
  <si>
    <t>0001070423-24-000014</t>
  </si>
  <si>
    <t>PLAINS ALL AMERICAN PIPELINE LP</t>
  </si>
  <si>
    <t>0000950170-24-056077</t>
  </si>
  <si>
    <t>ACADIA PHARMACEUTICALS INC.</t>
  </si>
  <si>
    <t>0001140361-24-025343</t>
  </si>
  <si>
    <t>GREENE COUNTY BANCORP, INC.</t>
  </si>
  <si>
    <t>0001070680-24-000017</t>
  </si>
  <si>
    <t>CF BANKSHARES INC.</t>
  </si>
  <si>
    <t>0001070750-24-000128</t>
  </si>
  <si>
    <t>HOST HOTELS &amp; RESORTS, INC.</t>
  </si>
  <si>
    <t>0001071236-24-000075</t>
  </si>
  <si>
    <t>Red River Bancshares, Inc.</t>
  </si>
  <si>
    <t>0001071255-24-000092</t>
  </si>
  <si>
    <t>GOLDEN ENTERTAINMENT, INC.</t>
  </si>
  <si>
    <t>0001071739-24-000097</t>
  </si>
  <si>
    <t>CENTENE CORPORATION</t>
  </si>
  <si>
    <t>0001410578-24-000741</t>
  </si>
  <si>
    <t>NORTHWEST BIOTHERAPEUTICS, INC</t>
  </si>
  <si>
    <t>0001072725-24-000017</t>
  </si>
  <si>
    <t>GOLD RESERVE INC.</t>
  </si>
  <si>
    <t>0001654954-24-010633</t>
  </si>
  <si>
    <t>KNOW LABS, INC.</t>
  </si>
  <si>
    <t>0001074902-24-000079</t>
  </si>
  <si>
    <t>LCNB Corp.</t>
  </si>
  <si>
    <t>0001075415-24-000023</t>
  </si>
  <si>
    <t>DIVERSIFIED HEALTHCARE TRUST</t>
  </si>
  <si>
    <t>0001654954-24-010039</t>
  </si>
  <si>
    <t>Crexendo, Inc.</t>
  </si>
  <si>
    <t>0000950170-24-054007</t>
  </si>
  <si>
    <t>NOVANTA INC.</t>
  </si>
  <si>
    <t>0001077183-24-000109</t>
  </si>
  <si>
    <t>NEOGENOMICS, INC.</t>
  </si>
  <si>
    <t>0001077428-24-000092</t>
  </si>
  <si>
    <t>TEXAS CAPITAL BANCSHARES INC/TX</t>
  </si>
  <si>
    <t>0001185185-24-000620</t>
  </si>
  <si>
    <t>HOOKER FURNISHINGS CORPORATION</t>
  </si>
  <si>
    <t>0000950170-24-052140</t>
  </si>
  <si>
    <t>EXTREME NETWORKS, INC.</t>
  </si>
  <si>
    <t>0001493152-24-015643</t>
  </si>
  <si>
    <t>MANHATTAN BRIDGE CAPITAL, INC.</t>
  </si>
  <si>
    <t>0001683168-24-003383</t>
  </si>
  <si>
    <t>PATRIOT GOLD CORP.</t>
  </si>
  <si>
    <t>0001437749-24-016619</t>
  </si>
  <si>
    <t>Presidio Property Trust, Inc.</t>
  </si>
  <si>
    <t>0001081316-24-000010</t>
  </si>
  <si>
    <t>BERKSHIRE HATHAWAY ENERGY COMPANY</t>
  </si>
  <si>
    <t>0001493152-24-019215</t>
  </si>
  <si>
    <t>INTELLINETICS, INC.</t>
  </si>
  <si>
    <t>0001214659-24-014588</t>
  </si>
  <si>
    <t>KUBER RESOURCES CORPORATION</t>
  </si>
  <si>
    <t>0001683168-24-004460</t>
  </si>
  <si>
    <t>CANNAPHARMARX, INC.</t>
  </si>
  <si>
    <t>0000950170-24-096972</t>
  </si>
  <si>
    <t>DURECT CORP</t>
  </si>
  <si>
    <t>0001140361-24-026230</t>
  </si>
  <si>
    <t>VirnetX Holding Corp</t>
  </si>
  <si>
    <t>0001082554-24-000025</t>
  </si>
  <si>
    <t>United Therapeutics Corporation</t>
  </si>
  <si>
    <t>0001654954-24-006412</t>
  </si>
  <si>
    <t>VISIUM TECHNOLOGIES, INC.</t>
  </si>
  <si>
    <t>0001558370-24-008490</t>
  </si>
  <si>
    <t>XCEL BRANDS, INC.</t>
  </si>
  <si>
    <t>0001083301-24-000103</t>
  </si>
  <si>
    <t>TERAWULF INC.</t>
  </si>
  <si>
    <t>0001628280-24-022272</t>
  </si>
  <si>
    <t>Astrana Health, Inc.</t>
  </si>
  <si>
    <t>0001410578-24-001046</t>
  </si>
  <si>
    <t>SUNRISE REAL ESTATE GROUP INC</t>
  </si>
  <si>
    <t>0001437749-24-017021</t>
  </si>
  <si>
    <t>JONES SODA CO</t>
  </si>
  <si>
    <t>0001493152-24-018968</t>
  </si>
  <si>
    <t>FLUX POWER HOLDINGS, INC.</t>
  </si>
  <si>
    <t>0001084048-24-000047</t>
  </si>
  <si>
    <t>ZIFF DAVIS, INC.</t>
  </si>
  <si>
    <t>0001264931-24-000027</t>
  </si>
  <si>
    <t>REAL BRANDS INC.</t>
  </si>
  <si>
    <t>0001683168-24-005500</t>
  </si>
  <si>
    <t>MOBIQUITY TECHNOLOGIES, INC.</t>
  </si>
  <si>
    <t>0001493152-24-020613</t>
  </si>
  <si>
    <t>VIDEO RIVER NETWORKS, INC.</t>
  </si>
  <si>
    <t>0001477932-24-002689</t>
  </si>
  <si>
    <t>LIGHTBRIDGE CORPORATION</t>
  </si>
  <si>
    <t>0001084765-24-000052</t>
  </si>
  <si>
    <t>RESOURCES CONNECTION, INC.</t>
  </si>
  <si>
    <t>0001437749-24-015273</t>
  </si>
  <si>
    <t>1 800 FLOWERS COM INC</t>
  </si>
  <si>
    <t>0001084961-24-000048</t>
  </si>
  <si>
    <t>ENCORE CAPITAL GROUP, INC.</t>
  </si>
  <si>
    <t>0001084991-24-000089</t>
  </si>
  <si>
    <t>NATURAL GAS SERVICES GROUP, INC.</t>
  </si>
  <si>
    <t>0001493152-24-019234</t>
  </si>
  <si>
    <t>VIRTRA, INC.</t>
  </si>
  <si>
    <t>0001663577-24-000234</t>
  </si>
  <si>
    <t>Skinvisible, Inc.</t>
  </si>
  <si>
    <t>0001085392-24-000018</t>
  </si>
  <si>
    <t>PUGET ENERGY INC /WA</t>
  </si>
  <si>
    <t>0001085869-24-000084</t>
  </si>
  <si>
    <t>PERFICIENT INC</t>
  </si>
  <si>
    <t>0001140361-24-025234</t>
  </si>
  <si>
    <t>FARMERS &amp; MERCHANTS BANCORP</t>
  </si>
  <si>
    <t>0001086222-24-000148</t>
  </si>
  <si>
    <t>Akamai Technologies, Inc</t>
  </si>
  <si>
    <t>0001213900-24-043614</t>
  </si>
  <si>
    <t>Hongchang International Co., Ltd</t>
  </si>
  <si>
    <t>0001558370-24-007517</t>
  </si>
  <si>
    <t>ALLIANCE RESOURCE PARTNERS LP</t>
  </si>
  <si>
    <t>0001493152-24-032672</t>
  </si>
  <si>
    <t>AYRO, INC.</t>
  </si>
  <si>
    <t>0001628280-24-022658</t>
  </si>
  <si>
    <t>Cumberland Pharmaceuticals Inc.</t>
  </si>
  <si>
    <t>0001437749-24-026782</t>
  </si>
  <si>
    <t>USIO, INC.</t>
  </si>
  <si>
    <t>0001477932-24-004850</t>
  </si>
  <si>
    <t>Mastermind, Inc.</t>
  </si>
  <si>
    <t>CORCEPT THERAPEUTICS INC</t>
  </si>
  <si>
    <t>0001140361-24-026235</t>
  </si>
  <si>
    <t>U.S. NeuroSurgical Holdings, Inc.</t>
  </si>
  <si>
    <t>0000950170-24-090814</t>
  </si>
  <si>
    <t>GAIA, INC</t>
  </si>
  <si>
    <t>0001552781-24-000488</t>
  </si>
  <si>
    <t>SWK Holdings Corporation</t>
  </si>
  <si>
    <t>0001206774-24-000471</t>
  </si>
  <si>
    <t>Southern First Bancshares, Inc.</t>
  </si>
  <si>
    <t>0000950170-24-051757</t>
  </si>
  <si>
    <t>DEVON ENERGY CORP/DE</t>
  </si>
  <si>
    <t>0001437749-24-026346</t>
  </si>
  <si>
    <t>Table Trac INC</t>
  </si>
  <si>
    <t>0001628280-24-019876</t>
  </si>
  <si>
    <t>LAMAR ADVERTISING CO/NEW</t>
  </si>
  <si>
    <t>0001090727-24-000028</t>
  </si>
  <si>
    <t>United Parcel Service, Inc.</t>
  </si>
  <si>
    <t>0001090872-24-000021</t>
  </si>
  <si>
    <t>AGILENT TECHNOLOGIES, INC.</t>
  </si>
  <si>
    <t>0001437749-24-025952</t>
  </si>
  <si>
    <t>Nuo Therapeutics, Inc.</t>
  </si>
  <si>
    <t>0001091667-24-000085</t>
  </si>
  <si>
    <t>Charter Communications, Inc.</t>
  </si>
  <si>
    <t>0001628280-24-022277</t>
  </si>
  <si>
    <t>ARGO GROUP INTERNATIONAL HOLDINGS, INC.</t>
  </si>
  <si>
    <t>0001092699-24-000046</t>
  </si>
  <si>
    <t>SPS COMMERCE, INC.</t>
  </si>
  <si>
    <t>0001093557-24-000079</t>
  </si>
  <si>
    <t>DEXCOM, INC.</t>
  </si>
  <si>
    <t>0001654954-24-010004</t>
  </si>
  <si>
    <t>PEOPLES BANCORP OF NORTH CAROLINA, INC.</t>
  </si>
  <si>
    <t>0001558370-24-011593</t>
  </si>
  <si>
    <t>PLUG POWER INC</t>
  </si>
  <si>
    <t>0001410578-24-000865</t>
  </si>
  <si>
    <t>MARKER THERAPEUTICS, INC.</t>
  </si>
  <si>
    <t>TELEDYNE TECHNOLOGIES INC</t>
  </si>
  <si>
    <t>0001628280-24-022251</t>
  </si>
  <si>
    <t>BGC Group, Inc.</t>
  </si>
  <si>
    <t>0001095073-24-000027</t>
  </si>
  <si>
    <t>EVEREST GROUP, LTD.</t>
  </si>
  <si>
    <t>HEALTHSTREAM INC</t>
  </si>
  <si>
    <t>0001095651-24-000016</t>
  </si>
  <si>
    <t>Safehold Inc.</t>
  </si>
  <si>
    <t>0000950170-24-097091</t>
  </si>
  <si>
    <t>PLUS THERAPEUTICS, INC.</t>
  </si>
  <si>
    <t>Luxfer Holdings PLC</t>
  </si>
  <si>
    <t>0001493152-24-020125</t>
  </si>
  <si>
    <t>Worksport Ltd</t>
  </si>
  <si>
    <t>0001096343-24-000057</t>
  </si>
  <si>
    <t>MARKEL GROUP INC.</t>
  </si>
  <si>
    <t>0001628280-24-035205</t>
  </si>
  <si>
    <t>EDGEWELL PERSONAL CARE COMPANY</t>
  </si>
  <si>
    <t>0001477932-24-004723</t>
  </si>
  <si>
    <t>UNITED HEALTH PRODUCTS, INC.</t>
  </si>
  <si>
    <t>0001097149-24-000033</t>
  </si>
  <si>
    <t>ALIGN TECHNOLOGY, INC.</t>
  </si>
  <si>
    <t>0001628280-24-018814</t>
  </si>
  <si>
    <t>ON SEMICONDUCTOR CORPORATION</t>
  </si>
  <si>
    <t>0001185185-24-000606</t>
  </si>
  <si>
    <t>America Great Health</t>
  </si>
  <si>
    <t>0001628280-24-023615</t>
  </si>
  <si>
    <t>PATRIOT NATIONAL BANCORP INC</t>
  </si>
  <si>
    <t>0001437749-24-016685</t>
  </si>
  <si>
    <t>FIDELITY D &amp; D BANCORP INC</t>
  </si>
  <si>
    <t>0001062993-24-010322</t>
  </si>
  <si>
    <t>INTELGENX TECHNOLOGIES CORP.</t>
  </si>
  <si>
    <t>0001477932-24-005089</t>
  </si>
  <si>
    <t>MANHATTAN SCIENTIFICS, INC.</t>
  </si>
  <si>
    <t>0000950170-24-057038</t>
  </si>
  <si>
    <t>BEASLEY BROADCAST GROUP, INC.</t>
  </si>
  <si>
    <t>0001099219-24-000141</t>
  </si>
  <si>
    <t>MetLife, Inc.</t>
  </si>
  <si>
    <t>0001062993-24-008379</t>
  </si>
  <si>
    <t>DESTINY MEDIA TECHNOLOGIES INC.</t>
  </si>
  <si>
    <t>0001099590-24-000026</t>
  </si>
  <si>
    <t>MercadoLibre, Inc.</t>
  </si>
  <si>
    <t>UY-</t>
  </si>
  <si>
    <t>0001099800-24-000039</t>
  </si>
  <si>
    <t>EDWARDS LIFESCIENCES CORPORATION</t>
  </si>
  <si>
    <t>0001100682-24-000018</t>
  </si>
  <si>
    <t>CHARLES RIVER LABORATORIES INTERNATIONAL, INC.</t>
  </si>
  <si>
    <t>0001654954-24-006082</t>
  </si>
  <si>
    <t>Zivo Bioscience, Inc.</t>
  </si>
  <si>
    <t>0001101215-24-000101</t>
  </si>
  <si>
    <t>BREAD FINANCIAL HOLDINGS, INC.</t>
  </si>
  <si>
    <t>0001628280-24-035638</t>
  </si>
  <si>
    <t>EQUINIX, INC.</t>
  </si>
  <si>
    <t>0001101302-24-000053</t>
  </si>
  <si>
    <t>ENTEGRIS INC</t>
  </si>
  <si>
    <t>0001437749-24-015731</t>
  </si>
  <si>
    <t>DELTA APPAREL, INC</t>
  </si>
  <si>
    <t>0001654954-24-006072</t>
  </si>
  <si>
    <t>QuoteMedia, Inc.</t>
  </si>
  <si>
    <t>0001101680-24-000107</t>
  </si>
  <si>
    <t>DZS INC</t>
  </si>
  <si>
    <t>0001102238-24-000012</t>
  </si>
  <si>
    <t>AMERICAN REALTY INVESTORS, INC.</t>
  </si>
  <si>
    <t>0001102993-24-000111</t>
  </si>
  <si>
    <t>LIVEPERSON, INC.</t>
  </si>
  <si>
    <t>0001548123-24-000101</t>
  </si>
  <si>
    <t>REFLECT SCIENTIFIC, INC.</t>
  </si>
  <si>
    <t>0001683168-24-003436</t>
  </si>
  <si>
    <t>QS ENERGY, INC.</t>
  </si>
  <si>
    <t>0001477932-24-003573</t>
  </si>
  <si>
    <t>CROWN EQUITY HOLDINGS INC.</t>
  </si>
  <si>
    <t>0001103982-24-000055</t>
  </si>
  <si>
    <t>Mondelez International, Inc.</t>
  </si>
  <si>
    <t>0001214659-24-009060</t>
  </si>
  <si>
    <t>VERIFYME, INC.</t>
  </si>
  <si>
    <t>0001104485-24-000147</t>
  </si>
  <si>
    <t>NORTHERN OIL AND GAS, INC.</t>
  </si>
  <si>
    <t>0001104506-24-000016</t>
  </si>
  <si>
    <t>INSMED INC</t>
  </si>
  <si>
    <t>0001104657-24-000066</t>
  </si>
  <si>
    <t>MATERION CORPORATION</t>
  </si>
  <si>
    <t>0001199835-24-000375</t>
  </si>
  <si>
    <t>SEAFARER EXPLORATION CORP.</t>
  </si>
  <si>
    <t>0001213900-24-068984</t>
  </si>
  <si>
    <t>CHINA PHARMA HOLDINGS, INC.</t>
  </si>
  <si>
    <t>0001493152-24-031909</t>
  </si>
  <si>
    <t>SONNET BIOTHERAPEUTICS HOLDINGS, INC.</t>
  </si>
  <si>
    <t>0001437749-24-016483</t>
  </si>
  <si>
    <t>OCULUS VISIONTECH INC.</t>
  </si>
  <si>
    <t>0000950170-24-060075</t>
  </si>
  <si>
    <t>Alaunos Therapeutics, Inc.</t>
  </si>
  <si>
    <t>0001107843-24-000028</t>
  </si>
  <si>
    <t>QUALYS, INC.</t>
  </si>
  <si>
    <t>0000950170-24-048396</t>
  </si>
  <si>
    <t>COMMUNITY HEALTH SYSTEMS, INC.</t>
  </si>
  <si>
    <t>0001108134-24-000011</t>
  </si>
  <si>
    <t>BERKSHIRE HILLS BANCORP, INC.</t>
  </si>
  <si>
    <t>0001108205-24-000062</t>
  </si>
  <si>
    <t>CURIS, INC.</t>
  </si>
  <si>
    <t>Salesforce, Inc.</t>
  </si>
  <si>
    <t>0001477932-24-004807</t>
  </si>
  <si>
    <t>CORRELATE ENERGY CORP.</t>
  </si>
  <si>
    <t>0000950170-24-052648</t>
  </si>
  <si>
    <t>HANMI FINANCIAL CORPORATION</t>
  </si>
  <si>
    <t>0000950170-24-057736</t>
  </si>
  <si>
    <t>BRUKER CORPORATION</t>
  </si>
  <si>
    <t>0001109448-24-000034</t>
  </si>
  <si>
    <t>ALLIANCEBERNSTEIN L.P.</t>
  </si>
  <si>
    <t>0001683168-24-003015</t>
  </si>
  <si>
    <t>KOIL ENERGY SOLUTIONS, INC.</t>
  </si>
  <si>
    <t>0001110611-24-000022</t>
  </si>
  <si>
    <t>ON24, INC.</t>
  </si>
  <si>
    <t>0001110803-24-000044</t>
  </si>
  <si>
    <t>Illumina, Inc.</t>
  </si>
  <si>
    <t>0001110805-24-000013</t>
  </si>
  <si>
    <t>NuStar Energy L.P.</t>
  </si>
  <si>
    <t>0001111335-24-000096</t>
  </si>
  <si>
    <t>VISTEON CORP</t>
  </si>
  <si>
    <t>0000950170-24-090770</t>
  </si>
  <si>
    <t>RxSIGHT, INC.</t>
  </si>
  <si>
    <t>0001111711-24-000021</t>
  </si>
  <si>
    <t>NiSource Inc.</t>
  </si>
  <si>
    <t>0000950170-24-062358</t>
  </si>
  <si>
    <t>DYNARESOURCE, INC.</t>
  </si>
  <si>
    <t>0001111928-24-000068</t>
  </si>
  <si>
    <t>IPG PHOTONICS CORP</t>
  </si>
  <si>
    <t>0001113169-24-000013</t>
  </si>
  <si>
    <t>PRICE T ROWE GROUP INC</t>
  </si>
  <si>
    <t>0001607062-24-000171</t>
  </si>
  <si>
    <t>ARVANA INC.</t>
  </si>
  <si>
    <t>0001437749-24-020140</t>
  </si>
  <si>
    <t>BUILD-A-BEAR WORKSHOP INC</t>
  </si>
  <si>
    <t>0001114483-24-000059</t>
  </si>
  <si>
    <t>INTEGER HOLDINGS CORPORATION</t>
  </si>
  <si>
    <t>0001683168-24-002895</t>
  </si>
  <si>
    <t>LANTRONIX, INC.</t>
  </si>
  <si>
    <t>0001140361-24-036573</t>
  </si>
  <si>
    <t>FIRST NORTHERN COMMUNITY BANCORP</t>
  </si>
  <si>
    <t>IMPINJ, INC.</t>
  </si>
  <si>
    <t>0001115055-24-000157</t>
  </si>
  <si>
    <t>Pinnacle Financial Partners Inc.</t>
  </si>
  <si>
    <t>0001116132-24-000013</t>
  </si>
  <si>
    <t>Tapestry, Inc.</t>
  </si>
  <si>
    <t>0001116463-24-000036</t>
  </si>
  <si>
    <t>ORASURE TECHNOLOGIES, INC</t>
  </si>
  <si>
    <t>0000950170-24-091772</t>
  </si>
  <si>
    <t>TTM TECHNOLOGIES, INC.</t>
  </si>
  <si>
    <t>0001213900-24-043456</t>
  </si>
  <si>
    <t>PLANET GREEN HOLDINGS CORP.</t>
  </si>
  <si>
    <t>0001213900-24-042923</t>
  </si>
  <si>
    <t>CBAK ENERGY TECHNOLOGY, INC.</t>
  </si>
  <si>
    <t>0000950170-24-056704</t>
  </si>
  <si>
    <t>QuinStreet, Inc.</t>
  </si>
  <si>
    <t>0001117480-24-000030</t>
  </si>
  <si>
    <t>CHIMERIX, INC.</t>
  </si>
  <si>
    <t>0001118004-24-000012</t>
  </si>
  <si>
    <t>BANCPLUS CORPORATION</t>
  </si>
  <si>
    <t>0001554795-24-000197</t>
  </si>
  <si>
    <t>SKINOVATION PHARMACEUTICAL INCORPORATED</t>
  </si>
  <si>
    <t>0001118417-24-000103</t>
  </si>
  <si>
    <t>Model N, Inc.</t>
  </si>
  <si>
    <t>0001493152-24-033107</t>
  </si>
  <si>
    <t>HUMBL, Inc.</t>
  </si>
  <si>
    <t>0001120193-24-000010</t>
  </si>
  <si>
    <t>Nasdaq, Inc.</t>
  </si>
  <si>
    <t>0001437749-24-026316</t>
  </si>
  <si>
    <t>BROADWIND, INC.</t>
  </si>
  <si>
    <t>0001558370-24-007616</t>
  </si>
  <si>
    <t>PDF SOLUTIONS, INC.</t>
  </si>
  <si>
    <t>0001120970-24-000044</t>
  </si>
  <si>
    <t>COMSTOCK INC.</t>
  </si>
  <si>
    <t>0001121484-24-000038</t>
  </si>
  <si>
    <t>OIL STATES INTERNATIONAL, INC</t>
  </si>
  <si>
    <t>0001121702-24-000046</t>
  </si>
  <si>
    <t>YIELD10 BIOSCIENCE, INC.</t>
  </si>
  <si>
    <t>0000950170-24-050879</t>
  </si>
  <si>
    <t>GARMIN LTD.</t>
  </si>
  <si>
    <t>0001553350-24-000019</t>
  </si>
  <si>
    <t>GHST World Inc.</t>
  </si>
  <si>
    <t>0000950170-24-089944</t>
  </si>
  <si>
    <t>NETGEAR, Inc.</t>
  </si>
  <si>
    <t>0001122976-24-000033</t>
  </si>
  <si>
    <t>AVIENT CORPORATION</t>
  </si>
  <si>
    <t>0001123360-24-000014</t>
  </si>
  <si>
    <t>GLOBAL PAYMENTS INC</t>
  </si>
  <si>
    <t>0001171843-24-002618</t>
  </si>
  <si>
    <t>HARVARD BIOSCIENCE INC</t>
  </si>
  <si>
    <t>0001437749-24-011861</t>
  </si>
  <si>
    <t>BAB, Inc</t>
  </si>
  <si>
    <t>0001123852-24-000007</t>
  </si>
  <si>
    <t>NORTHERN STATES POWER CO</t>
  </si>
  <si>
    <t>0000950170-24-096159</t>
  </si>
  <si>
    <t>Gyre Therapeutics, Inc.</t>
  </si>
  <si>
    <t>0001124140-24-000069</t>
  </si>
  <si>
    <t>EXACT SCIENCES CORPORATION</t>
  </si>
  <si>
    <t>0001628280-24-020092</t>
  </si>
  <si>
    <t>FLUOR CORPORATION</t>
  </si>
  <si>
    <t>0001558370-24-007133</t>
  </si>
  <si>
    <t>CRYOPORT, INC.</t>
  </si>
  <si>
    <t>0001124796-24-000058</t>
  </si>
  <si>
    <t>NLIGHT, INC.</t>
  </si>
  <si>
    <t>0001124941-24-000049</t>
  </si>
  <si>
    <t>BEACON ROOFING SUPPLY, INC.</t>
  </si>
  <si>
    <t>0001125345-24-000148</t>
  </si>
  <si>
    <t>MACROGENICS, INC.</t>
  </si>
  <si>
    <t>ENSIGN GROUP, INC</t>
  </si>
  <si>
    <t>0001126234-24-000088</t>
  </si>
  <si>
    <t>LUMOS PHARMA, INC.</t>
  </si>
  <si>
    <t>0001410578-24-000583</t>
  </si>
  <si>
    <t>PRINCIPAL FINANCIAL GROUP, INC</t>
  </si>
  <si>
    <t>0001437749-24-014087</t>
  </si>
  <si>
    <t>Spire Inc.</t>
  </si>
  <si>
    <t>0001628280-24-023222</t>
  </si>
  <si>
    <t>COMMUNITY WEST BANCSHARES</t>
  </si>
  <si>
    <t>0001185185-24-000387</t>
  </si>
  <si>
    <t>DIGITAL BRAND MEDIA &amp; MARKETING GROUP, INC.</t>
  </si>
  <si>
    <t>0001127537-24-000077</t>
  </si>
  <si>
    <t>PULMONX CORPORATION</t>
  </si>
  <si>
    <t>0001875246-24-000029</t>
  </si>
  <si>
    <t>ProAssurance Corporation</t>
  </si>
  <si>
    <t>0001079973-24-000714</t>
  </si>
  <si>
    <t>PROTOKINETIX, INCORPORATED</t>
  </si>
  <si>
    <t>0001437749-24-026766</t>
  </si>
  <si>
    <t>SAKER AVIATION SERVICES, INC.</t>
  </si>
  <si>
    <t>0001128361-24-000016</t>
  </si>
  <si>
    <t>HOPE BANCORP, INC.</t>
  </si>
  <si>
    <t>0000950170-24-061086</t>
  </si>
  <si>
    <t>FLOWERS FOODS, INC</t>
  </si>
  <si>
    <t>MARINE PRODUCTS CORPORATION</t>
  </si>
  <si>
    <t>0001558370-24-006762</t>
  </si>
  <si>
    <t>SIERRA BANCORP</t>
  </si>
  <si>
    <t>0001558370-24-012271</t>
  </si>
  <si>
    <t>Cyclacel Pharmaceuticals, Inc.</t>
  </si>
  <si>
    <t>0001130310-24-000066</t>
  </si>
  <si>
    <t>CenterPoint Energy, Inc.</t>
  </si>
  <si>
    <t>0000950170-24-056459</t>
  </si>
  <si>
    <t>Black Hills Corporation</t>
  </si>
  <si>
    <t>0001130713-24-000033</t>
  </si>
  <si>
    <t>BEYOND, INC.</t>
  </si>
  <si>
    <t>0001554795-24-000204</t>
  </si>
  <si>
    <t>CANCER CAPITAL CORP.</t>
  </si>
  <si>
    <t>0001213900-24-040902</t>
  </si>
  <si>
    <t>ZION OIL &amp; GAS, INC.</t>
  </si>
  <si>
    <t>0001096906-24-001177</t>
  </si>
  <si>
    <t>Spectral Capital Corporation</t>
  </si>
  <si>
    <t>0000950170-24-069083</t>
  </si>
  <si>
    <t>SPORTSMAN’S WAREHOUSE HOLDINGS, INC.</t>
  </si>
  <si>
    <t>0001477932-24-005069</t>
  </si>
  <si>
    <t>NEW MOMENTUM CORPORATION</t>
  </si>
  <si>
    <t>0001437749-24-015359</t>
  </si>
  <si>
    <t>AMES NATIONAL CORPORATION</t>
  </si>
  <si>
    <t>0001140361-24-035574</t>
  </si>
  <si>
    <t>JANEL CORP</t>
  </si>
  <si>
    <t>0001133311-24-000021</t>
  </si>
  <si>
    <t>Travelzoo</t>
  </si>
  <si>
    <t>0001140361-24-026105</t>
  </si>
  <si>
    <t>GALECTIN THERAPEUTICS INC.</t>
  </si>
  <si>
    <t>0001133421-24-000026</t>
  </si>
  <si>
    <t>NORTHROP GRUMMAN CORP /DE/</t>
  </si>
  <si>
    <t>0001558370-24-009042</t>
  </si>
  <si>
    <t>CALAVO GROWERS, INC</t>
  </si>
  <si>
    <t>0001558370-24-008135</t>
  </si>
  <si>
    <t>BIO-PATH HOLDINGS INC</t>
  </si>
  <si>
    <t>0001558370-24-011638</t>
  </si>
  <si>
    <t>CAPRICOR THERAPEUTICS, INC.</t>
  </si>
  <si>
    <t>0001410578-24-000716</t>
  </si>
  <si>
    <t>INTERNATIONAL TOWER HILL MINES LTD</t>
  </si>
  <si>
    <t>0001437749-24-017669</t>
  </si>
  <si>
    <t>CHARLIE’S HOLDINGS, INC.</t>
  </si>
  <si>
    <t>0001477932-24-004933</t>
  </si>
  <si>
    <t>APPLE iSPORTS GROUP, INC.</t>
  </si>
  <si>
    <t>0001628280-24-023543</t>
  </si>
  <si>
    <t>Ontrak, Inc.</t>
  </si>
  <si>
    <t>0000950170-24-052097</t>
  </si>
  <si>
    <t>ZIMMER BIOMET HOLDINGS, INC.</t>
  </si>
  <si>
    <t>0001136893-24-000063</t>
  </si>
  <si>
    <t>Fidelity National Information Services, Inc.</t>
  </si>
  <si>
    <t>0001137091-24-000014</t>
  </si>
  <si>
    <t>POWER SOLUTIONS INTERNATIONAL, INC.</t>
  </si>
  <si>
    <t>0001137547-24-000073</t>
  </si>
  <si>
    <t>UNITED SECURITY BANCSHARES</t>
  </si>
  <si>
    <t>0001137774-24-000068</t>
  </si>
  <si>
    <t>Prudential Financial, Inc.</t>
  </si>
  <si>
    <t>0001137789-24-000034</t>
  </si>
  <si>
    <t>Seagate Technology Holdings plc</t>
  </si>
  <si>
    <t>0001410578-24-001400</t>
  </si>
  <si>
    <t>BRAINSTORM CELL THERAPEUTICS INC.</t>
  </si>
  <si>
    <t>0001138118-24-000014</t>
  </si>
  <si>
    <t>CBRE GROUP, INC.</t>
  </si>
  <si>
    <t>0001185185-24-000764</t>
  </si>
  <si>
    <t>PACIFIC HEALTH CARE ORGANIZATION, INC.</t>
  </si>
  <si>
    <t>0001138639-24-000153</t>
  </si>
  <si>
    <t>INFINERA CORPORATION</t>
  </si>
  <si>
    <t>0000950170-24-055736</t>
  </si>
  <si>
    <t>ACCURAY INCORPORATED</t>
  </si>
  <si>
    <t>0001756125-24-001116</t>
  </si>
  <si>
    <t>GLOBAL ARENA HOLDING, INC.</t>
  </si>
  <si>
    <t>0001493152-24-014632</t>
  </si>
  <si>
    <t>Novo Integrated Sciences, Inc.</t>
  </si>
  <si>
    <t>0001437749-24-015745</t>
  </si>
  <si>
    <t>HireQuest, Inc.</t>
  </si>
  <si>
    <t>0001493152-24-020661</t>
  </si>
  <si>
    <t>REED’S, INC.</t>
  </si>
  <si>
    <t>0000950170-24-048159</t>
  </si>
  <si>
    <t>Willis Towers Watson PLC</t>
  </si>
  <si>
    <t>0001140859-24-000072</t>
  </si>
  <si>
    <t>CENCORA, INC.</t>
  </si>
  <si>
    <t>0001628280-24-019778</t>
  </si>
  <si>
    <t>CROSS COUNTRY HEALTHCARE, INC</t>
  </si>
  <si>
    <t>0001654954-24-010652</t>
  </si>
  <si>
    <t>PEDEVCO CORP.</t>
  </si>
  <si>
    <t>0001437749-24-017655</t>
  </si>
  <si>
    <t>LIQUIDMETAL TECHNOLOGIES INC</t>
  </si>
  <si>
    <t>0001213900-24-043030</t>
  </si>
  <si>
    <t>ACTELIS NETWORKS, INC.</t>
  </si>
  <si>
    <t>0001493152-24-019210</t>
  </si>
  <si>
    <t>LANDMARK BANCORP, INC.</t>
  </si>
  <si>
    <t>0001214659-24-008725</t>
  </si>
  <si>
    <t>PUBLIC CO MANAGEMENT CORP</t>
  </si>
  <si>
    <t>0000950170-24-056779</t>
  </si>
  <si>
    <t>NEXSTAR MEDIA GROUP, INC.</t>
  </si>
  <si>
    <t>0001142750-24-000040</t>
  </si>
  <si>
    <t>AMN HEALTHCARE SERVICES, INC.</t>
  </si>
  <si>
    <t>0001143513-24-000006</t>
  </si>
  <si>
    <t>GLADSTONE CAPITAL CORP</t>
  </si>
  <si>
    <t>0001640334-24-000606</t>
  </si>
  <si>
    <t>THE MACREPORT.NET, INC.</t>
  </si>
  <si>
    <t>0001144215-24-000068</t>
  </si>
  <si>
    <t>ACUITY BRANDS, INC.</t>
  </si>
  <si>
    <t>0001144879-24-000078</t>
  </si>
  <si>
    <t>APPLIED DIGITAL CORPORATION</t>
  </si>
  <si>
    <t>ASBURY AUTOMOTIVE GROUP, INC.</t>
  </si>
  <si>
    <t>0001145197-24-000022</t>
  </si>
  <si>
    <t>INSULET CORPORATION</t>
  </si>
  <si>
    <t>0001437749-24-025553</t>
  </si>
  <si>
    <t>HENNESSY ADVISORS INC</t>
  </si>
  <si>
    <t>0001826466-24-000068</t>
  </si>
  <si>
    <t>NIKA PHARMACEUTICALS, INC</t>
  </si>
  <si>
    <t>0001145765-24-000006</t>
  </si>
  <si>
    <t>GLOBAL MACRO TRUST</t>
  </si>
  <si>
    <t>0000950170-24-094005</t>
  </si>
  <si>
    <t>ASPEN AEROGELS, INC.</t>
  </si>
  <si>
    <t>0001156039-24-000066</t>
  </si>
  <si>
    <t>Elevance Health, Inc.</t>
  </si>
  <si>
    <t>0001493152-24-032176</t>
  </si>
  <si>
    <t>HOUSTON AMERICAN ENERGY CORP.</t>
  </si>
  <si>
    <t>0001156174-24-000034</t>
  </si>
  <si>
    <t>LAKE AREA CORN PROCESSORS, LLC</t>
  </si>
  <si>
    <t>0000950170-24-051062</t>
  </si>
  <si>
    <t>BIG 5 SPORTING GOODS Corp</t>
  </si>
  <si>
    <t>0001558370-24-005496</t>
  </si>
  <si>
    <t>Stride, Inc.</t>
  </si>
  <si>
    <t>MADRIGAL PHARMACEUTICALS, INC.</t>
  </si>
  <si>
    <t>0001999371-24-009828</t>
  </si>
  <si>
    <t>Western New England Bancorp, Inc.</t>
  </si>
  <si>
    <t>0001410578-24-000769</t>
  </si>
  <si>
    <t>China Automotive Systems, Inc.</t>
  </si>
  <si>
    <t>0001437749-24-015696</t>
  </si>
  <si>
    <t>Applied Optoelectronics, Inc.</t>
  </si>
  <si>
    <t>0001158172-24-000101</t>
  </si>
  <si>
    <t>COMSCORE, INC.</t>
  </si>
  <si>
    <t>0001158449-24-000132</t>
  </si>
  <si>
    <t>ADVANCE AUTO PARTS, INC.</t>
  </si>
  <si>
    <t>0001158463-24-000013</t>
  </si>
  <si>
    <t>JETBLUE AIRWAYS CORP</t>
  </si>
  <si>
    <t>0001213900-24-041274</t>
  </si>
  <si>
    <t>PLURI INC.</t>
  </si>
  <si>
    <t>0001437749-24-025466</t>
  </si>
  <si>
    <t>LEMAITRE VASCULAR, INC.</t>
  </si>
  <si>
    <t>0001159036-24-000037</t>
  </si>
  <si>
    <t>HALOZYME THERAPEUTICS, INC.</t>
  </si>
  <si>
    <t>0001159167-24-000039</t>
  </si>
  <si>
    <t>iROBOT CORPORATION</t>
  </si>
  <si>
    <t>0000950170-24-095403</t>
  </si>
  <si>
    <t>Savara Inc.</t>
  </si>
  <si>
    <t>0001558370-24-006560</t>
  </si>
  <si>
    <t>Gold Resource Corporation</t>
  </si>
  <si>
    <t>0001554795-24-000199</t>
  </si>
  <si>
    <t>NOVA STAR INNOVATIONS, INC.</t>
  </si>
  <si>
    <t>0000950170-24-055186</t>
  </si>
  <si>
    <t>MGE Energy, Inc.</t>
  </si>
  <si>
    <t>0000950170-24-091888</t>
  </si>
  <si>
    <t>STANDARD BIOTOOLS INC.</t>
  </si>
  <si>
    <t>0001628280-24-022635</t>
  </si>
  <si>
    <t>Cutera, Inc.</t>
  </si>
  <si>
    <t>0001493152-24-030880</t>
  </si>
  <si>
    <t>Prairie Operating Co.</t>
  </si>
  <si>
    <t>0001163165-24-000023</t>
  </si>
  <si>
    <t>ConocoPhillips</t>
  </si>
  <si>
    <t>0001163302-24-000022</t>
  </si>
  <si>
    <t>United States Steel Corp</t>
  </si>
  <si>
    <t>NORTHRIM BANCORP, INC.</t>
  </si>
  <si>
    <t>US-AK</t>
  </si>
  <si>
    <t>0001903596-24-000326</t>
  </si>
  <si>
    <t>NEW PEOPLES BANKSHARES, INC.</t>
  </si>
  <si>
    <t>0001163609-24-000010</t>
  </si>
  <si>
    <t>SOUTH DAKOTA SOYBEAN PROCESSORS LLC</t>
  </si>
  <si>
    <t>0001140361-24-024557</t>
  </si>
  <si>
    <t>South Plains Financial, Inc.</t>
  </si>
  <si>
    <t>0001558370-24-006660</t>
  </si>
  <si>
    <t>NABORS INDUSTRIES LTD</t>
  </si>
  <si>
    <t>0001164727-24-000031</t>
  </si>
  <si>
    <t>NEWMONT CORPORATION</t>
  </si>
  <si>
    <t>0001164863-24-000034</t>
  </si>
  <si>
    <t>ENPRO INC</t>
  </si>
  <si>
    <t>0001165002-24-000039</t>
  </si>
  <si>
    <t>WESTWOOD HOLDINGS GROUP, INC.</t>
  </si>
  <si>
    <t>0001166003-24-000066</t>
  </si>
  <si>
    <t>XPO, Inc.</t>
  </si>
  <si>
    <t>0001166388-24-000090</t>
  </si>
  <si>
    <t>Verint Systems Inc</t>
  </si>
  <si>
    <t>0001166691-24-000031</t>
  </si>
  <si>
    <t>COMCAST CORPORATION</t>
  </si>
  <si>
    <t>BROWNIE’S MARINE GROUP, INC.</t>
  </si>
  <si>
    <t>0001166928-24-000052</t>
  </si>
  <si>
    <t>WEST BANCORPORATION, INC.</t>
  </si>
  <si>
    <t>0001558370-24-006400</t>
  </si>
  <si>
    <t>RIOT PLATFORMS, INC.</t>
  </si>
  <si>
    <t>0001437749-24-014989</t>
  </si>
  <si>
    <t>Plumas Bancorp</t>
  </si>
  <si>
    <t>0001169445-24-000047</t>
  </si>
  <si>
    <t>TRUBRIDGE, INC.</t>
  </si>
  <si>
    <t>0001628280-24-036507</t>
  </si>
  <si>
    <t>BANC OF CALIFORNIA, INC.</t>
  </si>
  <si>
    <t>0000950170-24-057224</t>
  </si>
  <si>
    <t>RADIANT LOGISTICS, INC.</t>
  </si>
  <si>
    <t>0001171759-24-000033</t>
  </si>
  <si>
    <t>RED ROBIN GOURMET BURGERS, INC.</t>
  </si>
  <si>
    <t>0001172052-24-000035</t>
  </si>
  <si>
    <t>SAFETY INSURANCE GROUP, INC.</t>
  </si>
  <si>
    <t>0001493152-24-036451</t>
  </si>
  <si>
    <t>LIBERTY STAR URANIUM &amp; METALS CORP.</t>
  </si>
  <si>
    <t>0001172222-24-000072</t>
  </si>
  <si>
    <t>HAWAIIAN HOLDINGS INC</t>
  </si>
  <si>
    <t>0001437749-24-014367</t>
  </si>
  <si>
    <t>Dorchester Minerals, L.P.</t>
  </si>
  <si>
    <t>0001213900-24-044731</t>
  </si>
  <si>
    <t>ABVC BioPharma, Inc.</t>
  </si>
  <si>
    <t>0001171843-24-005458</t>
  </si>
  <si>
    <t>NOVAGOLD RESOURCES INC.</t>
  </si>
  <si>
    <t>0001437749-24-015687</t>
  </si>
  <si>
    <t>CEVA, Inc.</t>
  </si>
  <si>
    <t>0001173514-24-000072</t>
  </si>
  <si>
    <t>HYSTER-YALE MATERIALS HANDLING, INC.</t>
  </si>
  <si>
    <t>0001174850-24-000025</t>
  </si>
  <si>
    <t>NICOLET BANKSHARES, INC</t>
  </si>
  <si>
    <t>0001493152-24-032034</t>
  </si>
  <si>
    <t>CalEthos, Inc.</t>
  </si>
  <si>
    <t>0001174922-24-000082</t>
  </si>
  <si>
    <t>WYNN RESORTS, LIMITED</t>
  </si>
  <si>
    <t>0001493152-24-031000</t>
  </si>
  <si>
    <t>ORAGENICS, INC.</t>
  </si>
  <si>
    <t>0001410578-24-000703</t>
  </si>
  <si>
    <t>CYTOSORBENTS CORPORATION</t>
  </si>
  <si>
    <t>0001628280-24-021986</t>
  </si>
  <si>
    <t>Corpay, Inc</t>
  </si>
  <si>
    <t>0001437749-24-014401</t>
  </si>
  <si>
    <t>Whitestone REIT</t>
  </si>
  <si>
    <t>0001558370-24-005134</t>
  </si>
  <si>
    <t>CYTODYN INC.</t>
  </si>
  <si>
    <t>0001213900-24-041364</t>
  </si>
  <si>
    <t>ORAMED PHARMACEUTICALS INC.</t>
  </si>
  <si>
    <t>0001176334-24-000068</t>
  </si>
  <si>
    <t>MARTIN MIDSTREAM PARTNERS L.P.</t>
  </si>
  <si>
    <t>0001177394-24-000038</t>
  </si>
  <si>
    <t>TD SYNNEX CORPORATION</t>
  </si>
  <si>
    <t>0000950170-24-092714</t>
  </si>
  <si>
    <t>ENANTA PHARMACEUTICALS, INC</t>
  </si>
  <si>
    <t>Saia, Inc.</t>
  </si>
  <si>
    <t>0000950170-24-055590</t>
  </si>
  <si>
    <t>SCYNEXIS, Inc.</t>
  </si>
  <si>
    <t>ALNYLAM PHARMACEUTICALS, INC.</t>
  </si>
  <si>
    <t>0001493152-24-019245</t>
  </si>
  <si>
    <t>Sonim Technologies, Inc</t>
  </si>
  <si>
    <t>0001178879-24-000006</t>
  </si>
  <si>
    <t>Amicus Therapeutics, Inc.</t>
  </si>
  <si>
    <t>0001628280-24-018502</t>
  </si>
  <si>
    <t>PROVIDENT FINANCIAL SERVICES, INC.</t>
  </si>
  <si>
    <t>MOLINA HEALTHCARE, INC.</t>
  </si>
  <si>
    <t>0000950170-24-051335</t>
  </si>
  <si>
    <t>HERBALIFE LTD.</t>
  </si>
  <si>
    <t>0001683168-24-005514</t>
  </si>
  <si>
    <t>CONNEXIONONE CORP.</t>
  </si>
  <si>
    <t>0001185348-24-000026</t>
  </si>
  <si>
    <t>PRA Group, Inc</t>
  </si>
  <si>
    <t>0001477932-24-002695</t>
  </si>
  <si>
    <t>CREATIVE MEDICAL TECHNOLOGY HOLDINGS, INC.</t>
  </si>
  <si>
    <t>0001731122-24-001521</t>
  </si>
  <si>
    <t>INNOVATIVE DESIGNS, INC.</t>
  </si>
  <si>
    <t>0001558370-24-006573</t>
  </si>
  <si>
    <t>GLAUKOS Corp</t>
  </si>
  <si>
    <t>0001193311-24-000010</t>
  </si>
  <si>
    <t>Oncor Electric Delivery Company LLC</t>
  </si>
  <si>
    <t>0001195734-24-000094</t>
  </si>
  <si>
    <t>Potbelly Corporation</t>
  </si>
  <si>
    <t>0001493152-24-030745</t>
  </si>
  <si>
    <t>NEPHROS, INC.</t>
  </si>
  <si>
    <t>0001683168-24-003377</t>
  </si>
  <si>
    <t>ALTEGRIS WINTON FUTURES FUND, L.P.</t>
  </si>
  <si>
    <t>0001200375-24-000015</t>
  </si>
  <si>
    <t>Codexis, Inc.</t>
  </si>
  <si>
    <t>0001201792-24-000013</t>
  </si>
  <si>
    <t>AMERICAN PUBLIC EDUCATION, INC.</t>
  </si>
  <si>
    <t>0000950170-24-060603</t>
  </si>
  <si>
    <t>Vaccinex, Inc.</t>
  </si>
  <si>
    <t>0001206264-24-000096</t>
  </si>
  <si>
    <t>TEMPUR SEALY INTERNATIONAL, INC.</t>
  </si>
  <si>
    <t>0001193125-24-135133</t>
  </si>
  <si>
    <t>CERES TACTICAL SYSTEMATIC L.P.</t>
  </si>
  <si>
    <t>0000950170-24-093999</t>
  </si>
  <si>
    <t>First Advantage Corporation</t>
  </si>
  <si>
    <t>GA-</t>
  </si>
  <si>
    <t>0001210708-24-000032</t>
  </si>
  <si>
    <t>HUDSON GLOBAL, INC.</t>
  </si>
  <si>
    <t>0001558370-24-012074</t>
  </si>
  <si>
    <t>FENNEC PHARMACEUTICALS INC.</t>
  </si>
  <si>
    <t>0001493152-24-019910</t>
  </si>
  <si>
    <t>MY SIZE, INC.</t>
  </si>
  <si>
    <t>0001212545-24-000145</t>
  </si>
  <si>
    <t>WESTERN ALLIANCE BANCORPORATION</t>
  </si>
  <si>
    <t>0001628280-24-036098</t>
  </si>
  <si>
    <t>CARDIFF ONCOLOGY, INC.</t>
  </si>
  <si>
    <t>0001437749-24-026392</t>
  </si>
  <si>
    <t>DYADIC INTERNATIONAL INC</t>
  </si>
  <si>
    <t>0001214816-24-000056</t>
  </si>
  <si>
    <t>AXIS CAPITAL HOLDINGS LIMITED</t>
  </si>
  <si>
    <t>0001217234-24-000083</t>
  </si>
  <si>
    <t>CAREDX, INC.</t>
  </si>
  <si>
    <t>0001213900-24-043743</t>
  </si>
  <si>
    <t>Mawson Infrastructure Group Inc.</t>
  </si>
  <si>
    <t>0001219601-24-000015</t>
  </si>
  <si>
    <t>CROWN HOLDINGS, INC.</t>
  </si>
  <si>
    <t>0001220754-24-000062</t>
  </si>
  <si>
    <t>ModivCare Inc.</t>
  </si>
  <si>
    <t>0001437749-24-015320</t>
  </si>
  <si>
    <t>SPDR® GOLD TRUST</t>
  </si>
  <si>
    <t>0000950170-24-096238</t>
  </si>
  <si>
    <t>Marchex, Inc.</t>
  </si>
  <si>
    <t>0001224608-24-000041</t>
  </si>
  <si>
    <t>CNO Financial Group, Inc.</t>
  </si>
  <si>
    <t>0000950170-24-094092</t>
  </si>
  <si>
    <t>MEDICINOVA, INC.</t>
  </si>
  <si>
    <t>0001193125-24-135119</t>
  </si>
  <si>
    <t>CERES ORION L.P.</t>
  </si>
  <si>
    <t>0000950170-24-057178</t>
  </si>
  <si>
    <t>EQUITY BANCSHARES, INC.</t>
  </si>
  <si>
    <t>0001558370-24-011800</t>
  </si>
  <si>
    <t>NEURONETICS, INC.</t>
  </si>
  <si>
    <t>Compass Minerals International, Inc.</t>
  </si>
  <si>
    <t>0001228454-24-000006</t>
  </si>
  <si>
    <t>BCB Bancorp, Inc.</t>
  </si>
  <si>
    <t>0001140361-24-037068</t>
  </si>
  <si>
    <t>Ocuphire Pharma, Inc.</t>
  </si>
  <si>
    <t>0000892626-24-000032</t>
  </si>
  <si>
    <t>KAANAPALI LAND, LLC</t>
  </si>
  <si>
    <t>0001230245-24-000083</t>
  </si>
  <si>
    <t>PIPER SANDLER COMPANIES</t>
  </si>
  <si>
    <t>0001477932-24-003832</t>
  </si>
  <si>
    <t>Leopard Energy, Inc.</t>
  </si>
  <si>
    <t>0001477932-24-004204</t>
  </si>
  <si>
    <t>Astra Energy, Inc.</t>
  </si>
  <si>
    <t>0001493152-24-018436</t>
  </si>
  <si>
    <t>GENELUX CORPORATION</t>
  </si>
  <si>
    <t>0001232524-24-000068</t>
  </si>
  <si>
    <t>Jazz Pharmaceuticals plc</t>
  </si>
  <si>
    <t>0001232582-24-000068</t>
  </si>
  <si>
    <t>ASHFORD HOSPITALITY TRUST, INC</t>
  </si>
  <si>
    <t>0001234006-24-000007</t>
  </si>
  <si>
    <t>GLADSTONE COMMERCIAL CORP</t>
  </si>
  <si>
    <t>0000950170-24-093555</t>
  </si>
  <si>
    <t>LIQUIDITY SERVICES, INC</t>
  </si>
  <si>
    <t>0001558370-24-007786</t>
  </si>
  <si>
    <t>CVRx, Inc.</t>
  </si>
  <si>
    <t>0001185185-24-000475</t>
  </si>
  <si>
    <t>SILVERSUN TECHNOLOGIES, INC.</t>
  </si>
  <si>
    <t>0001562762-24-000126</t>
  </si>
  <si>
    <t>GLOBUS MEDICAL, INC.</t>
  </si>
  <si>
    <t>0000950170-24-095540</t>
  </si>
  <si>
    <t>Vapotherm, Inc.</t>
  </si>
  <si>
    <t>0001558370-24-011579</t>
  </si>
  <si>
    <t>GlycoMimetics, Inc.</t>
  </si>
  <si>
    <t>0001254699-24-000012</t>
  </si>
  <si>
    <t>QVC, Inc.</t>
  </si>
  <si>
    <t>0001558370-24-007346</t>
  </si>
  <si>
    <t>KRONOS WORLDWIDE, INC.</t>
  </si>
  <si>
    <t>0001258602-24-000039</t>
  </si>
  <si>
    <t>NELNET, INC.</t>
  </si>
  <si>
    <t>0001213900-24-039266</t>
  </si>
  <si>
    <t>OXFORD SQUARE CAPITAL CORP.</t>
  </si>
  <si>
    <t>0001260221-24-000069</t>
  </si>
  <si>
    <t>TransDigm Group Incorporated</t>
  </si>
  <si>
    <t>0000950170-24-057008</t>
  </si>
  <si>
    <t>Oncternal Therapeutics, Inc.</t>
  </si>
  <si>
    <t>0001558370-24-011904</t>
  </si>
  <si>
    <t>AGILE THERAPEUTICS INC</t>
  </si>
  <si>
    <t>0001261333-24-000087</t>
  </si>
  <si>
    <t>DOCUSIGN, INC.</t>
  </si>
  <si>
    <t>0001261654-24-000056</t>
  </si>
  <si>
    <t>UNIVERSAL TECHNICAL INSTITUTE, INC</t>
  </si>
  <si>
    <t>0001262039-24-000020</t>
  </si>
  <si>
    <t>FORTINET, INC.</t>
  </si>
  <si>
    <t>0000950170-24-056834</t>
  </si>
  <si>
    <t>MEI Pharma, Inc.</t>
  </si>
  <si>
    <t>0001262823-24-000025</t>
  </si>
  <si>
    <t>Westlake Corporation</t>
  </si>
  <si>
    <t>0001262976-24-000035</t>
  </si>
  <si>
    <t>Cimpress plc</t>
  </si>
  <si>
    <t>IDAHO COPPER CORPORATION</t>
  </si>
  <si>
    <t>0001558370-24-005424</t>
  </si>
  <si>
    <t>Hilltop Holdings Inc.</t>
  </si>
  <si>
    <t>0001493152-24-032220</t>
  </si>
  <si>
    <t>Trustfeed Corp.</t>
  </si>
  <si>
    <t>0001753926-24-001420</t>
  </si>
  <si>
    <t>Vivani Medical, Inc.</t>
  </si>
  <si>
    <t>0001267238-24-000026</t>
  </si>
  <si>
    <t>Assurant, Inc.</t>
  </si>
  <si>
    <t>0001558370-24-011586</t>
  </si>
  <si>
    <t>Collegium Pharmaceutical, Inc.</t>
  </si>
  <si>
    <t>0001437749-24-025182</t>
  </si>
  <si>
    <t>ALIMERA SCIENCES INC</t>
  </si>
  <si>
    <t>0001558370-24-011982</t>
  </si>
  <si>
    <t>MARINUS PHARMACEUTICALS, INC.</t>
  </si>
  <si>
    <t>0001493152-24-031644</t>
  </si>
  <si>
    <t>SINTX Technologies, Inc.</t>
  </si>
  <si>
    <t>0001437749-24-014741</t>
  </si>
  <si>
    <t>Cohen &amp; Co Inc.</t>
  </si>
  <si>
    <t>0001271833-24-000009</t>
  </si>
  <si>
    <t>CCO Holdings, LLC</t>
  </si>
  <si>
    <t>0000950170-24-092012</t>
  </si>
  <si>
    <t>AIRGAIN, INC.</t>
  </si>
  <si>
    <t>0001273441-24-000013</t>
  </si>
  <si>
    <t>GRAN TIERRA ENERGY INC.</t>
  </si>
  <si>
    <t>0001273685-24-000053</t>
  </si>
  <si>
    <t>NEW YORK MORTGAGE TRUST, INC.</t>
  </si>
  <si>
    <t>0001273813-24-000031</t>
  </si>
  <si>
    <t>ASSURED GUARANTY LTD.</t>
  </si>
  <si>
    <t>0001437749-24-014250</t>
  </si>
  <si>
    <t>JANUS HENDERSON GROUP PLC</t>
  </si>
  <si>
    <t>0001274494-24-000022</t>
  </si>
  <si>
    <t>FIRST SOLAR, INC.</t>
  </si>
  <si>
    <t>0001274737-24-000079</t>
  </si>
  <si>
    <t>EXAGEN INC.</t>
  </si>
  <si>
    <t>0001628280-24-020679</t>
  </si>
  <si>
    <t>Ultra Clean Holdings, Inc.</t>
  </si>
  <si>
    <t>0001562762-24-000205</t>
  </si>
  <si>
    <t>BANK OF THE JAMES FINANCIAL GROUP, INC.</t>
  </si>
  <si>
    <t>0001275158-24-000041</t>
  </si>
  <si>
    <t>NOODLES &amp; COMPANY</t>
  </si>
  <si>
    <t>0001275168-24-000094</t>
  </si>
  <si>
    <t>FIVE STAR BANCORP</t>
  </si>
  <si>
    <t>0001628280-24-015487</t>
  </si>
  <si>
    <t>AngioDynamics, Inc.</t>
  </si>
  <si>
    <t>0001437749-24-024401</t>
  </si>
  <si>
    <t>BIMINI CAPITAL MANAGEMENT, INC.</t>
  </si>
  <si>
    <t>0001276187-24-000040</t>
  </si>
  <si>
    <t>ENERGY TRANSFER LP</t>
  </si>
  <si>
    <t>0001193125-24-129906</t>
  </si>
  <si>
    <t>GENWORTH FINANCIAL, INC.</t>
  </si>
  <si>
    <t>0001376474-24-000256</t>
  </si>
  <si>
    <t>SCIENTIFIC ENERGY, INC.</t>
  </si>
  <si>
    <t>MK-</t>
  </si>
  <si>
    <t>0000950170-24-091990</t>
  </si>
  <si>
    <t>MARKETAXESS HOLDINGS INC</t>
  </si>
  <si>
    <t>0001558370-24-011087</t>
  </si>
  <si>
    <t>B&amp;G FOODS, INC.</t>
  </si>
  <si>
    <t>0001437749-24-025405</t>
  </si>
  <si>
    <t>ISHARES GOLD TRUST</t>
  </si>
  <si>
    <t>0000950170-24-054445</t>
  </si>
  <si>
    <t>MIDCAP FINANCIAL INVESTMENT CORPORATION</t>
  </si>
  <si>
    <t>0001213900-24-068005</t>
  </si>
  <si>
    <t>ZONED PROPERTIES, INC.</t>
  </si>
  <si>
    <t>Cellectar Biosciences, Inc.</t>
  </si>
  <si>
    <t>0001214659-24-014287</t>
  </si>
  <si>
    <t>WRIGHT INVESTORS’ SERVICE HOLDINGS, INC.</t>
  </si>
  <si>
    <t>Blackbaud, Inc.</t>
  </si>
  <si>
    <t>AMBARELLA, INC.</t>
  </si>
  <si>
    <t>0001437749-24-014648</t>
  </si>
  <si>
    <t>MONOLITHIC POWER SYSTEMS INC</t>
  </si>
  <si>
    <t>0001280776-24-000014</t>
  </si>
  <si>
    <t>Immunic, Inc.</t>
  </si>
  <si>
    <t>0001280784-24-000014</t>
  </si>
  <si>
    <t>HERCULES CAPITAL, INC.</t>
  </si>
  <si>
    <t>0001281761-24-000062</t>
  </si>
  <si>
    <t>Regions Financial Corporation</t>
  </si>
  <si>
    <t>0001493152-24-017567</t>
  </si>
  <si>
    <t>UNIQUE LOGISTICS INTERNATIONAL, INC.</t>
  </si>
  <si>
    <t>0000950170-24-091838</t>
  </si>
  <si>
    <t>Rocket Pharmaceuticals, Inc.</t>
  </si>
  <si>
    <t>0001079973-24-000736</t>
  </si>
  <si>
    <t>DOLPHIN ENTERTAINMENT, INC.</t>
  </si>
  <si>
    <t>0001558370-24-010966</t>
  </si>
  <si>
    <t>NETLIST INC</t>
  </si>
  <si>
    <t>0001282637-24-000011</t>
  </si>
  <si>
    <t>NEWMARKET CORPORATION</t>
  </si>
  <si>
    <t>0001558370-24-012253</t>
  </si>
  <si>
    <t>Battalion Oil Corp</t>
  </si>
  <si>
    <t>0001213900-24-069044</t>
  </si>
  <si>
    <t>Dror Ortho-Design, Inc.</t>
  </si>
  <si>
    <t>0001283699-24-000065</t>
  </si>
  <si>
    <t>T-MOBILE US, INC.</t>
  </si>
  <si>
    <t>0001477932-24-004838</t>
  </si>
  <si>
    <t>Yong Bai Chao New Retail Corporation</t>
  </si>
  <si>
    <t>0001284812-24-000195</t>
  </si>
  <si>
    <t>COHEN &amp; STEERS, INC.</t>
  </si>
  <si>
    <t>0001285550-24-000098</t>
  </si>
  <si>
    <t>ClearPoint Neuro, Inc.</t>
  </si>
  <si>
    <t>0001618034-24-000006</t>
  </si>
  <si>
    <t>MOSAIC CO</t>
  </si>
  <si>
    <t>0001437749-24-025181</t>
  </si>
  <si>
    <t>OMEROS CORPORATION</t>
  </si>
  <si>
    <t>KITE REALTY GROUP TRUST</t>
  </si>
  <si>
    <t>0001286139-24-000093</t>
  </si>
  <si>
    <t>LegalZoom.com, Inc.</t>
  </si>
  <si>
    <t>0001140361-24-036418</t>
  </si>
  <si>
    <t>LINCOLN EDUCATIONAL SERVICES CORP</t>
  </si>
  <si>
    <t>0000950170-24-049419</t>
  </si>
  <si>
    <t>Domino’s Pizza, Inc.</t>
  </si>
  <si>
    <t>0001287032-24-000152</t>
  </si>
  <si>
    <t>PROSPECT CAPITAL CORP</t>
  </si>
  <si>
    <t>0001558370-24-011120</t>
  </si>
  <si>
    <t>MaxCyte, Inc.</t>
  </si>
  <si>
    <t>0001437749-24-013958</t>
  </si>
  <si>
    <t>DOUGLAS DYNAMICS, INC</t>
  </si>
  <si>
    <t>0001287750-24-000028</t>
  </si>
  <si>
    <t>ARES CAPITAL CORPORATION</t>
  </si>
  <si>
    <t>0000950170-24-065929</t>
  </si>
  <si>
    <t>MEDICAL PROPERTIES TRUST INC</t>
  </si>
  <si>
    <t>0001558370-24-007815</t>
  </si>
  <si>
    <t>W&amp;T OFFSHORE, INC.</t>
  </si>
  <si>
    <t>MaxLinear, Inc.</t>
  </si>
  <si>
    <t>0001654954-24-010210</t>
  </si>
  <si>
    <t>TIMBERLINE RESOURCES CORPORATION</t>
  </si>
  <si>
    <t>0001288847-24-000061</t>
  </si>
  <si>
    <t>Five9, Inc.</t>
  </si>
  <si>
    <t>0001493152-24-030217</t>
  </si>
  <si>
    <t>OPTIMUMBANK HOLDINGS, INC.</t>
  </si>
  <si>
    <t>0001683168-24-003212</t>
  </si>
  <si>
    <t>U. S. PREMIUM BEEF, LLC</t>
  </si>
  <si>
    <t>0001493152-24-019608</t>
  </si>
  <si>
    <t>STEREOTAXIS, INC.</t>
  </si>
  <si>
    <t>0001628280-24-020317</t>
  </si>
  <si>
    <t>EXTRA SPACE STORAGE INC.</t>
  </si>
  <si>
    <t>0001289636-24-000031</t>
  </si>
  <si>
    <t>PROFIRE ENERGY, INC.</t>
  </si>
  <si>
    <t>0001289848-24-000119</t>
  </si>
  <si>
    <t>HURON CONSULTING GROUP INC.</t>
  </si>
  <si>
    <t>0001628280-24-035221</t>
  </si>
  <si>
    <t>NEUROMETRIX, INC.</t>
  </si>
  <si>
    <t>SPOK HOLDINGS, INC.</t>
  </si>
  <si>
    <t>0001558370-24-007700</t>
  </si>
  <si>
    <t>Village Bank &amp; Trust Financial Corp.</t>
  </si>
  <si>
    <t>0001683168-24-004808</t>
  </si>
  <si>
    <t>IIOT-OXYS, INC.</t>
  </si>
  <si>
    <t>0001140361-24-024041</t>
  </si>
  <si>
    <t>TURNING POINT BRANDS, INC.</t>
  </si>
  <si>
    <t>0001628280-24-020727</t>
  </si>
  <si>
    <t>COMMERCIAL VEHICLE GROUP, INC.</t>
  </si>
  <si>
    <t>0000950170-24-093863</t>
  </si>
  <si>
    <t>TECHTARGET, INC.</t>
  </si>
  <si>
    <t>0001829126-24-005664</t>
  </si>
  <si>
    <t>OPGEN, INC.</t>
  </si>
  <si>
    <t>0001293971-24-000058</t>
  </si>
  <si>
    <t>bluebird bio, Inc.</t>
  </si>
  <si>
    <t>0000950170-24-055627</t>
  </si>
  <si>
    <t>INOGEN, INC.</t>
  </si>
  <si>
    <t>0001562762-24-000203</t>
  </si>
  <si>
    <t>THE BANCORP, INC.</t>
  </si>
  <si>
    <t>0001493152-24-032204</t>
  </si>
  <si>
    <t>MDwerks, Inc.</t>
  </si>
  <si>
    <t>0001437749-24-015856</t>
  </si>
  <si>
    <t>ORMAT TECHNOLOGIES, INC.</t>
  </si>
  <si>
    <t>0001829126-24-003392</t>
  </si>
  <si>
    <t>LIGHTSTONE VALUE PLUS REIT I, INC.</t>
  </si>
  <si>
    <t>0001297184-24-000048</t>
  </si>
  <si>
    <t>Amphastar Pharmaceuticals, Inc.</t>
  </si>
  <si>
    <t>0001213900-24-043733</t>
  </si>
  <si>
    <t>KENTUCKY FIRST FEDERAL BANCORP</t>
  </si>
  <si>
    <t>0001493152-24-031601</t>
  </si>
  <si>
    <t>PARKS! AMERICA, INC.</t>
  </si>
  <si>
    <t>0001297989-24-000005</t>
  </si>
  <si>
    <t>EXLSERVICE HOLDINGS, INC.</t>
  </si>
  <si>
    <t>0001558370-24-006671</t>
  </si>
  <si>
    <t>DIGITAL REALTY TRUST, INC.</t>
  </si>
  <si>
    <t>0001298946-24-000052</t>
  </si>
  <si>
    <t>DIAMONDROCK HOSPITALITY CO</t>
  </si>
  <si>
    <t>0001299130-24-000111</t>
  </si>
  <si>
    <t>Pacific Biosciences of California, Inc.</t>
  </si>
  <si>
    <t>0001299709-24-000093</t>
  </si>
  <si>
    <t>AXOS FINANCIAL, INC.</t>
  </si>
  <si>
    <t>0001299969-24-000025</t>
  </si>
  <si>
    <t>Comstock Holding Companies, Inc.</t>
  </si>
  <si>
    <t>0001300514-24-000070</t>
  </si>
  <si>
    <t>LAS VEGAS SANDS CORP.</t>
  </si>
  <si>
    <t>0001493152-24-019989</t>
  </si>
  <si>
    <t>SHINECO, INC.</t>
  </si>
  <si>
    <t>BlueLinx Holdings Inc.</t>
  </si>
  <si>
    <t>0001096906-24-001338</t>
  </si>
  <si>
    <t>SMARTMETRIC, INC.</t>
  </si>
  <si>
    <t>0000950170-24-051634</t>
  </si>
  <si>
    <t>MANITEX INTERNATIONAL, INC.</t>
  </si>
  <si>
    <t>0000950170-24-058411</t>
  </si>
  <si>
    <t>BV FINANCIAL, INC.</t>
  </si>
  <si>
    <t>0001654954-24-007794</t>
  </si>
  <si>
    <t>Pharma-Bio Serv, Inc.</t>
  </si>
  <si>
    <t>0001683168-24-005637</t>
  </si>
  <si>
    <t>ATHENA GOLD CORPORATION</t>
  </si>
  <si>
    <t>0001305168-24-000049</t>
  </si>
  <si>
    <t>ARC DOCUMENT SOLUTIONS, INC.</t>
  </si>
  <si>
    <t>0001306830-24-000098</t>
  </si>
  <si>
    <t>CELANESE CORPORATION</t>
  </si>
  <si>
    <t>0001437749-24-026779</t>
  </si>
  <si>
    <t>LIQTECH INTERNATIONAL INC</t>
  </si>
  <si>
    <t>DK-</t>
  </si>
  <si>
    <t>INVENTRUST PROPERTIES CORP.</t>
  </si>
  <si>
    <t>0001437749-24-014574</t>
  </si>
  <si>
    <t>Huntsman Corporation</t>
  </si>
  <si>
    <t>0001493152-24-041736</t>
  </si>
  <si>
    <t>VYSTAR CORPORATION</t>
  </si>
  <si>
    <t>0000950170-24-093989</t>
  </si>
  <si>
    <t>UNIVERSAL LOGISTICS HOLDINGS, INC.</t>
  </si>
  <si>
    <t>0001628280-24-020061</t>
  </si>
  <si>
    <t>DOLBY LABORATORIES, INC.</t>
  </si>
  <si>
    <t>0001213900-24-055976</t>
  </si>
  <si>
    <t>CHINA HEALTH INDUSTRIES HOLDINGS, INC.</t>
  </si>
  <si>
    <t>WEX Inc.</t>
  </si>
  <si>
    <t>0001309402-24-000092</t>
  </si>
  <si>
    <t>GREEN PLAINS INC.</t>
  </si>
  <si>
    <t>0001410578-24-000896</t>
  </si>
  <si>
    <t>SUMMIT HEALTHCARE REIT, INC.</t>
  </si>
  <si>
    <t>0001091818-24-000049</t>
  </si>
  <si>
    <t>BIOFORCE NANOSCIENCES HOLDINGS, INC.</t>
  </si>
  <si>
    <t>0001493152-24-031953</t>
  </si>
  <si>
    <t>China Foods Holdings Ltd.</t>
  </si>
  <si>
    <t>0001628280-24-018661</t>
  </si>
  <si>
    <t>LAZARD, INC.</t>
  </si>
  <si>
    <t>0001493152-24-032136</t>
  </si>
  <si>
    <t>YALE TRANSACTION FINDERS, INC.</t>
  </si>
  <si>
    <t>0000950170-24-055704</t>
  </si>
  <si>
    <t>BRIGHTCOVE INC</t>
  </si>
  <si>
    <t>0001731122-24-000760</t>
  </si>
  <si>
    <t>ANAVEX LIFE SCIENCES CORP.</t>
  </si>
  <si>
    <t>0000950170-24-056380</t>
  </si>
  <si>
    <t>EyePoint Pharmaceuticals, Inc.</t>
  </si>
  <si>
    <t>0001314152-24-000062</t>
  </si>
  <si>
    <t>JLL Income Property Trust, Inc.</t>
  </si>
  <si>
    <t>0001213900-24-045276</t>
  </si>
  <si>
    <t>THE OLB GROUP, INC.</t>
  </si>
  <si>
    <t>0001314727-24-000009</t>
  </si>
  <si>
    <t>SONOS, INC.</t>
  </si>
  <si>
    <t>0001214659-24-013775</t>
  </si>
  <si>
    <t>Ridgewood Energy O Fund, LLC</t>
  </si>
  <si>
    <t>0001315098-24-000095</t>
  </si>
  <si>
    <t>Roblox Corporation</t>
  </si>
  <si>
    <t>0000950170-24-052678</t>
  </si>
  <si>
    <t>KOPPERS HOLDINGS INC.</t>
  </si>
  <si>
    <t>0001315399-24-000038</t>
  </si>
  <si>
    <t>PARKE BANCORP, INC.</t>
  </si>
  <si>
    <t>0000950170-24-091788</t>
  </si>
  <si>
    <t>BUILDERS FIRSTSOURCE, INC.</t>
  </si>
  <si>
    <t>0001317630-24-000012</t>
  </si>
  <si>
    <t>ITC HOLDINGS CORP.</t>
  </si>
  <si>
    <t>0001493152-24-017653</t>
  </si>
  <si>
    <t>Omega Flex, Inc.</t>
  </si>
  <si>
    <t>0000950170-24-071264</t>
  </si>
  <si>
    <t>ZUMIEZ INC</t>
  </si>
  <si>
    <t>0001558370-24-005670</t>
  </si>
  <si>
    <t>WASTE CONNECTIONS, INC.</t>
  </si>
  <si>
    <t>0001493152-24-033312</t>
  </si>
  <si>
    <t>KIDOZ inc.</t>
  </si>
  <si>
    <t>0001318568-24-000165</t>
  </si>
  <si>
    <t>EVERI HOLDINGS INC.</t>
  </si>
  <si>
    <t>0001628280-24-017503</t>
  </si>
  <si>
    <t>Tesla, Inc.</t>
  </si>
  <si>
    <t>0001558370-24-007021</t>
  </si>
  <si>
    <t>NCL CORPORATION LTD.</t>
  </si>
  <si>
    <t>0001319161-24-000020</t>
  </si>
  <si>
    <t>Warner Music Group Corp.</t>
  </si>
  <si>
    <t>0001558370-24-008121</t>
  </si>
  <si>
    <t>TRANSMONTAIGNE PARTNERS LLC</t>
  </si>
  <si>
    <t>0001199835-24-000296</t>
  </si>
  <si>
    <t>LODE-STAR MINING INC.</t>
  </si>
  <si>
    <t>0001319947-24-000035</t>
  </si>
  <si>
    <t>DESIGNER BRANDS INC.</t>
  </si>
  <si>
    <t>0000950170-24-093862</t>
  </si>
  <si>
    <t>LENSAR, INC.</t>
  </si>
  <si>
    <t>SELECT MEDICAL HOLDINGS CORP</t>
  </si>
  <si>
    <t>0001320461-24-000078</t>
  </si>
  <si>
    <t>COOPER-STANDARD HOLDINGS INC.</t>
  </si>
  <si>
    <t>0001320695-24-000097</t>
  </si>
  <si>
    <t>TreeHouse Foods, Inc.</t>
  </si>
  <si>
    <t>0001437749-24-026834</t>
  </si>
  <si>
    <t>TSS, INC.</t>
  </si>
  <si>
    <t>0001493152-24-031542</t>
  </si>
  <si>
    <t>Stratos     Renewables Corporation</t>
  </si>
  <si>
    <t>0001321655-24-000071</t>
  </si>
  <si>
    <t>Palantir Technologies Inc.</t>
  </si>
  <si>
    <t>Penumbra, Inc</t>
  </si>
  <si>
    <t>0001493152-24-041896</t>
  </si>
  <si>
    <t>DATA CALL TECHNOLOGIES, INC.</t>
  </si>
  <si>
    <t>0001493152-24-032940</t>
  </si>
  <si>
    <t>TNF Pharmaceuticals, Inc.</t>
  </si>
  <si>
    <t>0001558370-24-007310</t>
  </si>
  <si>
    <t>Global Partners LP</t>
  </si>
  <si>
    <t>0001323885-24-000062</t>
  </si>
  <si>
    <t>AtriCure, Inc.</t>
  </si>
  <si>
    <t>0001324424-24-000026</t>
  </si>
  <si>
    <t>EXPEDIA GROUP, INC.</t>
  </si>
  <si>
    <t>0001493152-24-032110</t>
  </si>
  <si>
    <t>HONG YUAN HOLDING GROUP</t>
  </si>
  <si>
    <t>IRADIMED CORPORATION</t>
  </si>
  <si>
    <t>0001193125-24-135128</t>
  </si>
  <si>
    <t>CERES TACTICAL COMMODITY L.P.</t>
  </si>
  <si>
    <t>0001193125-24-136202</t>
  </si>
  <si>
    <t>Magnachip Semiconductor Corporation</t>
  </si>
  <si>
    <t>KR-</t>
  </si>
  <si>
    <t>0001553350-24-000021</t>
  </si>
  <si>
    <t>Lightwave Logic, Inc.</t>
  </si>
  <si>
    <t>0001326110-24-000064</t>
  </si>
  <si>
    <t>IMMUNITYBIO, INC.</t>
  </si>
  <si>
    <t>0001628280-24-018677</t>
  </si>
  <si>
    <t>LAZARD GROUP LLC</t>
  </si>
  <si>
    <t>0001326160-24-000108</t>
  </si>
  <si>
    <t>DUKE ENERGY CORPORATION</t>
  </si>
  <si>
    <t>0001326190-24-000030</t>
  </si>
  <si>
    <t>ALTIMMUNE, INC.</t>
  </si>
  <si>
    <t>0001558370-24-007375</t>
  </si>
  <si>
    <t>GENCO SHIPPING &amp; TRADING LIMITED</t>
  </si>
  <si>
    <t>GameStop Corp.</t>
  </si>
  <si>
    <t>0001493152-24-019675</t>
  </si>
  <si>
    <t>NanoVibronix, Inc</t>
  </si>
  <si>
    <t>0001326732-24-000029</t>
  </si>
  <si>
    <t>Xencor, Inc</t>
  </si>
  <si>
    <t>0001326801-24-000049</t>
  </si>
  <si>
    <t>Meta Platforms, Inc.</t>
  </si>
  <si>
    <t>0001410578-24-000684</t>
  </si>
  <si>
    <t>United States Oil Fund, LP</t>
  </si>
  <si>
    <t>0000950170-24-097042</t>
  </si>
  <si>
    <t>Lyra Therapeutics, Inc.</t>
  </si>
  <si>
    <t>0001327318-24-000032</t>
  </si>
  <si>
    <t>TRUECAR, INC.</t>
  </si>
  <si>
    <t>0001327567-24-000017</t>
  </si>
  <si>
    <t>PALO ALTO NETWORKS, INC</t>
  </si>
  <si>
    <t>0001327607-24-000092</t>
  </si>
  <si>
    <t>FIRST WESTERN FINANCIAL, INC.</t>
  </si>
  <si>
    <t>0000950170-24-104426</t>
  </si>
  <si>
    <t>Ooma, Inc.</t>
  </si>
  <si>
    <t>0001327811-24-000093</t>
  </si>
  <si>
    <t>WORKDAY, INC.</t>
  </si>
  <si>
    <t>0001558370-24-007767</t>
  </si>
  <si>
    <t>ARES REAL ESTATE INCOME TRUST INC.</t>
  </si>
  <si>
    <t>0000950170-24-054964</t>
  </si>
  <si>
    <t>INVESCO DB COMMODITY INDEX TRACKING FUND</t>
  </si>
  <si>
    <t>0001328581-24-000079</t>
  </si>
  <si>
    <t>Boise Cascade Company</t>
  </si>
  <si>
    <t>0000950170-24-054974</t>
  </si>
  <si>
    <t>Invesco CurrencyShares Euro Trust</t>
  </si>
  <si>
    <t>0001493152-24-020742</t>
  </si>
  <si>
    <t>CLEAN ENERGY TECHNOLOGIES, INC.</t>
  </si>
  <si>
    <t>0001437749-24-025404</t>
  </si>
  <si>
    <t>iShares Silver Trust</t>
  </si>
  <si>
    <t>0001493152-24-031343</t>
  </si>
  <si>
    <t>HALLMARK VENTURE GROUP, INC.</t>
  </si>
  <si>
    <t>0001477932-24-003173</t>
  </si>
  <si>
    <t>INNOVATIVE MEDTECH, INC.</t>
  </si>
  <si>
    <t>0001331875-24-000029</t>
  </si>
  <si>
    <t>FIDELITY NATIONAL FINANCIAL, INC.</t>
  </si>
  <si>
    <t>0001437749-24-025402</t>
  </si>
  <si>
    <t>iShares S&amp;P GSCI Commodity-Indexed Trust</t>
  </si>
  <si>
    <t>0001332349-24-000078</t>
  </si>
  <si>
    <t>BROOKDALE SENIOR LIVING INC.</t>
  </si>
  <si>
    <t>0000950170-24-057125</t>
  </si>
  <si>
    <t>MERCER INTERNATIONAL INC.</t>
  </si>
  <si>
    <t>0001333493-24-000126</t>
  </si>
  <si>
    <t>EHEALTH, INC.</t>
  </si>
  <si>
    <t>0000950170-24-043853</t>
  </si>
  <si>
    <t>SemiLEDs Corp</t>
  </si>
  <si>
    <t>TW-</t>
  </si>
  <si>
    <t>0001333986-24-000019</t>
  </si>
  <si>
    <t>Equitable Holdings, Inc.</t>
  </si>
  <si>
    <t>0001334036-24-000096</t>
  </si>
  <si>
    <t>CROCS, INC.</t>
  </si>
  <si>
    <t>0001493152-24-023544</t>
  </si>
  <si>
    <t>CODA OCTOPUS GROUP, INC.</t>
  </si>
  <si>
    <t>0001437749-24-019731</t>
  </si>
  <si>
    <t>URANIUM ENERGY CORP</t>
  </si>
  <si>
    <t>0001334978-24-000012</t>
  </si>
  <si>
    <t>CLEAR CHANNEL OUTDOOR HOLDINGS, INC.</t>
  </si>
  <si>
    <t>0001493152-24-018337</t>
  </si>
  <si>
    <t>LIXTE BIOTECHNOLOGY HOLDINGS, INC.</t>
  </si>
  <si>
    <t>0001575872-24-000684</t>
  </si>
  <si>
    <t>LOGIQ, INC.</t>
  </si>
  <si>
    <t>0001335258-24-000071</t>
  </si>
  <si>
    <t>LIVE NATION ENTERTAINMENT, INC.</t>
  </si>
  <si>
    <t>0001336047-24-000010</t>
  </si>
  <si>
    <t>BOARDWALK PIPELINE PARTNERS, LP</t>
  </si>
  <si>
    <t>0001336917-24-000073</t>
  </si>
  <si>
    <t>UNDER ARMOUR, INC.</t>
  </si>
  <si>
    <t>0001336920-24-000036</t>
  </si>
  <si>
    <t>Leidos Holdings, Inc.</t>
  </si>
  <si>
    <t>0001628280-24-022249</t>
  </si>
  <si>
    <t>INFUSYSTEM HOLDINGS, INC</t>
  </si>
  <si>
    <t>0001174947-24-001002</t>
  </si>
  <si>
    <t>Magyar Bancorp, Inc.</t>
  </si>
  <si>
    <t>0001437749-24-025859</t>
  </si>
  <si>
    <t>FUTUREFUEL CORP.</t>
  </si>
  <si>
    <t>0001337619-24-000013</t>
  </si>
  <si>
    <t>Envestnet, Inc.</t>
  </si>
  <si>
    <t>0001214659-24-013776</t>
  </si>
  <si>
    <t>Ridgewood Energy Q Fund, LLC</t>
  </si>
  <si>
    <t>0000950170-24-089741</t>
  </si>
  <si>
    <t>PotlatchDeltic Corporation</t>
  </si>
  <si>
    <t>0001477932-24-005124</t>
  </si>
  <si>
    <t>AUTHENTIC HOLDINGS, INC.</t>
  </si>
  <si>
    <t>0001140361-24-025068</t>
  </si>
  <si>
    <t>Femasys Inc.</t>
  </si>
  <si>
    <t>H&amp;E Equipment Services, Inc.</t>
  </si>
  <si>
    <t>0001062993-24-010308</t>
  </si>
  <si>
    <t>LION COPPER AND GOLD CORP.</t>
  </si>
  <si>
    <t>0000950170-24-052092</t>
  </si>
  <si>
    <t>ATYR PHARMA, INC.</t>
  </si>
  <si>
    <t>0001340122-24-000042</t>
  </si>
  <si>
    <t>Calumet Specialty Products Partners, L.P.</t>
  </si>
  <si>
    <t>0000950170-24-092954</t>
  </si>
  <si>
    <t>DIRTT ENVIRONMENTAL SOLUTIONS LTD</t>
  </si>
  <si>
    <t>0000950170-24-052056</t>
  </si>
  <si>
    <t>ALDEYRA THERAPEUTICS, INC.</t>
  </si>
  <si>
    <t>0001558370-24-006454</t>
  </si>
  <si>
    <t>BRIDGEWATER BANCSHARES, INC.</t>
  </si>
  <si>
    <t>0000950170-24-096330</t>
  </si>
  <si>
    <t>LAKE SHORE BANCORP, INC.</t>
  </si>
  <si>
    <t>0000950170-24-029904</t>
  </si>
  <si>
    <t>Oracle Corporation</t>
  </si>
  <si>
    <t>0001341766-24-000029</t>
  </si>
  <si>
    <t>CELSIUS HOLDINGS, INC.</t>
  </si>
  <si>
    <t>0001683168-24-003673</t>
  </si>
  <si>
    <t>NAMLIONG SKYCOSMOS, INC.</t>
  </si>
  <si>
    <t>0001342423-24-000015</t>
  </si>
  <si>
    <t>LIMONEIRA COMPANY</t>
  </si>
  <si>
    <t>0001262463-24-000084</t>
  </si>
  <si>
    <t>HNO INTERNATIONAL, INC.</t>
  </si>
  <si>
    <t>0001376474-24-000266</t>
  </si>
  <si>
    <t>Advanced Voice Recognition Systems, Inc.</t>
  </si>
  <si>
    <t>0001493152-24-020464</t>
  </si>
  <si>
    <t>Digital Ally, Inc.</t>
  </si>
  <si>
    <t>0001683168-24-002440</t>
  </si>
  <si>
    <t>CNBX PHARMACEUTICALS INC.</t>
  </si>
  <si>
    <t>0001345016-24-000033</t>
  </si>
  <si>
    <t>YELP INC.</t>
  </si>
  <si>
    <t>0001345126-24-000028</t>
  </si>
  <si>
    <t>COMPASS DIVERSIFIED HOLDINGS</t>
  </si>
  <si>
    <t>0001062993-24-008368</t>
  </si>
  <si>
    <t>Enertopia Corporation</t>
  </si>
  <si>
    <t>0001017386-24-000232</t>
  </si>
  <si>
    <t>CMG HOLDINGS GROUP, INC.</t>
  </si>
  <si>
    <t>0001558370-24-012231</t>
  </si>
  <si>
    <t>CARA THERAPEUTICS, INC.</t>
  </si>
  <si>
    <t>0001628280-24-033866</t>
  </si>
  <si>
    <t>VANDA PHARMACEUTICALS INC.</t>
  </si>
  <si>
    <t>0001753926-24-001419</t>
  </si>
  <si>
    <t>Lipella Pharmaceuticals Inc.</t>
  </si>
  <si>
    <t>0001558370-24-011967</t>
  </si>
  <si>
    <t>22nd Century Group, Inc.</t>
  </si>
  <si>
    <t>0001640334-24-001091</t>
  </si>
  <si>
    <t>LEXARIA BIOSCIENCE CORP.</t>
  </si>
  <si>
    <t>0001628280-24-036244</t>
  </si>
  <si>
    <t>SANDRIDGE ENERGY, INC.</t>
  </si>
  <si>
    <t>0001214659-24-009083</t>
  </si>
  <si>
    <t>TURNONGREEN, INC.</t>
  </si>
  <si>
    <t>0000950170-24-091911</t>
  </si>
  <si>
    <t>Ascent Solar Technologies, Inc.</t>
  </si>
  <si>
    <t>0001262463-24-000052</t>
  </si>
  <si>
    <t>PREAXIA HEALTH CARE PAYMENT SYSTEMS INC.</t>
  </si>
  <si>
    <t>0001350593-24-000058</t>
  </si>
  <si>
    <t>MUELLER WATER PRODUCTS, INC.</t>
  </si>
  <si>
    <t>ALPHATEC HOLDINGS, INC.</t>
  </si>
  <si>
    <t>0000950170-24-097241</t>
  </si>
  <si>
    <t>SoundThinking, Inc.</t>
  </si>
  <si>
    <t>0001352010-24-000027</t>
  </si>
  <si>
    <t>EPAM SYSTEMS, INC.</t>
  </si>
  <si>
    <t>0001352081-24-000069</t>
  </si>
  <si>
    <t>CARDINAL ETHANOL, LLC</t>
  </si>
  <si>
    <t>0001214659-24-013777</t>
  </si>
  <si>
    <t>Ridgewood Energy S Fund, LLC</t>
  </si>
  <si>
    <t>0001096906-24-001665</t>
  </si>
  <si>
    <t>CFN ENTERPRISES INC.</t>
  </si>
  <si>
    <t>MT-</t>
  </si>
  <si>
    <t>0000950170-24-054967</t>
  </si>
  <si>
    <t>Invesco CurrencyShares® British Pound Sterling Trust</t>
  </si>
  <si>
    <t>0000950170-24-054968</t>
  </si>
  <si>
    <t>Invesco CURRENCYSHARES CANADIAN DOLLAR TRUST</t>
  </si>
  <si>
    <t>0000950170-24-054962</t>
  </si>
  <si>
    <t>Invesco CurrencyShares Japanese Yen Trust</t>
  </si>
  <si>
    <t>0000950170-24-054961</t>
  </si>
  <si>
    <t>Invesco CURRENCYSHARES AUSTRALIAN DOLLAR TRUST</t>
  </si>
  <si>
    <t>0000950170-24-054965</t>
  </si>
  <si>
    <t>Invesco CurrencyShares Swiss Franc Trust</t>
  </si>
  <si>
    <t>0001437749-24-011142</t>
  </si>
  <si>
    <t>Byrna Technologies Inc.</t>
  </si>
  <si>
    <t>0001558370-24-007297</t>
  </si>
  <si>
    <t>QURATE RETAIL, INC.</t>
  </si>
  <si>
    <t>0000950170-24-096128</t>
  </si>
  <si>
    <t>INTERNATIONAL STEM CELL CORPORATION</t>
  </si>
  <si>
    <t>0001213900-24-068283</t>
  </si>
  <si>
    <t>PALTALK, INC.</t>
  </si>
  <si>
    <t>0001355848-24-000071</t>
  </si>
  <si>
    <t>KARTOON STUDIOS, INC.</t>
  </si>
  <si>
    <t>0001356090-24-000010</t>
  </si>
  <si>
    <t>PRECIGEN, INC.</t>
  </si>
  <si>
    <t>0001437749-24-015814</t>
  </si>
  <si>
    <t>CREATIVE REALITIES, INC.</t>
  </si>
  <si>
    <t>0001356115-24-000012</t>
  </si>
  <si>
    <t>NexPoint Diversified Real Estate Trust</t>
  </si>
  <si>
    <t>0001356576-24-000051</t>
  </si>
  <si>
    <t>SUPERNUS PHARMACEUTICALS, INC.</t>
  </si>
  <si>
    <t>0000950170-24-058644</t>
  </si>
  <si>
    <t>PALISADE BIO, INC.</t>
  </si>
  <si>
    <t>0001357615-24-000030</t>
  </si>
  <si>
    <t>KBR, Inc.</t>
  </si>
  <si>
    <t>0000950170-24-088951</t>
  </si>
  <si>
    <t>PRECISION BIOSCIENCES INC</t>
  </si>
  <si>
    <t>0001213900-24-041827</t>
  </si>
  <si>
    <t>IT TECH PACKAGING, INC.</t>
  </si>
  <si>
    <t>0001731122-24-001287</t>
  </si>
  <si>
    <t>SENTIENT BRANDS HOLDINGS INC.</t>
  </si>
  <si>
    <t>0001359687-24-000022</t>
  </si>
  <si>
    <t>RED TRAIL ENERGY, LLC</t>
  </si>
  <si>
    <t>0001359841-24-000023</t>
  </si>
  <si>
    <t>Hanesbrands Inc.</t>
  </si>
  <si>
    <t>0001213900-24-065380</t>
  </si>
  <si>
    <t>Protara Therapeutics, Inc.</t>
  </si>
  <si>
    <t>0001493152-24-018902</t>
  </si>
  <si>
    <t>Harrow, Inc.</t>
  </si>
  <si>
    <t>0001096906-24-001698</t>
  </si>
  <si>
    <t>Cannabis Sativa, Inc.</t>
  </si>
  <si>
    <t>0001493152-24-030740</t>
  </si>
  <si>
    <t>WHERE FOOD COMES FROM, INC.</t>
  </si>
  <si>
    <t>0001360604-24-000045</t>
  </si>
  <si>
    <t>HEALTHCARE REALTY TRUST INCORPORATED</t>
  </si>
  <si>
    <t>0001360901-24-000013</t>
  </si>
  <si>
    <t>EVERCORE INC.</t>
  </si>
  <si>
    <t>VARONIS SYSTEMS, INC.</t>
  </si>
  <si>
    <t>0001558370-24-007404</t>
  </si>
  <si>
    <t>Primoris Services Corporation</t>
  </si>
  <si>
    <t>0001361658-24-000145</t>
  </si>
  <si>
    <t>Travel &amp; Leisure Co.</t>
  </si>
  <si>
    <t>ICF International, Inc.</t>
  </si>
  <si>
    <t>0001410578-24-001118</t>
  </si>
  <si>
    <t>AUDIOEYE INC</t>
  </si>
  <si>
    <t>0001362468-24-000021</t>
  </si>
  <si>
    <t>Allegiant Travel Co</t>
  </si>
  <si>
    <t>0001363829-24-000106</t>
  </si>
  <si>
    <t>Enstar Group LTD</t>
  </si>
  <si>
    <t>0001364250-24-000028</t>
  </si>
  <si>
    <t>Douglas Emmett, Inc.</t>
  </si>
  <si>
    <t>0001214659-24-013778</t>
  </si>
  <si>
    <t>Ridgewood Energy T Fund, LLC</t>
  </si>
  <si>
    <t>0001364479-24-000058</t>
  </si>
  <si>
    <t>HERC HOLDINGS INC.</t>
  </si>
  <si>
    <t>0000950170-24-054148</t>
  </si>
  <si>
    <t>BlackRock, Inc.</t>
  </si>
  <si>
    <t>0001628280-24-034768</t>
  </si>
  <si>
    <t>Spirit AeroSystems Holdings, Inc.</t>
  </si>
  <si>
    <t>0001364954-24-000042</t>
  </si>
  <si>
    <t>CHEGG, INC</t>
  </si>
  <si>
    <t>0000950170-24-047691</t>
  </si>
  <si>
    <t>THE WESTERN UNION COMPANY</t>
  </si>
  <si>
    <t>0001366561-24-000133</t>
  </si>
  <si>
    <t>Smartsheet Inc.</t>
  </si>
  <si>
    <t>0001366868-24-000097</t>
  </si>
  <si>
    <t>GLOBALSTAR, INC.</t>
  </si>
  <si>
    <t>0001367644-24-000147</t>
  </si>
  <si>
    <t>EMERGENT BIOSOLUTIONS INC.</t>
  </si>
  <si>
    <t>0001367859-24-000084</t>
  </si>
  <si>
    <t>CITIZENS COMMUNITY BANCORP, INC.</t>
  </si>
  <si>
    <t>0001558370-24-007619</t>
  </si>
  <si>
    <t>CLEAN ENERGY FUELS CORP.</t>
  </si>
  <si>
    <t>0001368365-24-000068</t>
  </si>
  <si>
    <t>Remark Holdings, Inc.</t>
  </si>
  <si>
    <t>0000950170-24-094050</t>
  </si>
  <si>
    <t>SALLY BEAUTY HOLDINGS, INC.</t>
  </si>
  <si>
    <t>0001140361-24-036432</t>
  </si>
  <si>
    <t>ADMA BIOLOGICS, INC.</t>
  </si>
  <si>
    <t>0000950170-24-057583</t>
  </si>
  <si>
    <t>GTJ REIT, INC.</t>
  </si>
  <si>
    <t>0001104659-24-086302</t>
  </si>
  <si>
    <t>Danaos Corp</t>
  </si>
  <si>
    <t>0000950170-24-091839</t>
  </si>
  <si>
    <t>MYOMO, INC.</t>
  </si>
  <si>
    <t>0000950170-24-092745</t>
  </si>
  <si>
    <t>CATALYST PHARMACEUTICALS, INC.</t>
  </si>
  <si>
    <t>0001370053-24-000041</t>
  </si>
  <si>
    <t>ANAPTYSBIO, INC</t>
  </si>
  <si>
    <t>WILLDAN GROUP, INC.</t>
  </si>
  <si>
    <t>0001370637-24-000030</t>
  </si>
  <si>
    <t>ETSY, INC</t>
  </si>
  <si>
    <t>0000950170-24-050900</t>
  </si>
  <si>
    <t>BLACKROCK TCP CAPITAL CORP.</t>
  </si>
  <si>
    <t>0001370946-24-000183</t>
  </si>
  <si>
    <t>Owens Corning</t>
  </si>
  <si>
    <t>0001493152-24-031288</t>
  </si>
  <si>
    <t>NEWHYDROGEN, INC.</t>
  </si>
  <si>
    <t>0001371451-24-000018</t>
  </si>
  <si>
    <t>HIGHWATER ETHANOL, LLC</t>
  </si>
  <si>
    <t>0001558370-24-007744</t>
  </si>
  <si>
    <t>Information Services Group Inc.</t>
  </si>
  <si>
    <t>0000950170-24-054684</t>
  </si>
  <si>
    <t>Great Lakes Dredge &amp; Dock Corporation</t>
  </si>
  <si>
    <t>0001628280-24-035822</t>
  </si>
  <si>
    <t>OCUGEN, INC.</t>
  </si>
  <si>
    <t>0001372514-24-000053</t>
  </si>
  <si>
    <t>KIORA PHARMACEUTICALS, INC.</t>
  </si>
  <si>
    <t>0000950170-24-066563</t>
  </si>
  <si>
    <t>Box, Inc.</t>
  </si>
  <si>
    <t>0000950170-24-055625</t>
  </si>
  <si>
    <t>Portman Ridge Finance Corporation</t>
  </si>
  <si>
    <t>0001373670-24-000043</t>
  </si>
  <si>
    <t>Green Brick Partners, Inc.</t>
  </si>
  <si>
    <t>0001373715-24-000169</t>
  </si>
  <si>
    <t>SERVICENOW, INC.</t>
  </si>
  <si>
    <t>0001437749-24-016353</t>
  </si>
  <si>
    <t>FitLife Brands, Inc.</t>
  </si>
  <si>
    <t>0001558370-24-008145</t>
  </si>
  <si>
    <t>PROMIS NEUROSCIENCES INC.</t>
  </si>
  <si>
    <t>0001654954-24-006390</t>
  </si>
  <si>
    <t>Luvu Brands, Inc.</t>
  </si>
  <si>
    <t>LARIMAR THERAPEUTICS, INC.</t>
  </si>
  <si>
    <t>0001477932-24-002997</t>
  </si>
  <si>
    <t>Kingfish Holding Corporation</t>
  </si>
  <si>
    <t>0001437749-24-026718</t>
  </si>
  <si>
    <t>THE CORETEC GROUP INC.</t>
  </si>
  <si>
    <t>0001654954-24-005635</t>
  </si>
  <si>
    <t>UR-ENERGY INC.</t>
  </si>
  <si>
    <t>0001493152-24-038066</t>
  </si>
  <si>
    <t>GOLDEN STAR RESOURCE CORP.</t>
  </si>
  <si>
    <t>0001375365-24-000022</t>
  </si>
  <si>
    <t>Super Micro Computer, Inc.</t>
  </si>
  <si>
    <t>0001493152-24-025250</t>
  </si>
  <si>
    <t>MetAlert, Inc.</t>
  </si>
  <si>
    <t>0001376139-24-000031</t>
  </si>
  <si>
    <t>CVR ENERGY, INC</t>
  </si>
  <si>
    <t>0001410578-24-000685</t>
  </si>
  <si>
    <t>United States Natural Gas Fund, LP</t>
  </si>
  <si>
    <t>0001213900-24-070691</t>
  </si>
  <si>
    <t>VPR Brands, LP</t>
  </si>
  <si>
    <t>0001376339-24-000033</t>
  </si>
  <si>
    <t>MIMEDX GROUP, INC.</t>
  </si>
  <si>
    <t>0001683168-24-003488</t>
  </si>
  <si>
    <t>Cavitation Technologies, Inc.</t>
  </si>
  <si>
    <t>0001829126-24-004192</t>
  </si>
  <si>
    <t>VNUE, INC.</t>
  </si>
  <si>
    <t>0001376986-24-000010</t>
  </si>
  <si>
    <t>TENNESSEE VALLEY AUTHORITY</t>
  </si>
  <si>
    <t>0001558370-24-007081</t>
  </si>
  <si>
    <t>PROTAGONIST THERAPEUTICS, INC.</t>
  </si>
  <si>
    <t>0001437749-24-026690</t>
  </si>
  <si>
    <t>CareView Communications Inc</t>
  </si>
  <si>
    <t>0001214659-24-013779</t>
  </si>
  <si>
    <t>Ridgewood Energy U Fund, LLC</t>
  </si>
  <si>
    <t>0001377630-24-000077</t>
  </si>
  <si>
    <t>NATIONAL CINEMEDIA, INC.</t>
  </si>
  <si>
    <t>0001377789-24-000019</t>
  </si>
  <si>
    <t>AVIAT NETWORKS, INC.</t>
  </si>
  <si>
    <t>0001437749-24-026874</t>
  </si>
  <si>
    <t>Bridgeline Digital, Inc.</t>
  </si>
  <si>
    <t>CARPARTS.COM, INC.</t>
  </si>
  <si>
    <t>0001140361-24-025167</t>
  </si>
  <si>
    <t>BERRY GLOBAL GROUP, INC.</t>
  </si>
  <si>
    <t>0001410578-24-000843</t>
  </si>
  <si>
    <t>NANOVIRICIDES, INC.</t>
  </si>
  <si>
    <t>0001379041-24-000104</t>
  </si>
  <si>
    <t>EMPLOYERS HOLDINGS, INC.</t>
  </si>
  <si>
    <t>0001379785-24-000043</t>
  </si>
  <si>
    <t>Barings BDC, Inc.</t>
  </si>
  <si>
    <t>0001380106-24-000166</t>
  </si>
  <si>
    <t>Rapid Micro Biosystems, Inc.</t>
  </si>
  <si>
    <t>0000950170-24-051763</t>
  </si>
  <si>
    <t>DOMTAR CORPORATION</t>
  </si>
  <si>
    <t>0001381668-24-000082</t>
  </si>
  <si>
    <t>TFS FINANCIAL CORPORATION</t>
  </si>
  <si>
    <t>0000950170-24-096336</t>
  </si>
  <si>
    <t>SUTRO BIOPHARMA, INC.</t>
  </si>
  <si>
    <t>0000950170-24-058569</t>
  </si>
  <si>
    <t>ESSA Bancorp, Inc.</t>
  </si>
  <si>
    <t>0001493152-24-030971</t>
  </si>
  <si>
    <t>TRxADE HEALTH, INC.</t>
  </si>
  <si>
    <t>0001382821-24-000066</t>
  </si>
  <si>
    <t>Redfin Corporation</t>
  </si>
  <si>
    <t>0000950170-24-054976</t>
  </si>
  <si>
    <t>INVESCO DB PRECIOUS METALS FUND</t>
  </si>
  <si>
    <t>0000950170-24-054959</t>
  </si>
  <si>
    <t>INVESCO DB OIL FUND</t>
  </si>
  <si>
    <t>0000950170-24-054958</t>
  </si>
  <si>
    <t>INVESCO DB ENERGY FUND</t>
  </si>
  <si>
    <t>0000950170-24-054963</t>
  </si>
  <si>
    <t>INVESCO DB AGRICULTURE FUND</t>
  </si>
  <si>
    <t>0000950170-24-054952</t>
  </si>
  <si>
    <t>INVESCO DB BASE METALS FUND</t>
  </si>
  <si>
    <t>0001477932-24-005117</t>
  </si>
  <si>
    <t>CYTTA CORP.</t>
  </si>
  <si>
    <t>0000950170-24-054957</t>
  </si>
  <si>
    <t>INVESCO DB US DOLLAR INDEX BEARISH FUND</t>
  </si>
  <si>
    <t>0000950170-24-054977</t>
  </si>
  <si>
    <t>INVESCO DB US DOLLAR INDEX BULLISH FUND</t>
  </si>
  <si>
    <t>0001383312-24-000028</t>
  </si>
  <si>
    <t>BROADRIDGE FINANCIAL SOLUTIONS, INC.</t>
  </si>
  <si>
    <t>0000950170-24-055646</t>
  </si>
  <si>
    <t>PennantPark Investment Corporation</t>
  </si>
  <si>
    <t>Cheniere Energy Partners, L.P.</t>
  </si>
  <si>
    <t>0001384101-24-000067</t>
  </si>
  <si>
    <t>VERACYTE, INC.</t>
  </si>
  <si>
    <t>0001628280-24-035242</t>
  </si>
  <si>
    <t>Ring Energy, Inc.</t>
  </si>
  <si>
    <t>0001384905-24-000046</t>
  </si>
  <si>
    <t>RingCentral, Inc.</t>
  </si>
  <si>
    <t>0001558370-24-005841</t>
  </si>
  <si>
    <t>TE Connectivity Ltd.</t>
  </si>
  <si>
    <t>0000950170-24-051553</t>
  </si>
  <si>
    <t>Cinemark Holdings, Inc.</t>
  </si>
  <si>
    <t>0001385613-24-000053</t>
  </si>
  <si>
    <t>GREENLIGHT CAPITAL RE, LTD.</t>
  </si>
  <si>
    <t>0001214659-24-013780</t>
  </si>
  <si>
    <t>Ridgewood Energy V Fund, LLC</t>
  </si>
  <si>
    <t>0001437749-24-017051</t>
  </si>
  <si>
    <t>AYTU BIOPHARMA, INC.</t>
  </si>
  <si>
    <t>ENERGY FUELS INC.</t>
  </si>
  <si>
    <t>0001477932-24-005122</t>
  </si>
  <si>
    <t>FREEDOM HOLDINGS, INC.</t>
  </si>
  <si>
    <t>0001386278-24-000031</t>
  </si>
  <si>
    <t>GREEN DOT CORP</t>
  </si>
  <si>
    <t>0001558370-24-007952</t>
  </si>
  <si>
    <t>RESEARCH SOLUTIONS, INC.</t>
  </si>
  <si>
    <t>0001628280-24-021645</t>
  </si>
  <si>
    <t>CHROMADEX CORPORATION</t>
  </si>
  <si>
    <t>0001387467-24-000059</t>
  </si>
  <si>
    <t>Alpha and Omega Semiconductor Limited</t>
  </si>
  <si>
    <t>0001493152-24-031498</t>
  </si>
  <si>
    <t>ONEMETA INC.</t>
  </si>
  <si>
    <t>0001213900-24-065239</t>
  </si>
  <si>
    <t>ACTINIUM PHARMACEUTICALS, INC.</t>
  </si>
  <si>
    <t>iRhythm Technologies, Inc.</t>
  </si>
  <si>
    <t>0000950170-24-052191</t>
  </si>
  <si>
    <t>Marin Software Incorporated</t>
  </si>
  <si>
    <t>0001389050-24-000025</t>
  </si>
  <si>
    <t>Archrock, Inc.</t>
  </si>
  <si>
    <t>0000950170-24-051853</t>
  </si>
  <si>
    <t>TARGA RESOURCES CORP.</t>
  </si>
  <si>
    <t>0001493152-24-018788</t>
  </si>
  <si>
    <t>Clubhouse Media Group, Inc.</t>
  </si>
  <si>
    <t>0001437749-24-026386</t>
  </si>
  <si>
    <t>NOVABAY PHARMACEUTICALS, INC.</t>
  </si>
  <si>
    <t>0001390478-24-000010</t>
  </si>
  <si>
    <t>SELLAS Life Sciences Group, Inc.</t>
  </si>
  <si>
    <t>0001390777-24-000105</t>
  </si>
  <si>
    <t>THE BANK OF NEW YORK MELLON CORPORATION</t>
  </si>
  <si>
    <t>0001096906-24-001723</t>
  </si>
  <si>
    <t>LFTD PARTNERS INC.</t>
  </si>
  <si>
    <t>0001903596-24-000618</t>
  </si>
  <si>
    <t>CLEAN VISION CORPORATION</t>
  </si>
  <si>
    <t>0000927089-24-000086</t>
  </si>
  <si>
    <t>QUAINT OAK BANCORP INC</t>
  </si>
  <si>
    <t>0001392380-24-000014</t>
  </si>
  <si>
    <t>GEVO, INC.</t>
  </si>
  <si>
    <t>0001654954-24-005844</t>
  </si>
  <si>
    <t>GREEN PLANET BIOENGINEERING CO., LTD.</t>
  </si>
  <si>
    <t>0000890163-24-000004</t>
  </si>
  <si>
    <t>Lightning Gaming, Inc.</t>
  </si>
  <si>
    <t>0001493152-24-031624</t>
  </si>
  <si>
    <t>SURGEPAYS, INC.</t>
  </si>
  <si>
    <t>0001392972-24-000063</t>
  </si>
  <si>
    <t>PROS HOLDINGS, INC.</t>
  </si>
  <si>
    <t>0001393052-24-000024</t>
  </si>
  <si>
    <t>Veeva Systems Inc.</t>
  </si>
  <si>
    <t>0001393311-24-000109</t>
  </si>
  <si>
    <t>Public Storage</t>
  </si>
  <si>
    <t>0001558370-24-011202</t>
  </si>
  <si>
    <t>Ocular Therapeutix, Inc.</t>
  </si>
  <si>
    <t>0000950170-24-051315</t>
  </si>
  <si>
    <t>American Well Corporation</t>
  </si>
  <si>
    <t>0001393612-24-000032</t>
  </si>
  <si>
    <t>DISCOVER FINANCIAL SERVICES</t>
  </si>
  <si>
    <t>0001393726-24-000056</t>
  </si>
  <si>
    <t>Tiptree Inc.</t>
  </si>
  <si>
    <t>0001096906-24-001722</t>
  </si>
  <si>
    <t>WEED, INC.</t>
  </si>
  <si>
    <t>0001213900-24-043325</t>
  </si>
  <si>
    <t>Quality Industrial Corp.</t>
  </si>
  <si>
    <t>0001193125-24-130670</t>
  </si>
  <si>
    <t>Blackstone Inc</t>
  </si>
  <si>
    <t>0001393883-24-000088</t>
  </si>
  <si>
    <t>DHI Group, Inc.</t>
  </si>
  <si>
    <t>0000950170-24-093868</t>
  </si>
  <si>
    <t>One Stop Systems, Inc.</t>
  </si>
  <si>
    <t>0001554795-24-000142</t>
  </si>
  <si>
    <t>SUIC WORLDWIDE HOLDINGS LTD.</t>
  </si>
  <si>
    <t>0000950170-24-096403</t>
  </si>
  <si>
    <t>TRACON Pharmaceuticals, Inc.</t>
  </si>
  <si>
    <t>DRIVEITAWAY HOLDINGS, INC.</t>
  </si>
  <si>
    <t>0001437749-24-016450</t>
  </si>
  <si>
    <t>First Trinity Financial Corp.</t>
  </si>
  <si>
    <t>0000950170-24-089241</t>
  </si>
  <si>
    <t>Syndax Pharmaceuticals, Inc.</t>
  </si>
  <si>
    <t>0001395942-24-000026</t>
  </si>
  <si>
    <t>OPENLANE, Inc.</t>
  </si>
  <si>
    <t>0001396009-24-000009</t>
  </si>
  <si>
    <t>VULCAN MATERIALS COMPANY</t>
  </si>
  <si>
    <t>0000950170-24-055042</t>
  </si>
  <si>
    <t>LL Flooring Holdings, Inc.</t>
  </si>
  <si>
    <t>0001396440-24-000154</t>
  </si>
  <si>
    <t>Main Street Capital Corporation</t>
  </si>
  <si>
    <t>0001079973-24-001218</t>
  </si>
  <si>
    <t>Duos Technologies Group, Inc.</t>
  </si>
  <si>
    <t>0001396814-24-000045</t>
  </si>
  <si>
    <t>PACIRA BIOSCIENCES, INC.</t>
  </si>
  <si>
    <t>0001410578-24-000690</t>
  </si>
  <si>
    <t>United States Gasoline Fund, LP</t>
  </si>
  <si>
    <t>0001493152-24-019107</t>
  </si>
  <si>
    <t>OPTEX SYSTEMS HOLDINGS, INC.</t>
  </si>
  <si>
    <t>0001213900-24-065631</t>
  </si>
  <si>
    <t>FLEXSHOPPER, INC.</t>
  </si>
  <si>
    <t>0001493152-24-032265</t>
  </si>
  <si>
    <t>IVEDA SOLUTIONS, INC.</t>
  </si>
  <si>
    <t>0001397187-24-000024</t>
  </si>
  <si>
    <t>lululemon athletica inc.</t>
  </si>
  <si>
    <t>0001397702-24-000034</t>
  </si>
  <si>
    <t>SILK ROAD MEDICAL, INC.</t>
  </si>
  <si>
    <t>0001397911-24-000053</t>
  </si>
  <si>
    <t>LPL Financial Holdings Inc.</t>
  </si>
  <si>
    <t>0001398659-24-000080</t>
  </si>
  <si>
    <t>GENPACT LIMITED</t>
  </si>
  <si>
    <t>0001628280-24-035225</t>
  </si>
  <si>
    <t>Aquestive Therapeutics, Inc.</t>
  </si>
  <si>
    <t>0001683168-24-005571</t>
  </si>
  <si>
    <t>Beam Global</t>
  </si>
  <si>
    <t>0001398987-24-000091</t>
  </si>
  <si>
    <t>Anywhere Real Estate Inc.</t>
  </si>
  <si>
    <t>0001399306-24-000009</t>
  </si>
  <si>
    <t>BREWBILT BREWING COMPANY</t>
  </si>
  <si>
    <t>0001558370-24-007045</t>
  </si>
  <si>
    <t>ONE GROUP HOSPITALITY, INC.</t>
  </si>
  <si>
    <t>0001558370-24-012136</t>
  </si>
  <si>
    <t>Sagimet Biosciences Inc.</t>
  </si>
  <si>
    <t>0000950170-24-056839</t>
  </si>
  <si>
    <t>HCI Group, Inc.</t>
  </si>
  <si>
    <t>0001400891-24-000021</t>
  </si>
  <si>
    <t>IHEARTMEDIA, INC.</t>
  </si>
  <si>
    <t>0001437749-24-025198</t>
  </si>
  <si>
    <t>DIAMEDICA THERAPEUTICS INC.</t>
  </si>
  <si>
    <t>0001401257-24-000121</t>
  </si>
  <si>
    <t>FORUM ENERGY TECHNOLOGIES, INC.</t>
  </si>
  <si>
    <t>0001401521-24-000043</t>
  </si>
  <si>
    <t>American Coastal Insurance Corporation</t>
  </si>
  <si>
    <t>0000939057-24-000124</t>
  </si>
  <si>
    <t>FIRST FINANCIAL NORTHWEST, INC.</t>
  </si>
  <si>
    <t>0001437749-24-014395</t>
  </si>
  <si>
    <t>PUMA BIOTECHNOLOGY, INC.</t>
  </si>
  <si>
    <t>0001401914-24-000038</t>
  </si>
  <si>
    <t>Dare Bioscience, Inc.</t>
  </si>
  <si>
    <t>0001402057-24-000088</t>
  </si>
  <si>
    <t>CDW CORP</t>
  </si>
  <si>
    <t>0001683168-24-003688</t>
  </si>
  <si>
    <t>SUNSHINE BIOPHARMA, INC.</t>
  </si>
  <si>
    <t>0000950170-24-051251</t>
  </si>
  <si>
    <t>SS&amp;C TECHNOLOGIES HOLDINGS, INC.</t>
  </si>
  <si>
    <t>ORION GROUP HOLDINGS, INC.</t>
  </si>
  <si>
    <t>0001437749-24-026476</t>
  </si>
  <si>
    <t>Progressive Care Inc.</t>
  </si>
  <si>
    <t>0001403161-24-000030</t>
  </si>
  <si>
    <t>VISA INC.</t>
  </si>
  <si>
    <t>0001403475-24-000040</t>
  </si>
  <si>
    <t>Bank of Marin Bancorp</t>
  </si>
  <si>
    <t>0001403528-24-000026</t>
  </si>
  <si>
    <t>Brookfield Oaktree Holdings, LLC</t>
  </si>
  <si>
    <t>0001558370-24-012542</t>
  </si>
  <si>
    <t>ULTA BEAUTY, INC.</t>
  </si>
  <si>
    <t>0000950170-24-095776</t>
  </si>
  <si>
    <t>EVOKE PHARMA, INC.</t>
  </si>
  <si>
    <t>0000950170-24-098590</t>
  </si>
  <si>
    <t>ELEDON PHARMACEUTICALS, INC.</t>
  </si>
  <si>
    <t>0001404644-24-000086</t>
  </si>
  <si>
    <t>Neurogene Inc.</t>
  </si>
  <si>
    <t>0000950170-24-092843</t>
  </si>
  <si>
    <t>HubSpot, Inc.</t>
  </si>
  <si>
    <t>0001096906-24-001718</t>
  </si>
  <si>
    <t>OMNITEK ENGINEERING CORP.</t>
  </si>
  <si>
    <t>0001404912-24-000011</t>
  </si>
  <si>
    <t>KKR &amp; CO. INC.</t>
  </si>
  <si>
    <t>INTERDIGITAL, INC.</t>
  </si>
  <si>
    <t>0001410578-24-000693</t>
  </si>
  <si>
    <t>United States 12 Month Natural Gas Fund, LP</t>
  </si>
  <si>
    <t>0001410578-24-000686</t>
  </si>
  <si>
    <t>United States 12 Month Oil Fund, LP</t>
  </si>
  <si>
    <t>0001406587-24-000085</t>
  </si>
  <si>
    <t>FORESTAR GROUP INC.</t>
  </si>
  <si>
    <t>0001406666-24-000017</t>
  </si>
  <si>
    <t>Calix, Inc</t>
  </si>
  <si>
    <t>0001493152-24-018496</t>
  </si>
  <si>
    <t>BUNKER HILL MINING CORP.</t>
  </si>
  <si>
    <t>RETAIL OPPORTUNITY INVESTMENTS CORP</t>
  </si>
  <si>
    <t>0001640334-24-001502</t>
  </si>
  <si>
    <t>LINGERIE FIGHTING CHAMPIONSHIPS, INC.</t>
  </si>
  <si>
    <t>0001493152-24-031337</t>
  </si>
  <si>
    <t>DIGITAL     LOCATIONS, INC.</t>
  </si>
  <si>
    <t>0000950170-24-092787</t>
  </si>
  <si>
    <t>Sonendo, Inc.</t>
  </si>
  <si>
    <t>0001408075-24-000020</t>
  </si>
  <si>
    <t>Graphic Packaging Holding Co</t>
  </si>
  <si>
    <t>0001437749-24-026676</t>
  </si>
  <si>
    <t>SCANDIUM INTERNATIONAL MINING CORP.</t>
  </si>
  <si>
    <t>MSCI INC.</t>
  </si>
  <si>
    <t>0001558370-24-007860</t>
  </si>
  <si>
    <t>Milestone Pharmaceuticals Inc.</t>
  </si>
  <si>
    <t>0001408534-24-000073</t>
  </si>
  <si>
    <t>FIRST GUARANTY BANCSHARES, INC.</t>
  </si>
  <si>
    <t>0001408710-24-000019</t>
  </si>
  <si>
    <t>FABRINET</t>
  </si>
  <si>
    <t>0001409171-24-000098</t>
  </si>
  <si>
    <t>TITAN MACHINERY INC.</t>
  </si>
  <si>
    <t>0001213900-24-058011</t>
  </si>
  <si>
    <t>BESPOKE EXTRACTS, INC.</t>
  </si>
  <si>
    <t>0001437749-24-026155</t>
  </si>
  <si>
    <t>Venus Concept Inc.</t>
  </si>
  <si>
    <t>0000950170-24-072435</t>
  </si>
  <si>
    <t>Orion Energy Systems, Inc.</t>
  </si>
  <si>
    <t>0001628280-24-022269</t>
  </si>
  <si>
    <t>CHIMERA INVESTMENT CORPORATION</t>
  </si>
  <si>
    <t>0001017386-24-000190</t>
  </si>
  <si>
    <t>Himalaya Technologies, Inc.</t>
  </si>
  <si>
    <t>0001214659-24-013781</t>
  </si>
  <si>
    <t>Ridgewood Energy W Fund, LLC</t>
  </si>
  <si>
    <t>0001409970-24-000024</t>
  </si>
  <si>
    <t>LendingClub Corporation</t>
  </si>
  <si>
    <t>0001213900-24-041031</t>
  </si>
  <si>
    <t>CORMEDIX INC.</t>
  </si>
  <si>
    <t>0001410384-24-000099</t>
  </si>
  <si>
    <t>Q2 Holdings, Inc.</t>
  </si>
  <si>
    <t>0001544784-24-000083</t>
  </si>
  <si>
    <t>XWELL, Inc.</t>
  </si>
  <si>
    <t>AMERICAN WATER WORKS COMPANY, INC.</t>
  </si>
  <si>
    <t>0001493152-24-019747</t>
  </si>
  <si>
    <t>VoIP-PAL.COM INC.</t>
  </si>
  <si>
    <t>0001683168-24-002587</t>
  </si>
  <si>
    <t>CANNABIS BIOSCIENCE INTERNATIONAL HOLDINGS, INC.</t>
  </si>
  <si>
    <t>0001376474-24-000231</t>
  </si>
  <si>
    <t>Dutch Oven Gold Group Inc.</t>
  </si>
  <si>
    <t>0000950170-24-048677</t>
  </si>
  <si>
    <t>ALLISON TRANSMISSION HOLDINGS, INC.</t>
  </si>
  <si>
    <t>0001411342-24-000053</t>
  </si>
  <si>
    <t>Ellington Financial Inc.</t>
  </si>
  <si>
    <t>0001411579-24-000060</t>
  </si>
  <si>
    <t>AMC ENTERTAINMENT HOLDINGS, INC.</t>
  </si>
  <si>
    <t>0001411690-24-000049</t>
  </si>
  <si>
    <t>Bionano Genomics, Inc.</t>
  </si>
  <si>
    <t>0001412100-24-000047</t>
  </si>
  <si>
    <t>MAIDEN HOLDINGS, LTD.</t>
  </si>
  <si>
    <t>0001213900-24-070805</t>
  </si>
  <si>
    <t>REMSLEEP HOLDINGS, INC.</t>
  </si>
  <si>
    <t>PHREESIA, INC.</t>
  </si>
  <si>
    <t>0001493152-24-031877</t>
  </si>
  <si>
    <t>COCRYSTAL PHARMA, INC.</t>
  </si>
  <si>
    <t>0001558370-24-007256</t>
  </si>
  <si>
    <t>Sterling Real Estate Trust</t>
  </si>
  <si>
    <t>0001412665-24-000077</t>
  </si>
  <si>
    <t>MIDWESTONE FINANCIAL GROUP, INC.</t>
  </si>
  <si>
    <t>0001493152-24-019270</t>
  </si>
  <si>
    <t>KRAIG BIOCRAFT LABORATORIES, INC.</t>
  </si>
  <si>
    <t>0001413329-24-000087</t>
  </si>
  <si>
    <t>Philip Morris International Inc.</t>
  </si>
  <si>
    <t>0001413447-24-000038</t>
  </si>
  <si>
    <t>NXP Semiconductors N.V.</t>
  </si>
  <si>
    <t>NL-</t>
  </si>
  <si>
    <t>0001493152-24-032184</t>
  </si>
  <si>
    <t>MARIZYME, INC.</t>
  </si>
  <si>
    <t>0001558370-24-007559</t>
  </si>
  <si>
    <t>FIRST FOUNDATION INC.</t>
  </si>
  <si>
    <t>0001213900-24-072022</t>
  </si>
  <si>
    <t>High Wire Networks, Inc.</t>
  </si>
  <si>
    <t>0001413898-24-000023</t>
  </si>
  <si>
    <t>DallasNews CORPORATION</t>
  </si>
  <si>
    <t>0001477932-24-003671</t>
  </si>
  <si>
    <t>Concrete Leveling Systems, Inc.</t>
  </si>
  <si>
    <t>0001493152-24-029454</t>
  </si>
  <si>
    <t>NETCAPITAL     INC.</t>
  </si>
  <si>
    <t>0001414932-24-000008</t>
  </si>
  <si>
    <t>Oaktree Specialty Lending Corporation</t>
  </si>
  <si>
    <t>EQUATOR Beverage Company</t>
  </si>
  <si>
    <t>0001193125-24-134425</t>
  </si>
  <si>
    <t>PROSHARES TRUST II</t>
  </si>
  <si>
    <t>0001640334-24-001316</t>
  </si>
  <si>
    <t>LITHIUM CORPORATION</t>
  </si>
  <si>
    <t>0001213900-24-067723</t>
  </si>
  <si>
    <t>Raphael Pharmaceutical Inc.</t>
  </si>
  <si>
    <t>0001437749-24-020187</t>
  </si>
  <si>
    <t>NORTHERN MINERALS &amp; EXPLORATION LTD.</t>
  </si>
  <si>
    <t>0001683168-24-005731</t>
  </si>
  <si>
    <t>UN MONDE INTERNATIONAL LTD.</t>
  </si>
  <si>
    <t>0001096906-24-001249</t>
  </si>
  <si>
    <t>Inception Mining Inc.</t>
  </si>
  <si>
    <t>0001416265-24-000034</t>
  </si>
  <si>
    <t>PROSPER MARKETPLACE, INC.</t>
  </si>
  <si>
    <t>0001493152-24-018594</t>
  </si>
  <si>
    <t>BLUE LINE PROTECTION GROUP, INC.</t>
  </si>
  <si>
    <t>0001493152-24-031977</t>
  </si>
  <si>
    <t>FIRST CHOICE HEALTHCARE SOLUTIONS, INC.</t>
  </si>
  <si>
    <t>0001417398-24-000137</t>
  </si>
  <si>
    <t>HILLENBRAND, INC.</t>
  </si>
  <si>
    <t>0001140361-24-025214</t>
  </si>
  <si>
    <t>SANUWAVE Health, Inc.</t>
  </si>
  <si>
    <t>0001214659-24-012643</t>
  </si>
  <si>
    <t>Value Exchange International, Inc.</t>
  </si>
  <si>
    <t>0001410578-24-001520</t>
  </si>
  <si>
    <t>EMEREN GROUP LTD</t>
  </si>
  <si>
    <t>0001493152-24-031917</t>
  </si>
  <si>
    <t>INVO Bioscience, Inc.</t>
  </si>
  <si>
    <t>0001193125-24-134205</t>
  </si>
  <si>
    <t>SLR INVESTMENT CORP.</t>
  </si>
  <si>
    <t>0000950170-24-053569</t>
  </si>
  <si>
    <t>APPLE HOSPITALITY REIT, INC.</t>
  </si>
  <si>
    <t>Keurig Dr Pepper Inc.</t>
  </si>
  <si>
    <t>0001575872-24-000522</t>
  </si>
  <si>
    <t>Renewable Energy Acquisition Corp.</t>
  </si>
  <si>
    <t>0001418819-24-000023</t>
  </si>
  <si>
    <t>Iridium Communications Inc.</t>
  </si>
  <si>
    <t>0000950170-24-096988</t>
  </si>
  <si>
    <t>FORTE BIOSCIENCES, INC.</t>
  </si>
  <si>
    <t>0001493152-24-021937</t>
  </si>
  <si>
    <t>Therapeutic Solutions International, Inc.</t>
  </si>
  <si>
    <t>0001185185-24-000500</t>
  </si>
  <si>
    <t>RYVYL INC.</t>
  </si>
  <si>
    <t>0001419536-24-000022</t>
  </si>
  <si>
    <t>CAPITAL BANCORP INC</t>
  </si>
  <si>
    <t>0001493152-24-030982</t>
  </si>
  <si>
    <t>Bone Biologics Corporation</t>
  </si>
  <si>
    <t>0001178913-24-002470</t>
  </si>
  <si>
    <t>SOLAREDGE TECHNOLOGIES, INC.</t>
  </si>
  <si>
    <t>0001419806-24-000010</t>
  </si>
  <si>
    <t>Rare Element Resources Ltd</t>
  </si>
  <si>
    <t>0001731122-24-000815</t>
  </si>
  <si>
    <t>DATA STORAGE CORPORATION</t>
  </si>
  <si>
    <t>ATOMERA INC</t>
  </si>
  <si>
    <t>0000950170-24-097199</t>
  </si>
  <si>
    <t>Aileron Therapeutics, Inc.</t>
  </si>
  <si>
    <t>0001420800-24-000012</t>
  </si>
  <si>
    <t>Enovis Corp</t>
  </si>
  <si>
    <t>0001421461-24-000022</t>
  </si>
  <si>
    <t>INTREPID POTASH, INC.</t>
  </si>
  <si>
    <t>0001421517-24-000093</t>
  </si>
  <si>
    <t>Energy Recovery, Inc.</t>
  </si>
  <si>
    <t>0001213900-24-042971</t>
  </si>
  <si>
    <t>C-BOND SYSTEMS, INC.</t>
  </si>
  <si>
    <t>0001628280-24-035636</t>
  </si>
  <si>
    <t>AADI BIOSCIENCE, INC.</t>
  </si>
  <si>
    <t>0000950170-24-093997</t>
  </si>
  <si>
    <t>KURA ONCOLOGY, INC.</t>
  </si>
  <si>
    <t>0001628280-24-021724</t>
  </si>
  <si>
    <t>FS KKR Capital Corp.</t>
  </si>
  <si>
    <t>0001422930-24-000041</t>
  </si>
  <si>
    <t>PUBMATIC, INC.</t>
  </si>
  <si>
    <t>0001423221-24-000012</t>
  </si>
  <si>
    <t>QUANEX BUILDING PRODUCTS CORPORATION</t>
  </si>
  <si>
    <t>0001423689-24-000039</t>
  </si>
  <si>
    <t>AGNC INVESTMENT CORP.</t>
  </si>
  <si>
    <t>0001423774-24-000161</t>
  </si>
  <si>
    <t>Zuora, Inc</t>
  </si>
  <si>
    <t>0001423869-24-000030</t>
  </si>
  <si>
    <t>PCB BANCORP</t>
  </si>
  <si>
    <t>0001423902-24-000037</t>
  </si>
  <si>
    <t>WESTERN MIDSTREAM PARTNERS, LP</t>
  </si>
  <si>
    <t>0000950170-24-052047</t>
  </si>
  <si>
    <t>BROADSTONE NET LEASE, INC.</t>
  </si>
  <si>
    <t>0001062993-24-008447</t>
  </si>
  <si>
    <t>WOLVERINE RESOURCES CORP.</t>
  </si>
  <si>
    <t>0001213900-24-045198</t>
  </si>
  <si>
    <t>CUENTAS, INC.</t>
  </si>
  <si>
    <t>0001493152-24-019658</t>
  </si>
  <si>
    <t>VYCOR MEDICAL, INC.</t>
  </si>
  <si>
    <t>0001062993-24-012652</t>
  </si>
  <si>
    <t>RISE GOLD CORP.</t>
  </si>
  <si>
    <t>Fox Factory Holding Corp.</t>
  </si>
  <si>
    <t>0001558370-24-007646</t>
  </si>
  <si>
    <t>IOVANCE BIOTHERAPEUTICS, INC.</t>
  </si>
  <si>
    <t>0001425287-24-000101</t>
  </si>
  <si>
    <t>WORKHORSE GROUP INC.</t>
  </si>
  <si>
    <t>CVR PARTNERS, LP</t>
  </si>
  <si>
    <t>0001425450-24-000079</t>
  </si>
  <si>
    <t>OrthoPediatrics Corp</t>
  </si>
  <si>
    <t>0001477932-24-004685</t>
  </si>
  <si>
    <t>SOBR SAFE, INC.</t>
  </si>
  <si>
    <t>0000950170-24-055680</t>
  </si>
  <si>
    <t>ASSEMBLY BIOSCIENCES, INC.</t>
  </si>
  <si>
    <t>0001558370-24-008304</t>
  </si>
  <si>
    <t>RESHAPE LIFESCIENCES INC.</t>
  </si>
  <si>
    <t>0001437749-24-026801</t>
  </si>
  <si>
    <t>TALPHERA, INC.</t>
  </si>
  <si>
    <t>0001428205-24-000100</t>
  </si>
  <si>
    <t>ARMOUR RESIDENTIAL REIT, INC.</t>
  </si>
  <si>
    <t>0001428336-24-000036</t>
  </si>
  <si>
    <t>HEALTHEQUITY, INC.</t>
  </si>
  <si>
    <t>0001428439-24-000019</t>
  </si>
  <si>
    <t>Roku, Inc.</t>
  </si>
  <si>
    <t>0001558370-24-008299</t>
  </si>
  <si>
    <t>Fortress Biotech, Inc.</t>
  </si>
  <si>
    <t>0001477932-24-005148</t>
  </si>
  <si>
    <t>TRUTANKLESS, INC.</t>
  </si>
  <si>
    <t>0001558370-24-011462</t>
  </si>
  <si>
    <t>Trevena, Inc.</t>
  </si>
  <si>
    <t>0001493152-24-030968</t>
  </si>
  <si>
    <t>BLINK CHARGING CO.</t>
  </si>
  <si>
    <t>0001477932-24-005822</t>
  </si>
  <si>
    <t>GLOBAL WARMING SOLUTIONS, INC.</t>
  </si>
  <si>
    <t>0001999371-24-010281</t>
  </si>
  <si>
    <t>TONIX PHARMACEUTICALS HOLDING CORP.</t>
  </si>
  <si>
    <t>0001554795-24-000187</t>
  </si>
  <si>
    <t>C &amp; C TOURS, INC</t>
  </si>
  <si>
    <t>0001171843-24-002681</t>
  </si>
  <si>
    <t>ServisFirst Bancshares, Inc.</t>
  </si>
  <si>
    <t>0001393905-24-000172</t>
  </si>
  <si>
    <t>BERGIO INTERNATIONAL, INC.</t>
  </si>
  <si>
    <t>0001437749-24-016516</t>
  </si>
  <si>
    <t>OAK VALLEY BANCORP</t>
  </si>
  <si>
    <t>0001431695-24-000028</t>
  </si>
  <si>
    <t>Olo Inc.</t>
  </si>
  <si>
    <t>0000950170-24-058713</t>
  </si>
  <si>
    <t>Meta Materials Inc.</t>
  </si>
  <si>
    <t>CA-NS</t>
  </si>
  <si>
    <t>0001432133-24-000111</t>
  </si>
  <si>
    <t>Kaltura, Inc.</t>
  </si>
  <si>
    <t>AppFolio, Inc.</t>
  </si>
  <si>
    <t>0001493152-24-020526</t>
  </si>
  <si>
    <t>SINO GREEN LAND CORPORATION</t>
  </si>
  <si>
    <t>MY-</t>
  </si>
  <si>
    <t>0001493152-24-018889</t>
  </si>
  <si>
    <t>InspireMD, Inc.</t>
  </si>
  <si>
    <t>0001433660-24-000020</t>
  </si>
  <si>
    <t>John Bean Technologies Corporation</t>
  </si>
  <si>
    <t>0001214659-24-008279</t>
  </si>
  <si>
    <t>Ridgewood Energy Y Fund, LLC</t>
  </si>
  <si>
    <t>0000950170-24-096187</t>
  </si>
  <si>
    <t>FATE THERAPEUTICS, INC.</t>
  </si>
  <si>
    <t>0001558370-24-008292</t>
  </si>
  <si>
    <t>CLEARSIGN TECHNOLOGIES CORPORATION</t>
  </si>
  <si>
    <t>0001558370-24-007046</t>
  </si>
  <si>
    <t>GRAND CANYON EDUCATION, INC.</t>
  </si>
  <si>
    <t>0001683168-24-002554</t>
  </si>
  <si>
    <t>The Marquie Group, Inc.</t>
  </si>
  <si>
    <t>0001434621-24-000020</t>
  </si>
  <si>
    <t>LendingTree, Inc.</t>
  </si>
  <si>
    <t>0001437749-24-026474</t>
  </si>
  <si>
    <t>ZEVRA THERAPEUTICS, INC.</t>
  </si>
  <si>
    <t>0001434728-24-000280</t>
  </si>
  <si>
    <t>Global Water Resources, Inc.</t>
  </si>
  <si>
    <t>0001477932-24-005084</t>
  </si>
  <si>
    <t>SPIRITS TIME INTERNATIONAL, INC.</t>
  </si>
  <si>
    <t>0001477932-24-004441</t>
  </si>
  <si>
    <t>RANGER GOLD CORP.</t>
  </si>
  <si>
    <t>0001628280-24-036762</t>
  </si>
  <si>
    <t>Esperion Therapeutics, Inc.</t>
  </si>
  <si>
    <t>0001493152-24-032245</t>
  </si>
  <si>
    <t>CEMTREX, INC.</t>
  </si>
  <si>
    <t>0001493152-24-031560</t>
  </si>
  <si>
    <t>POWERDYNE INTERNATIONAL, INC.</t>
  </si>
  <si>
    <t>0001515971-24-000053</t>
  </si>
  <si>
    <t>Arem Pacific Corporation</t>
  </si>
  <si>
    <t>AU-</t>
  </si>
  <si>
    <t>0001436126-24-000035</t>
  </si>
  <si>
    <t>Mistras Group, Inc.</t>
  </si>
  <si>
    <t>0001558370-24-011633</t>
  </si>
  <si>
    <t>Legacy Housing Corporation</t>
  </si>
  <si>
    <t>0001493152-24-019301</t>
  </si>
  <si>
    <t>BTCS Inc.</t>
  </si>
  <si>
    <t>0001436425-24-000016</t>
  </si>
  <si>
    <t>HOME BANCORP, INC.</t>
  </si>
  <si>
    <t>0001829126-24-003387</t>
  </si>
  <si>
    <t>LIGHTSTONE VALUE PLUS REIT II, INC.</t>
  </si>
  <si>
    <t>0001437071-24-000027</t>
  </si>
  <si>
    <t>Invesco Mortgage Capital Inc.</t>
  </si>
  <si>
    <t>0001437107-24-000110</t>
  </si>
  <si>
    <t>Warner Bros. Discovery, Inc.</t>
  </si>
  <si>
    <t>0001193125-24-198344</t>
  </si>
  <si>
    <t>MASTECH DIGITAL, INC.</t>
  </si>
  <si>
    <t>0001214659-24-009348</t>
  </si>
  <si>
    <t>REGO PAYMENT ARCHITECTURES, INC.</t>
  </si>
  <si>
    <t>0000950170-24-057023</t>
  </si>
  <si>
    <t>Everbridge, Inc.</t>
  </si>
  <si>
    <t>0001628280-24-019990</t>
  </si>
  <si>
    <t>ARDELYX, INC.</t>
  </si>
  <si>
    <t>0001174947-24-000995</t>
  </si>
  <si>
    <t>ENB Financial Corp</t>
  </si>
  <si>
    <t>PA-</t>
  </si>
  <si>
    <t>0001493152-24-033230</t>
  </si>
  <si>
    <t>CYBERLOQ TECHNOLOGIES, INC.</t>
  </si>
  <si>
    <t>0001437578-24-000017</t>
  </si>
  <si>
    <t>BRIGHT HORIZONS FAMILY SOLUTIONS INC.</t>
  </si>
  <si>
    <t>0001477932-24-003277</t>
  </si>
  <si>
    <t>T-REX Acquisition Corp.</t>
  </si>
  <si>
    <t>0001437958-24-000075</t>
  </si>
  <si>
    <t>COASTAL FINANCIAL CORPORATION</t>
  </si>
  <si>
    <t>0001438133-24-000086</t>
  </si>
  <si>
    <t>Tandem Diabetes Care, Inc.</t>
  </si>
  <si>
    <t>0001437749-24-014676</t>
  </si>
  <si>
    <t>Digimarc CORP</t>
  </si>
  <si>
    <t>0001558370-24-010715</t>
  </si>
  <si>
    <t>Everspin Technologies, Inc.</t>
  </si>
  <si>
    <t>0001438533-24-000020</t>
  </si>
  <si>
    <t>TRAVERE THERAPEUTICS, INC.</t>
  </si>
  <si>
    <t>0001493152-24-041056</t>
  </si>
  <si>
    <t>RANGE IMPACT, INC.</t>
  </si>
  <si>
    <t>0001437749-24-025158</t>
  </si>
  <si>
    <t>MRC GLOBAL INC.</t>
  </si>
  <si>
    <t>AGIOS PHARMACEUTICALS, INC.</t>
  </si>
  <si>
    <t>0001683168-24-005625</t>
  </si>
  <si>
    <t>MARVION INC.</t>
  </si>
  <si>
    <t>0001439288-24-000079</t>
  </si>
  <si>
    <t>ZURN ELKAY WATER SOLUTIONS CORPORATION</t>
  </si>
  <si>
    <t>BIODESIX, INC.</t>
  </si>
  <si>
    <t>0001096906-24-001404</t>
  </si>
  <si>
    <t>BAKHU HOLDINGS, CORP.</t>
  </si>
  <si>
    <t>0001504337-24-000042</t>
  </si>
  <si>
    <t>CLEARWATER PAPER CORPORATION</t>
  </si>
  <si>
    <t>0001441683-24-000070</t>
  </si>
  <si>
    <t>APPIAN CORPORATION</t>
  </si>
  <si>
    <t>0001441816-24-000188</t>
  </si>
  <si>
    <t>MONGODB, INC.</t>
  </si>
  <si>
    <t>0001437749-24-014064</t>
  </si>
  <si>
    <t>Verisk Analytics, Inc.</t>
  </si>
  <si>
    <t>0000950170-24-093847</t>
  </si>
  <si>
    <t>Quest Resource Holding Corporation</t>
  </si>
  <si>
    <t>0001199835-24-000169</t>
  </si>
  <si>
    <t>Laredo Oil, Inc.</t>
  </si>
  <si>
    <t>0001628280-24-036864</t>
  </si>
  <si>
    <t>Mersana Therapeutics, Inc.</t>
  </si>
  <si>
    <t>0001628280-24-034354</t>
  </si>
  <si>
    <t>Proto Labs, Inc.</t>
  </si>
  <si>
    <t>0001477932-24-004732</t>
  </si>
  <si>
    <t>BioCorRx Inc.</t>
  </si>
  <si>
    <t>0000950170-24-091815</t>
  </si>
  <si>
    <t>Nevro Corp.</t>
  </si>
  <si>
    <t>0001091818-24-000074</t>
  </si>
  <si>
    <t>BRAVO MULTINATIONAL INCORPORATED</t>
  </si>
  <si>
    <t>0000950170-24-060418</t>
  </si>
  <si>
    <t>KINETA, INC./DE</t>
  </si>
  <si>
    <t>0001445305-24-000107</t>
  </si>
  <si>
    <t>WORKIVA INC</t>
  </si>
  <si>
    <t>BIOXYTRAN, INC.</t>
  </si>
  <si>
    <t>0001999371-24-008608</t>
  </si>
  <si>
    <t>TEXAS MINERAL RESOURCES CORP.</t>
  </si>
  <si>
    <t>0001171843-24-004757</t>
  </si>
  <si>
    <t>Predictive Oncology Inc.</t>
  </si>
  <si>
    <t>0001558370-24-007640</t>
  </si>
  <si>
    <t>IRONWOOD PHARMACEUTICALS, INC.</t>
  </si>
  <si>
    <t>0001447028-24-000072</t>
  </si>
  <si>
    <t>ARBUTUS BIOPHARMA CORP</t>
  </si>
  <si>
    <t>0001558370-24-007816</t>
  </si>
  <si>
    <t>Territorial Bancorp Inc.</t>
  </si>
  <si>
    <t>0001447362-24-000122</t>
  </si>
  <si>
    <t>CASTLE BIOSCIENCES, INC.</t>
  </si>
  <si>
    <t>0001493152-24-033094</t>
  </si>
  <si>
    <t>Mobivity Holdings Corp.</t>
  </si>
  <si>
    <t>0001447669-24-000074</t>
  </si>
  <si>
    <t>TWILIO INC.</t>
  </si>
  <si>
    <t>0000950170-24-060594</t>
  </si>
  <si>
    <t>REDWOOD MORTGAGE INVESTORS IX</t>
  </si>
  <si>
    <t>0001213900-24-069700</t>
  </si>
  <si>
    <t>OptimizeRx Corporation</t>
  </si>
  <si>
    <t>0001213900-24-067676</t>
  </si>
  <si>
    <t>AUGUSTA GOLD CORP.</t>
  </si>
  <si>
    <t>0001079973-24-000807</t>
  </si>
  <si>
    <t>Basanite, Inc.</t>
  </si>
  <si>
    <t>0001448893-24-000043</t>
  </si>
  <si>
    <t>ESSENT GROUP LTD.</t>
  </si>
  <si>
    <t>0001493152-24-031540</t>
  </si>
  <si>
    <t>VIVOS INC</t>
  </si>
  <si>
    <t>0001493152-24-035661</t>
  </si>
  <si>
    <t>PIONEER POWER SOLUTIONS, INC.</t>
  </si>
  <si>
    <t>0001449794-24-000020</t>
  </si>
  <si>
    <t>Embassy Bancorp, Inc.</t>
  </si>
  <si>
    <t>0001829126-24-003562</t>
  </si>
  <si>
    <t>VIVAKOR, INC.</t>
  </si>
  <si>
    <t>0001999371-24-005864</t>
  </si>
  <si>
    <t>abrdn Silver ETF Trust</t>
  </si>
  <si>
    <t>0001999371-24-005861</t>
  </si>
  <si>
    <t>abrdn Gold ETF Trust</t>
  </si>
  <si>
    <t>0001493152-24-021070</t>
  </si>
  <si>
    <t>ESPORTS ENTERTAINMENT GROUP, INC.</t>
  </si>
  <si>
    <t>0001451505-24-000056</t>
  </si>
  <si>
    <t>Transocean Ltd</t>
  </si>
  <si>
    <t>0001451809-24-000110</t>
  </si>
  <si>
    <t>SiTime Corporation</t>
  </si>
  <si>
    <t>Seven Hills Realty Trust</t>
  </si>
  <si>
    <t>0001452857-24-000015</t>
  </si>
  <si>
    <t>STEEL PARTNERS HOLDINGS L.P.</t>
  </si>
  <si>
    <t>0001452936-24-000066</t>
  </si>
  <si>
    <t>PACIFIC OAK STRATEGIC OPPORTUNITY REIT, INC.</t>
  </si>
  <si>
    <t>0001493152-24-030663</t>
  </si>
  <si>
    <t>XTANT MEDICAL HOLDINGS, INC.</t>
  </si>
  <si>
    <t>0001453687-24-000102</t>
  </si>
  <si>
    <t>Cartesian Therapeutics, Inc.</t>
  </si>
  <si>
    <t>0001493152-24-032705</t>
  </si>
  <si>
    <t>Good Gaming, Inc.</t>
  </si>
  <si>
    <t>0001410578-24-001308</t>
  </si>
  <si>
    <t>Astria Therapeutics, Inc.</t>
  </si>
  <si>
    <t>0001454938-24-000157</t>
  </si>
  <si>
    <t>Outbrain Inc.</t>
  </si>
  <si>
    <t>0001558370-24-011464</t>
  </si>
  <si>
    <t>Cognition Therapeutics, Inc.</t>
  </si>
  <si>
    <t>0000950170-24-094107</t>
  </si>
  <si>
    <t>TPI Composites, Inc.</t>
  </si>
  <si>
    <t>0001214659-24-013782</t>
  </si>
  <si>
    <t>Ridgewood Energy X Fund, LLC</t>
  </si>
  <si>
    <t>0001628280-24-022615</t>
  </si>
  <si>
    <t>AMERICOLD REALTY TRUST, INC.</t>
  </si>
  <si>
    <t>0001062993-24-009960</t>
  </si>
  <si>
    <t>LEATT CORPORATION</t>
  </si>
  <si>
    <t>OFFICE PROPERTIES INCOME TRUST</t>
  </si>
  <si>
    <t>0001214659-24-013774</t>
  </si>
  <si>
    <t>Ridgewood Energy A-1 Fund, LLC</t>
  </si>
  <si>
    <t>0001558370-24-006608</t>
  </si>
  <si>
    <t>CROSSFIRST BANKSHARES, INC.</t>
  </si>
  <si>
    <t>0001213900-24-042456</t>
  </si>
  <si>
    <t>CHARGING ROBOTICS INC.</t>
  </si>
  <si>
    <t>0001459417-24-000054</t>
  </si>
  <si>
    <t>2U, INC.</t>
  </si>
  <si>
    <t>0001459839-24-000065</t>
  </si>
  <si>
    <t>SI-BONE, INC.</t>
  </si>
  <si>
    <t>0001999371-24-005860</t>
  </si>
  <si>
    <t>abrdn Palladium ETF Trust</t>
  </si>
  <si>
    <t>0001999371-24-005862</t>
  </si>
  <si>
    <t>abrdn Platinum ETF Trust</t>
  </si>
  <si>
    <t>0001437749-24-017112</t>
  </si>
  <si>
    <t>Fluent, Inc.</t>
  </si>
  <si>
    <t>0001493152-24-020662</t>
  </si>
  <si>
    <t>ORGENESIS INC.</t>
  </si>
  <si>
    <t>0001493152-24-025976</t>
  </si>
  <si>
    <t>Qualigen Therapeutics, Inc.</t>
  </si>
  <si>
    <t>0001462056-24-000041</t>
  </si>
  <si>
    <t>BACKBLAZE, INC.</t>
  </si>
  <si>
    <t>0001462120-24-000038</t>
  </si>
  <si>
    <t>LIVE OAK BANCSHARES, INC.</t>
  </si>
  <si>
    <t>0001654954-24-010646</t>
  </si>
  <si>
    <t>RECRUITER.COM GROUP, INC.</t>
  </si>
  <si>
    <t>0001463101-24-000071</t>
  </si>
  <si>
    <t>Enphase Energy, Inc.</t>
  </si>
  <si>
    <t>0000950170-24-091903</t>
  </si>
  <si>
    <t>Unity Biotechnology, Inc.</t>
  </si>
  <si>
    <t>0001437749-24-016727</t>
  </si>
  <si>
    <t>US Alliance Corp</t>
  </si>
  <si>
    <t>0001558370-24-007591</t>
  </si>
  <si>
    <t>Vuzix Corp</t>
  </si>
  <si>
    <t>0001437749-24-016032</t>
  </si>
  <si>
    <t>Atlanticus Holdings Corp</t>
  </si>
  <si>
    <t>0000950170-24-052125</t>
  </si>
  <si>
    <t>PennyMac Mortgage Investment Trust</t>
  </si>
  <si>
    <t>0001628280-24-023642</t>
  </si>
  <si>
    <t>B. RILEY FINANCIAL, INC.</t>
  </si>
  <si>
    <t>Accredited Solutions, Inc.</t>
  </si>
  <si>
    <t>0001628280-24-021357</t>
  </si>
  <si>
    <t>Starwood Property Trust, Inc.</t>
  </si>
  <si>
    <t>TWO HARBORS INVESTMENT CORP.</t>
  </si>
  <si>
    <t>0001466026-24-000018</t>
  </si>
  <si>
    <t>MIDLAND STATES BANCORP, INC.</t>
  </si>
  <si>
    <t>0001466085-24-000054</t>
  </si>
  <si>
    <t>INDEPENDENCE REALTY TRUST, INC.</t>
  </si>
  <si>
    <t>0001466258-24-000159</t>
  </si>
  <si>
    <t>TRANE TECHNOLOGIES PLC</t>
  </si>
  <si>
    <t>0001466593-24-000113</t>
  </si>
  <si>
    <t>OTTER TAIL CORPORATION</t>
  </si>
  <si>
    <t>0001467373-24-000278</t>
  </si>
  <si>
    <t>Accenture plc</t>
  </si>
  <si>
    <t>0001467623-24-000030</t>
  </si>
  <si>
    <t>Dropbox, Inc.</t>
  </si>
  <si>
    <t>Apollo Commercial Real Estate Finance, Inc.</t>
  </si>
  <si>
    <t>0001829126-24-003547</t>
  </si>
  <si>
    <t>MINIM, INC.</t>
  </si>
  <si>
    <t>0001467858-24-000076</t>
  </si>
  <si>
    <t>GENERAL MOTORS COMPANY</t>
  </si>
  <si>
    <t>0001468174-24-000061</t>
  </si>
  <si>
    <t>HYATT HOTELS CORPORATION</t>
  </si>
  <si>
    <t>0001468327-24-000168</t>
  </si>
  <si>
    <t>RENT THE RUNWAY, INC.</t>
  </si>
  <si>
    <t>0000950170-24-054603</t>
  </si>
  <si>
    <t>ADDUS HOMECARE CORPORATION</t>
  </si>
  <si>
    <t>0001468666-24-000027</t>
  </si>
  <si>
    <t>SecureWorks Corp</t>
  </si>
  <si>
    <t>0000950170-24-097010</t>
  </si>
  <si>
    <t>KODIAK SCIENCES INC.</t>
  </si>
  <si>
    <t>0001493152-24-018950</t>
  </si>
  <si>
    <t>NexGel, Inc.</t>
  </si>
  <si>
    <t>0001683168-24-003680</t>
  </si>
  <si>
    <t>RIDGEDALE HOLDINGS INC.</t>
  </si>
  <si>
    <t>0001469367-24-000092</t>
  </si>
  <si>
    <t>Sunrun Inc.</t>
  </si>
  <si>
    <t>0000950170-24-058563</t>
  </si>
  <si>
    <t>Arcadia Biosciences, Inc.</t>
  </si>
  <si>
    <t>0001471265-24-000074</t>
  </si>
  <si>
    <t>NORTHWEST BANCSHARES, INC.</t>
  </si>
  <si>
    <t>0001493152-24-032012</t>
  </si>
  <si>
    <t>Better Choice Co Inc.</t>
  </si>
  <si>
    <t>0001731122-24-000847</t>
  </si>
  <si>
    <t>GBT TECHNOLOGIES INC.</t>
  </si>
  <si>
    <t>0001437749-24-015957</t>
  </si>
  <si>
    <t>Teucrium Commodity Trust</t>
  </si>
  <si>
    <t>0001558370-24-011898</t>
  </si>
  <si>
    <t>Immunome, Inc</t>
  </si>
  <si>
    <t>0001140361-24-037067</t>
  </si>
  <si>
    <t>PDS Biotechnology Corp</t>
  </si>
  <si>
    <t>0001410578-24-000706</t>
  </si>
  <si>
    <t>United States Brent Oil Fund, LP</t>
  </si>
  <si>
    <t>0000950170-24-048522</t>
  </si>
  <si>
    <t>FIRST AMERICAN FINANCIAL CORPORATION</t>
  </si>
  <si>
    <t>0001493152-24-019874</t>
  </si>
  <si>
    <t>NOVA LIFESTYLE, INC.</t>
  </si>
  <si>
    <t>0001493152-24-032036</t>
  </si>
  <si>
    <t>Global AI, Inc.</t>
  </si>
  <si>
    <t>0001473844-24-000015</t>
  </si>
  <si>
    <t>Stellar Bancorp, Inc.</t>
  </si>
  <si>
    <t>0001474098-24-000078</t>
  </si>
  <si>
    <t>PEBBLEBROOK HOTEL TRUST</t>
  </si>
  <si>
    <t>0001477932-24-005141</t>
  </si>
  <si>
    <t>COSMOS HEALTH INC.</t>
  </si>
  <si>
    <t>GR-</t>
  </si>
  <si>
    <t>0001628280-24-027955</t>
  </si>
  <si>
    <t>Pure Storage, Inc.</t>
  </si>
  <si>
    <t>0001683168-24-007215</t>
  </si>
  <si>
    <t>KAT EXPLORATION, INC.</t>
  </si>
  <si>
    <t>0001437749-24-015075</t>
  </si>
  <si>
    <t>GENERAC HOLDINGS INC.</t>
  </si>
  <si>
    <t>0001474903-24-000068</t>
  </si>
  <si>
    <t>BGSF, INC</t>
  </si>
  <si>
    <t>0001475115-24-000163</t>
  </si>
  <si>
    <t>EVENTBRITE, INC.</t>
  </si>
  <si>
    <t>0001475841-24-000020</t>
  </si>
  <si>
    <t>NATIONAL BANK HOLDINGS CORP</t>
  </si>
  <si>
    <t>0000950170-24-054347</t>
  </si>
  <si>
    <t>Primerica, Inc.</t>
  </si>
  <si>
    <t>0001558370-24-006655</t>
  </si>
  <si>
    <t>Metropolitan Bank Holding Corp.</t>
  </si>
  <si>
    <t>0001476045-24-000035</t>
  </si>
  <si>
    <t>CHATHAM LODGING TRUST</t>
  </si>
  <si>
    <t>0001476150-24-000012</t>
  </si>
  <si>
    <t>Terreno Realty Corporation</t>
  </si>
  <si>
    <t>0001476204-24-000055</t>
  </si>
  <si>
    <t>PHILLIPS EDISON &amp; COMPANY, INC.</t>
  </si>
  <si>
    <t>0001476765-24-000036</t>
  </si>
  <si>
    <t>Golub Capital BDC, Inc.</t>
  </si>
  <si>
    <t>0001476840-24-000069</t>
  </si>
  <si>
    <t>Expensify, Inc.</t>
  </si>
  <si>
    <t>0001558370-24-008693</t>
  </si>
  <si>
    <t>Scorpius Holdings, Inc.</t>
  </si>
  <si>
    <t>0001213900-24-042976</t>
  </si>
  <si>
    <t>TREES CORPORATION</t>
  </si>
  <si>
    <t>0000950170-24-059349</t>
  </si>
  <si>
    <t>S&amp;W SEED CO</t>
  </si>
  <si>
    <t>0001477294-24-000065</t>
  </si>
  <si>
    <t>SENSATA TECHNOLOGIES HOLDING PLC</t>
  </si>
  <si>
    <t>0001477333-24-000050</t>
  </si>
  <si>
    <t>Cloudflare, Inc.</t>
  </si>
  <si>
    <t>0001477449-24-000101</t>
  </si>
  <si>
    <t>TELADOC HEALTH, INC.</t>
  </si>
  <si>
    <t>0001477720-24-000028</t>
  </si>
  <si>
    <t>Asana, Inc.</t>
  </si>
  <si>
    <t>0001628280-24-022413</t>
  </si>
  <si>
    <t>SWEETGREEN, INC.</t>
  </si>
  <si>
    <t>0001558370-24-012227</t>
  </si>
  <si>
    <t>Annovis Bio, Inc.</t>
  </si>
  <si>
    <t>0001477932-24-004825</t>
  </si>
  <si>
    <t>BLUE CHIP TECHNOLOGIES CORP.</t>
  </si>
  <si>
    <t>AE-</t>
  </si>
  <si>
    <t>0001478242-24-000068</t>
  </si>
  <si>
    <t>IQVIA HOLDINGS INC.</t>
  </si>
  <si>
    <t>0000950170-24-054604</t>
  </si>
  <si>
    <t>ADAPTIVE BIOTECHNOLOGIES CORPORATION</t>
  </si>
  <si>
    <t>0001437749-24-015286</t>
  </si>
  <si>
    <t>Eagle Bancorp Montana, Inc.</t>
  </si>
  <si>
    <t>0001479094-24-000016</t>
  </si>
  <si>
    <t>STAG Industrial, Inc.</t>
  </si>
  <si>
    <t>0001479290-24-000100</t>
  </si>
  <si>
    <t>Revance Therapeutics, Inc.</t>
  </si>
  <si>
    <t>0001558370-24-008134</t>
  </si>
  <si>
    <t>KALA BIO, Inc.</t>
  </si>
  <si>
    <t>0001558370-24-007414</t>
  </si>
  <si>
    <t>NUTEX HEALTH INC.</t>
  </si>
  <si>
    <t>0001493152-24-019623</t>
  </si>
  <si>
    <t>CQENS Technologies Inc.</t>
  </si>
  <si>
    <t>0001213900-24-045549</t>
  </si>
  <si>
    <t>SUNHYDROGEN, INC.</t>
  </si>
  <si>
    <t>0001683168-24-003365</t>
  </si>
  <si>
    <t>TECHCOM, INC.</t>
  </si>
  <si>
    <t>0001477932-24-002829</t>
  </si>
  <si>
    <t>XERIANT, INC.</t>
  </si>
  <si>
    <t>0000950170-24-050548</t>
  </si>
  <si>
    <t>RYERSON HOLDING CORPORATION</t>
  </si>
  <si>
    <t>Quad/Graphics, Inc.</t>
  </si>
  <si>
    <t>0001482430-24-000035</t>
  </si>
  <si>
    <t>KBS REAL ESTATE INVESTMENT TRUST III, INC.</t>
  </si>
  <si>
    <t>0001493152-24-019229</t>
  </si>
  <si>
    <t>CEA INDUSTRIES INC.</t>
  </si>
  <si>
    <t>0001493152-24-023196</t>
  </si>
  <si>
    <t>HARTFORD CREATIVE GROUP, INC.</t>
  </si>
  <si>
    <t>0001482981-24-000064</t>
  </si>
  <si>
    <t>The Vita Coco Company, Inc.</t>
  </si>
  <si>
    <t>0001999371-24-005865</t>
  </si>
  <si>
    <t>abrdn Precious Metals Basket ETF Trust</t>
  </si>
  <si>
    <t>0000950170-24-092713</t>
  </si>
  <si>
    <t>SOLENO THERAPEUTICS INC</t>
  </si>
  <si>
    <t>0000950170-24-093071</t>
  </si>
  <si>
    <t>Outset Medical, Inc.</t>
  </si>
  <si>
    <t>0001628280-24-034986</t>
  </si>
  <si>
    <t>fuboTV Inc. /FL</t>
  </si>
  <si>
    <t>0001484778-24-000117</t>
  </si>
  <si>
    <t>ThredUp Inc.</t>
  </si>
  <si>
    <t>0001485003-24-000009</t>
  </si>
  <si>
    <t>Carisma Therapeutics Inc.</t>
  </si>
  <si>
    <t>0001096906-24-001819</t>
  </si>
  <si>
    <t>NEW ASIA HOLDINGS, INC.</t>
  </si>
  <si>
    <t>0001477932-24-004856</t>
  </si>
  <si>
    <t>FREEZE TAG, Inc.</t>
  </si>
  <si>
    <t>0001486159-24-000037</t>
  </si>
  <si>
    <t>Chord Energy Corporation</t>
  </si>
  <si>
    <t>0001486957-24-000029</t>
  </si>
  <si>
    <t>BWX TECHNOLOGIES, INC.</t>
  </si>
  <si>
    <t>0001493152-24-033057</t>
  </si>
  <si>
    <t>QUEST WATER GLOBAL, INC.</t>
  </si>
  <si>
    <t>0001493152-24-019816</t>
  </si>
  <si>
    <t>BARFRESH FOOD GROUP INC.</t>
  </si>
  <si>
    <t>0001437749-24-013992</t>
  </si>
  <si>
    <t>Horizon Technology Finance Corp</t>
  </si>
  <si>
    <t>0001628280-24-034116</t>
  </si>
  <si>
    <t>AIR LEASE CORPORATION</t>
  </si>
  <si>
    <t>0001493152-24-019377</t>
  </si>
  <si>
    <t>AMERICAN BATTERY MATERIALS, INC.</t>
  </si>
  <si>
    <t>0001487918-24-000043</t>
  </si>
  <si>
    <t>OFS CAPITAL CORPORATION</t>
  </si>
  <si>
    <t>0001487952-24-000030</t>
  </si>
  <si>
    <t>VISHAY PRECISION GROUP, INC.</t>
  </si>
  <si>
    <t>0000950170-24-095102</t>
  </si>
  <si>
    <t>ATOSSA THERAPEUTICS, INC.</t>
  </si>
  <si>
    <t>0001488139-24-000081</t>
  </si>
  <si>
    <t>Ameresco, Inc.</t>
  </si>
  <si>
    <t>0001488813-24-000055</t>
  </si>
  <si>
    <t>Customers Bancorp, Inc.</t>
  </si>
  <si>
    <t>0000897101-24-000163</t>
  </si>
  <si>
    <t>Electromed, Inc.</t>
  </si>
  <si>
    <t>0001493152-24-019132</t>
  </si>
  <si>
    <t>ZHANLING INTERNATIONAL LIMITED</t>
  </si>
  <si>
    <t>0001826466-24-000075</t>
  </si>
  <si>
    <t>Golden Growers Cooperative</t>
  </si>
  <si>
    <t>0000950170-24-060058</t>
  </si>
  <si>
    <t>SOW GOOD INC.</t>
  </si>
  <si>
    <t>0001490281-24-000087</t>
  </si>
  <si>
    <t>Groupon, Inc.</t>
  </si>
  <si>
    <t>0001490906-24-000028</t>
  </si>
  <si>
    <t>Capitol Federal Financial, Inc.</t>
  </si>
  <si>
    <t>0001490978-24-000072</t>
  </si>
  <si>
    <t>Schrodinger, Inc.</t>
  </si>
  <si>
    <t>0001493152-24-034453</t>
  </si>
  <si>
    <t>ALPHA     NETWORK ALLIANCE VENTURES INC.</t>
  </si>
  <si>
    <t>0001492298-24-000014</t>
  </si>
  <si>
    <t>SABRA HEALTH CARE REIT, INC.</t>
  </si>
  <si>
    <t>0000950170-24-088938</t>
  </si>
  <si>
    <t>APELLIS PHARMACEUTICALS, INC.</t>
  </si>
  <si>
    <t>FLYWHEEL     ADVANCED TECHNOLOGY, INC.</t>
  </si>
  <si>
    <t>0000950170-24-094135</t>
  </si>
  <si>
    <t>T2 Biosystems, Inc.</t>
  </si>
  <si>
    <t>0001492691-24-000064</t>
  </si>
  <si>
    <t>Knight-Swift Transportation Holdings Inc.</t>
  </si>
  <si>
    <t>0001079973-24-000737</t>
  </si>
  <si>
    <t>LIFELOC TECHNOLOGIES, INC.</t>
  </si>
  <si>
    <t>0001493225-24-000092</t>
  </si>
  <si>
    <t>Northfield Bancorp, Inc.</t>
  </si>
  <si>
    <t>0001493594-24-000040</t>
  </si>
  <si>
    <t>MACOM Technology Solutions Holdings, Inc.</t>
  </si>
  <si>
    <t>0000950170-24-094160</t>
  </si>
  <si>
    <t>TURTLE BEACH CORPORATION</t>
  </si>
  <si>
    <t>0000950170-24-093956</t>
  </si>
  <si>
    <t>CARGURUS, INC.</t>
  </si>
  <si>
    <t>0001262463-24-000062</t>
  </si>
  <si>
    <t>TWO HANDS CORPORATION</t>
  </si>
  <si>
    <t>0001437749-24-026413</t>
  </si>
  <si>
    <t>BOSTON OMAHA Corp</t>
  </si>
  <si>
    <t>0001494650-24-000121</t>
  </si>
  <si>
    <t>OPTINOSE, INC.</t>
  </si>
  <si>
    <t>0001213900-24-068165</t>
  </si>
  <si>
    <t>Sensus Healthcare, Inc.</t>
  </si>
  <si>
    <t>0000950170-24-055565</t>
  </si>
  <si>
    <t>GLOBAL INDEMNITY GROUP, LLC</t>
  </si>
  <si>
    <t>0001495231-24-000083</t>
  </si>
  <si>
    <t>IZEA WORLDWIDE, INC.</t>
  </si>
  <si>
    <t>0001495240-24-000013</t>
  </si>
  <si>
    <t>GLADSTONE LAND CORP</t>
  </si>
  <si>
    <t>0001495320-24-000065</t>
  </si>
  <si>
    <t>VERA BRADLEY, INC.</t>
  </si>
  <si>
    <t>0001437749-24-016607</t>
  </si>
  <si>
    <t>Firsthand Technology Value Fund, Inc.</t>
  </si>
  <si>
    <t>0001496099-24-000023</t>
  </si>
  <si>
    <t>New Mountain Finance Corporation</t>
  </si>
  <si>
    <t>0000950170-24-096639</t>
  </si>
  <si>
    <t>IGM Biosciences, Inc.</t>
  </si>
  <si>
    <t>0001683168-24-005193</t>
  </si>
  <si>
    <t>PAYSIGN, INC.</t>
  </si>
  <si>
    <t>0001496454-24-000011</t>
  </si>
  <si>
    <t>CNL Healthcare Properties, Inc.</t>
  </si>
  <si>
    <t>0001496963-24-000072</t>
  </si>
  <si>
    <t>SQUARESPACE, INC.</t>
  </si>
  <si>
    <t>0001654954-24-011021</t>
  </si>
  <si>
    <t>SMC ENTERTAINMENT, INC.</t>
  </si>
  <si>
    <t>0001903596-24-000614</t>
  </si>
  <si>
    <t>GRAPHENE &amp; SOLAR TECHNOLOGIES LTD</t>
  </si>
  <si>
    <t>0001558370-24-011457</t>
  </si>
  <si>
    <t>Walker &amp; Dunlop, Inc.</t>
  </si>
  <si>
    <t>0001498233-24-000035</t>
  </si>
  <si>
    <t>Cepton, Inc.</t>
  </si>
  <si>
    <t>0001393905-24-000287</t>
  </si>
  <si>
    <t>iWallet Corp</t>
  </si>
  <si>
    <t>0000950170-24-059694</t>
  </si>
  <si>
    <t>Kintara Therapeutics, Inc.</t>
  </si>
  <si>
    <t>0001498547-24-000038</t>
  </si>
  <si>
    <t>CIM REAL ESTATE FINANCE TRUST, INC.</t>
  </si>
  <si>
    <t>0001498710-24-000192</t>
  </si>
  <si>
    <t>SPIRIT AIRLINES, INC.</t>
  </si>
  <si>
    <t>Sabine Pass Liquefaction, LLC</t>
  </si>
  <si>
    <t>0001493152-24-027153</t>
  </si>
  <si>
    <t>STAFFING 360 SOLUTIONS, INC.</t>
  </si>
  <si>
    <t>0001499832-24-000082</t>
  </si>
  <si>
    <t>Townsquare Media, Inc.</t>
  </si>
  <si>
    <t>0001437749-24-016668</t>
  </si>
  <si>
    <t>MULLEN AUTOMOTIVE INC.</t>
  </si>
  <si>
    <t>0001213900-24-068633</t>
  </si>
  <si>
    <t>NeuroOne Medical Technologies Corporation</t>
  </si>
  <si>
    <t>0001493152-24-018635</t>
  </si>
  <si>
    <t>Sustainable Projects Group Inc.</t>
  </si>
  <si>
    <t>0001140361-24-025939</t>
  </si>
  <si>
    <t>HOME FEDERAL BANCORP, INC. OF LOUISIANA</t>
  </si>
  <si>
    <t>0001500435-24-000132</t>
  </si>
  <si>
    <t>GOPRO, INC.</t>
  </si>
  <si>
    <t>0001501570-24-000116</t>
  </si>
  <si>
    <t>VERITEX HOLDINGS, INC.</t>
  </si>
  <si>
    <t>0001501585-24-000013</t>
  </si>
  <si>
    <t>HUNTINGTON INGALLS INDUSTRIES, INC.</t>
  </si>
  <si>
    <t>0001628280-24-036127</t>
  </si>
  <si>
    <t>X4 PHARMACEUTICALS, INC</t>
  </si>
  <si>
    <t>0001628280-24-023573</t>
  </si>
  <si>
    <t>FS Specialty Lending Fund</t>
  </si>
  <si>
    <t>0001628280-24-036769</t>
  </si>
  <si>
    <t>Adverum Biotechnologies, Inc.</t>
  </si>
  <si>
    <t>0000950170-24-093308</t>
  </si>
  <si>
    <t>AURA BIOSCIENCES, INC.</t>
  </si>
  <si>
    <t>0000950170-24-093865</t>
  </si>
  <si>
    <t>CytomX Therapeutics, Inc.</t>
  </si>
  <si>
    <t>0001161697-24-000420</t>
  </si>
  <si>
    <t>GlobeStar Therapeutics Corporation</t>
  </si>
  <si>
    <t>0000950170-24-059481</t>
  </si>
  <si>
    <t>Conifer Holdings, Inc.</t>
  </si>
  <si>
    <t>0000950170-24-059574</t>
  </si>
  <si>
    <t>CONTANGO ORE, INC.</t>
  </si>
  <si>
    <t>0001493152-24-019649</t>
  </si>
  <si>
    <t>KUN PENG INTERNATIONAL LTD.</t>
  </si>
  <si>
    <t>0001493152-24-032361</t>
  </si>
  <si>
    <t>Hypha Labs, Inc.</t>
  </si>
  <si>
    <t>0001503274-24-000008</t>
  </si>
  <si>
    <t>Quanterix Corp</t>
  </si>
  <si>
    <t>0001493152-24-018232</t>
  </si>
  <si>
    <t>LiquidValue Development Inc.</t>
  </si>
  <si>
    <t>0000950170-24-055672</t>
  </si>
  <si>
    <t>Karyopharm Therapeutics Inc.</t>
  </si>
  <si>
    <t>0001504008-24-000013</t>
  </si>
  <si>
    <t>BankUnited, Inc.</t>
  </si>
  <si>
    <t>0000950170-24-055631</t>
  </si>
  <si>
    <t>PennantPark Floating Rate Capital Ltd.</t>
  </si>
  <si>
    <t>0001504776-24-000019</t>
  </si>
  <si>
    <t>Warby Parker Inc.</t>
  </si>
  <si>
    <t>0001505155-24-000040</t>
  </si>
  <si>
    <t>UPLAND SOFTWARE, INC.</t>
  </si>
  <si>
    <t>0001493152-24-031636</t>
  </si>
  <si>
    <t>BIORESTORATIVE THERAPIES, INC.</t>
  </si>
  <si>
    <t>0001628280-24-036174</t>
  </si>
  <si>
    <t>Regulus Therapeutics Inc.</t>
  </si>
  <si>
    <t>0001213900-24-043159</t>
  </si>
  <si>
    <t>DECISIONPOINT SYSTEMS, Inc.</t>
  </si>
  <si>
    <t>0001505732-24-000083</t>
  </si>
  <si>
    <t>Bankwell Financial Group, Inc.</t>
  </si>
  <si>
    <t>0001505952-24-000054</t>
  </si>
  <si>
    <t>DOMO, INC.</t>
  </si>
  <si>
    <t>0001213900-24-042920</t>
  </si>
  <si>
    <t>Citius Pharmaceuticals, Inc.</t>
  </si>
  <si>
    <t>0001506293-24-000078</t>
  </si>
  <si>
    <t>Pinterest, Inc.</t>
  </si>
  <si>
    <t>0001506307-24-000031</t>
  </si>
  <si>
    <t>KINDER MORGAN, INC.</t>
  </si>
  <si>
    <t>0001140361-24-037113</t>
  </si>
  <si>
    <t>NUWELLIS, INC.</t>
  </si>
  <si>
    <t>0001437749-24-017130</t>
  </si>
  <si>
    <t>AVINGER, INC.</t>
  </si>
  <si>
    <t>0001640334-24-000860</t>
  </si>
  <si>
    <t>Verde Resources, Inc.</t>
  </si>
  <si>
    <t>0001493152-24-019999</t>
  </si>
  <si>
    <t>GLUCOTRACK, INC.</t>
  </si>
  <si>
    <t>Floor &amp; Decor Holdings, Inc.</t>
  </si>
  <si>
    <t>0001628280-24-022243</t>
  </si>
  <si>
    <t>MARATHON DIGITAL HOLDINGS, INC.</t>
  </si>
  <si>
    <t>0001437749-24-026596</t>
  </si>
  <si>
    <t>IDEAL POWER INC.</t>
  </si>
  <si>
    <t>0001437749-24-026071</t>
  </si>
  <si>
    <t>AMERICANN, INC</t>
  </si>
  <si>
    <t>0001410578-24-000883</t>
  </si>
  <si>
    <t>Moatable, Inc.</t>
  </si>
  <si>
    <t>0001558370-24-008294</t>
  </si>
  <si>
    <t>REZOLUTE, INC.</t>
  </si>
  <si>
    <t>0001493152-24-030665</t>
  </si>
  <si>
    <t>SuRo Capital Corp.</t>
  </si>
  <si>
    <t>0001410578-24-000748</t>
  </si>
  <si>
    <t>LEAP THERAPEUTICS, INC.</t>
  </si>
  <si>
    <t>0001493152-24-028053</t>
  </si>
  <si>
    <t>Can B Corp.</t>
  </si>
  <si>
    <t>0001509991-24-000072</t>
  </si>
  <si>
    <t>Kosmos Energy Ltd.</t>
  </si>
  <si>
    <t>0001510295-24-000047</t>
  </si>
  <si>
    <t>Marathon Petroleum Corporation</t>
  </si>
  <si>
    <t>0000950170-24-096390</t>
  </si>
  <si>
    <t>CV Sciences, Inc.</t>
  </si>
  <si>
    <t>0001511337-24-000013</t>
  </si>
  <si>
    <t>RLJ LODGING TRUST</t>
  </si>
  <si>
    <t>0001511737-24-000027</t>
  </si>
  <si>
    <t>UBIQUITI INC.</t>
  </si>
  <si>
    <t>STEMTECH CORPORATION</t>
  </si>
  <si>
    <t>0001539497-24-000937</t>
  </si>
  <si>
    <t>NioCorp Developments Ltd.</t>
  </si>
  <si>
    <t>0001437749-24-014073</t>
  </si>
  <si>
    <t>LINDBLAD EXPEDITIONS HOLDINGS, INC.</t>
  </si>
  <si>
    <t>0001628280-24-020025</t>
  </si>
  <si>
    <t>Block, Inc.</t>
  </si>
  <si>
    <t>0001558370-24-011629</t>
  </si>
  <si>
    <t>Coherus BioSciences, Inc.</t>
  </si>
  <si>
    <t>0001512931-24-000058</t>
  </si>
  <si>
    <t>MONROE CAPITAL CORPORATION</t>
  </si>
  <si>
    <t>0001213900-24-068262</t>
  </si>
  <si>
    <t>ADIAL PHARMACEUTICALS, INC.</t>
  </si>
  <si>
    <t>0001558370-24-007014</t>
  </si>
  <si>
    <t>NORWEGIAN CRUISE LINE HOLDINGS LTD.</t>
  </si>
  <si>
    <t>0001493152-24-033180</t>
  </si>
  <si>
    <t>Titan Environmental Solutions Inc.</t>
  </si>
  <si>
    <t>0001213900-24-068296</t>
  </si>
  <si>
    <t>SILO PHARMA, INC.</t>
  </si>
  <si>
    <t>0001514281-24-000086</t>
  </si>
  <si>
    <t>AG MORTGAGE INVESTMENT TRUST, INC.</t>
  </si>
  <si>
    <t>BANDWIDTH INC.</t>
  </si>
  <si>
    <t>0001829126-24-003664</t>
  </si>
  <si>
    <t>AMERIGUARD SECURITY SERVICES, INC.</t>
  </si>
  <si>
    <t>0001514705-24-000008</t>
  </si>
  <si>
    <t>SunCoke Energy, Inc.</t>
  </si>
  <si>
    <t>0001193125-24-136930</t>
  </si>
  <si>
    <t>IF Bancorp, Inc.</t>
  </si>
  <si>
    <t>0001096906-24-001772</t>
  </si>
  <si>
    <t>AXIM Biotechnologies, Inc.</t>
  </si>
  <si>
    <t>0001514991-24-000019</t>
  </si>
  <si>
    <t>AMC Networks Inc.</t>
  </si>
  <si>
    <t>0001493152-24-020789</t>
  </si>
  <si>
    <t>METAWORKS PLATFORMS, INC.</t>
  </si>
  <si>
    <t>0001515156-24-000144</t>
  </si>
  <si>
    <t>ARQ, INC.</t>
  </si>
  <si>
    <t>0001683168-24-007128</t>
  </si>
  <si>
    <t>MAGELLAN COPPER &amp; GOLD INC.</t>
  </si>
  <si>
    <t>0000950170-24-052346</t>
  </si>
  <si>
    <t>ULTRAGENYX PHARMACEUTICAL INC.</t>
  </si>
  <si>
    <t>0001171520-24-000185</t>
  </si>
  <si>
    <t>PLYMOUTH INDUSTRIAL REIT, INC.</t>
  </si>
  <si>
    <t>0001516551-24-000070</t>
  </si>
  <si>
    <t>Skye Bioscience, Inc.</t>
  </si>
  <si>
    <t>0001516912-24-000092</t>
  </si>
  <si>
    <t>Origin Bancorp, Inc.</t>
  </si>
  <si>
    <t>0001628280-24-035217</t>
  </si>
  <si>
    <t>GATOS SILVER, INC.</t>
  </si>
  <si>
    <t>0001628280-24-035879</t>
  </si>
  <si>
    <t>AKEBIA THERAPEUTICS, INC.</t>
  </si>
  <si>
    <t>CHEFS’ WAREHOUSE, INC.</t>
  </si>
  <si>
    <t>0000950170-24-055965</t>
  </si>
  <si>
    <t>CommScope Holding Company, Inc.</t>
  </si>
  <si>
    <t>0001517302-24-000031</t>
  </si>
  <si>
    <t>Artisan Partners Asset Management Inc.</t>
  </si>
  <si>
    <t>0001517375-24-000070</t>
  </si>
  <si>
    <t>SPROUT SOCIAL, INC.</t>
  </si>
  <si>
    <t>0001628280-24-025679</t>
  </si>
  <si>
    <t>STRATASYS LTD.</t>
  </si>
  <si>
    <t>0001517413-24-000104</t>
  </si>
  <si>
    <t>FASTLY, INC.</t>
  </si>
  <si>
    <t>0001493152-24-019940</t>
  </si>
  <si>
    <t>PROPANC BIOPHARMA, INC.</t>
  </si>
  <si>
    <t>0001493152-24-041166</t>
  </si>
  <si>
    <t>DREAM HOMES &amp; DEVELOPMENT CORPORATION</t>
  </si>
  <si>
    <t>0001493152-24-021616</t>
  </si>
  <si>
    <t>AmpliTech     Group, Inc.</t>
  </si>
  <si>
    <t>0001437749-24-023551</t>
  </si>
  <si>
    <t>Orchid Island Capital, Inc.</t>
  </si>
  <si>
    <t>0001518715-24-000122</t>
  </si>
  <si>
    <t>HOMESTREET, INC.</t>
  </si>
  <si>
    <t>0001558370-24-011273</t>
  </si>
  <si>
    <t>Trinseo PLC</t>
  </si>
  <si>
    <t>0000950170-24-052963</t>
  </si>
  <si>
    <t>Regional Management Corp.</t>
  </si>
  <si>
    <t>0001519449-24-000024</t>
  </si>
  <si>
    <t>SKYWARD SPECIALTY INSURANCE GROUP, INC.</t>
  </si>
  <si>
    <t>0001640334-24-000809</t>
  </si>
  <si>
    <t>Solarmax Technology, Inc.</t>
  </si>
  <si>
    <t>0001520006-24-000105</t>
  </si>
  <si>
    <t>Matador Resources Company</t>
  </si>
  <si>
    <t>0001477932-24-003015</t>
  </si>
  <si>
    <t>INTEGRATED VENTURES, INC.</t>
  </si>
  <si>
    <t>Alkermes plc.</t>
  </si>
  <si>
    <t>0001628280-24-027669</t>
  </si>
  <si>
    <t>Mama’s Creations, Inc.</t>
  </si>
  <si>
    <t>Acadia Healthcare Company, Inc.</t>
  </si>
  <si>
    <t>0001628280-24-033630</t>
  </si>
  <si>
    <t>LANTHEUS HOLDINGS, INC.</t>
  </si>
  <si>
    <t>0001521332-24-000038</t>
  </si>
  <si>
    <t>APTIV PLC</t>
  </si>
  <si>
    <t>0001521945-24-000084</t>
  </si>
  <si>
    <t>Prospect Floating Rate and Alternative Income Fund, Inc.</t>
  </si>
  <si>
    <t>FIRST BUSINESS FINANCIAL SERVICES, INC.</t>
  </si>
  <si>
    <t>0001185185-24-000380</t>
  </si>
  <si>
    <t>CLS HOLDINGS USA, INC.</t>
  </si>
  <si>
    <t>0001628280-24-035709</t>
  </si>
  <si>
    <t>Marqeta, Inc.</t>
  </si>
  <si>
    <t>0001522727-24-000027</t>
  </si>
  <si>
    <t>USA Compression Partners, LP</t>
  </si>
  <si>
    <t>0001522767-24-000042</t>
  </si>
  <si>
    <t>MARIMED INC.</t>
  </si>
  <si>
    <t>0001628280-24-022210</t>
  </si>
  <si>
    <t>ACUTUS MEDICAL, INC.</t>
  </si>
  <si>
    <t>0001628280-24-027254</t>
  </si>
  <si>
    <t>TILLY’S, INC.</t>
  </si>
  <si>
    <t>0001524358-24-000039</t>
  </si>
  <si>
    <t>Marriott Vacations Worldwide Corp</t>
  </si>
  <si>
    <t>0001524472-24-000015</t>
  </si>
  <si>
    <t>Xylem Inc.</t>
  </si>
  <si>
    <t>0001524741-24-000015</t>
  </si>
  <si>
    <t>U.S. Silica Holdings, Inc.</t>
  </si>
  <si>
    <t>0001683168-24-005877</t>
  </si>
  <si>
    <t>THUNDER ENERGIES CORPORATION</t>
  </si>
  <si>
    <t>0001524931-24-000062</t>
  </si>
  <si>
    <t>CHUY’S HOLDINGS, INC.</t>
  </si>
  <si>
    <t>0001525221-24-000039</t>
  </si>
  <si>
    <t>Bristow Group Inc.</t>
  </si>
  <si>
    <t>0001477932-24-003524</t>
  </si>
  <si>
    <t>First America Resources Corporation</t>
  </si>
  <si>
    <t>0001558370-24-011599</t>
  </si>
  <si>
    <t>Verastem, Inc.</t>
  </si>
  <si>
    <t>0001104659-24-087827</t>
  </si>
  <si>
    <t>Perpetua Resources Corp.</t>
  </si>
  <si>
    <t>0000950170-24-055051</t>
  </si>
  <si>
    <t>TRIPADVISOR, INC.</t>
  </si>
  <si>
    <t>0001527166-24-000051</t>
  </si>
  <si>
    <t>Carlyle Group Inc.</t>
  </si>
  <si>
    <t>0001829126-24-003241</t>
  </si>
  <si>
    <t>NEXALIN TECHNOLOGY, INC.</t>
  </si>
  <si>
    <t>0001527469-24-000036</t>
  </si>
  <si>
    <t>ATHENE HOLDING LTD</t>
  </si>
  <si>
    <t>0000950170-24-052371</t>
  </si>
  <si>
    <t>PACTIV EVERGREEN INC.</t>
  </si>
  <si>
    <t>0001527541-24-000055</t>
  </si>
  <si>
    <t>WHEELER REAL ESTATE INVESTMENT TRUST, INC.</t>
  </si>
  <si>
    <t>0000950170-24-059064</t>
  </si>
  <si>
    <t>SYNLOGIC, INC.</t>
  </si>
  <si>
    <t>0001493152-24-033132</t>
  </si>
  <si>
    <t>NUZEE, INC.</t>
  </si>
  <si>
    <t>0001663577-24-000224</t>
  </si>
  <si>
    <t>iQSTEL Inc.</t>
  </si>
  <si>
    <t>0001731122-24-001290</t>
  </si>
  <si>
    <t>Renovaro Inc.</t>
  </si>
  <si>
    <t>0000950170-24-055607</t>
  </si>
  <si>
    <t>Personalis, Inc.</t>
  </si>
  <si>
    <t>0000950170-24-095401</t>
  </si>
  <si>
    <t>ANNEXON, INC.</t>
  </si>
  <si>
    <t>0001528129-24-000152</t>
  </si>
  <si>
    <t>Vital Energy, Inc.</t>
  </si>
  <si>
    <t>0001528287-24-000016</t>
  </si>
  <si>
    <t>NEUROPACE, INC.</t>
  </si>
  <si>
    <t>0001213900-24-041190</t>
  </si>
  <si>
    <t>Genie Energy Ltd.</t>
  </si>
  <si>
    <t>0001558370-24-009145</t>
  </si>
  <si>
    <t>RH</t>
  </si>
  <si>
    <t>0000950170-24-055382</t>
  </si>
  <si>
    <t>Inland Real Estate Income Trust, Inc.</t>
  </si>
  <si>
    <t>0001628280-24-037277</t>
  </si>
  <si>
    <t>XTI AEROSPACE, INC.</t>
  </si>
  <si>
    <t>0001529274-24-000096</t>
  </si>
  <si>
    <t>ALKAMI TECHNOLOGY, INC.</t>
  </si>
  <si>
    <t>0001628280-24-034916</t>
  </si>
  <si>
    <t>ARES COMMERCIAL REAL ESTATE CORPORATION</t>
  </si>
  <si>
    <t>0001529628-24-000156</t>
  </si>
  <si>
    <t>SMART SAND, INC.</t>
  </si>
  <si>
    <t>0000950170-24-047610</t>
  </si>
  <si>
    <t>Enova International, Inc.</t>
  </si>
  <si>
    <t>0001213900-24-048321</t>
  </si>
  <si>
    <t>SAMSARA LUGGAGE, INC.</t>
  </si>
  <si>
    <t>0001376474-24-000247</t>
  </si>
  <si>
    <t>Ameritek Ventures, Inc.</t>
  </si>
  <si>
    <t>0001437749-24-016017</t>
  </si>
  <si>
    <t>FS Bancorp, Inc.</t>
  </si>
  <si>
    <t>0001477932-24-002796</t>
  </si>
  <si>
    <t>ARTISAN CONSUMER GOODS, INC.</t>
  </si>
  <si>
    <t>0001903596-24-000329</t>
  </si>
  <si>
    <t>KAYA HOLDINGS, INC</t>
  </si>
  <si>
    <t>0001493152-24-020634</t>
  </si>
  <si>
    <t>BIOSIG TECHNOLOGIES, INC.</t>
  </si>
  <si>
    <t>0001530804-24-000025</t>
  </si>
  <si>
    <t>TRONOX HOLDINGS PLC</t>
  </si>
  <si>
    <t>0001530950-24-000144</t>
  </si>
  <si>
    <t>Post Holdings, Inc.</t>
  </si>
  <si>
    <t>0001530979-24-000078</t>
  </si>
  <si>
    <t>The Honest Company, Inc.</t>
  </si>
  <si>
    <t>0001558370-24-007806</t>
  </si>
  <si>
    <t>Esquire Financial Holdings, Inc.</t>
  </si>
  <si>
    <t>Inari Medical, Inc.</t>
  </si>
  <si>
    <t>BJ’S WHOLESALE CLUB HOLDINGS, INC.</t>
  </si>
  <si>
    <t>0000950170-24-053572</t>
  </si>
  <si>
    <t>SIGHT SCIENCES, INC.</t>
  </si>
  <si>
    <t>0000950170-24-093935</t>
  </si>
  <si>
    <t>Paragon 28, Inc.</t>
  </si>
  <si>
    <t>0001532286-24-000009</t>
  </si>
  <si>
    <t>Nine Energy Service, Inc.</t>
  </si>
  <si>
    <t>0001017386-24-000131</t>
  </si>
  <si>
    <t>Vanjia Corporation</t>
  </si>
  <si>
    <t>POWER REIT</t>
  </si>
  <si>
    <t>0001628280-24-022027</t>
  </si>
  <si>
    <t>NV5 Global, Inc.</t>
  </si>
  <si>
    <t>0001213900-24-068923</t>
  </si>
  <si>
    <t>CRYOMASS TECHNOLOGIES INC.</t>
  </si>
  <si>
    <t>0001683168-24-005706</t>
  </si>
  <si>
    <t>Phio Pharmaceuticals Corp.</t>
  </si>
  <si>
    <t>Processa Pharmaceuticals, Inc.</t>
  </si>
  <si>
    <t>0001558370-24-011366</t>
  </si>
  <si>
    <t>Amplify Energy Corp.</t>
  </si>
  <si>
    <t>0001544784-24-000067</t>
  </si>
  <si>
    <t>DarioHealth Corp.</t>
  </si>
  <si>
    <t>0001628280-24-031693</t>
  </si>
  <si>
    <t>AVALO THERAPEUTICS, INC.</t>
  </si>
  <si>
    <t>0000950170-24-095490</t>
  </si>
  <si>
    <t>CalciMedica, Inc.</t>
  </si>
  <si>
    <t>0001213900-24-043594</t>
  </si>
  <si>
    <t>authID Inc.</t>
  </si>
  <si>
    <t>0001178913-24-002717</t>
  </si>
  <si>
    <t>CHEMOMAB THERAPEUTICS LTD.</t>
  </si>
  <si>
    <t>0001534254-24-000012</t>
  </si>
  <si>
    <t>CION Investment Corporation</t>
  </si>
  <si>
    <t>0001534504-24-000024</t>
  </si>
  <si>
    <t>PBF ENERGY INC.</t>
  </si>
  <si>
    <t>0001683168-24-003172</t>
  </si>
  <si>
    <t>XENETIC BIOSCIENCES, INC.</t>
  </si>
  <si>
    <t>0001493152-24-018466</t>
  </si>
  <si>
    <t>TECNOGLASS INC.</t>
  </si>
  <si>
    <t>0001534701-24-000104</t>
  </si>
  <si>
    <t>Phillips 66</t>
  </si>
  <si>
    <t>0001493152-24-032215</t>
  </si>
  <si>
    <t>EASTSIDE DISTILLING, INC.</t>
  </si>
  <si>
    <t>0001534969-24-000152</t>
  </si>
  <si>
    <t>SERA PROGNOSTICS, INC.</t>
  </si>
  <si>
    <t>0001437749-24-019010</t>
  </si>
  <si>
    <t>MCX TECHNOLOGIES CORPORATION</t>
  </si>
  <si>
    <t>0001535527-24-000013</t>
  </si>
  <si>
    <t>CROWDSTRIKE HOLDINGS, INC.</t>
  </si>
  <si>
    <t>0001535778-24-000114</t>
  </si>
  <si>
    <t>MSC Income Fund, Inc</t>
  </si>
  <si>
    <t>0001535929-24-000050</t>
  </si>
  <si>
    <t>Voya Financial, Inc.</t>
  </si>
  <si>
    <t>0001493152-24-018311</t>
  </si>
  <si>
    <t>LIPOCINE INC.</t>
  </si>
  <si>
    <t>0001493152-24-022984</t>
  </si>
  <si>
    <t>VIRTUAL INTERACTIVE TECHNOLOGIES CORP.</t>
  </si>
  <si>
    <t>0001213900-24-073392</t>
  </si>
  <si>
    <t>U.S. Lighting Group, Inc.</t>
  </si>
  <si>
    <t>0001537028-24-000029</t>
  </si>
  <si>
    <t>Independence Contract Drilling, Inc.</t>
  </si>
  <si>
    <t>0000950170-24-054469</t>
  </si>
  <si>
    <t>Gogo Inc.</t>
  </si>
  <si>
    <t>0001537435-24-000063</t>
  </si>
  <si>
    <t>TECOGEN INC.</t>
  </si>
  <si>
    <t>0001493152-24-033091</t>
  </si>
  <si>
    <t>ARCH THERAPEUTICS, INC.</t>
  </si>
  <si>
    <t>0001628280-24-035598</t>
  </si>
  <si>
    <t>NEXIMMUNE, INC.</t>
  </si>
  <si>
    <t>0001538263-24-000043</t>
  </si>
  <si>
    <t>HOMETRUST BANCSHARES, INC.</t>
  </si>
  <si>
    <t>0001628280-24-036983</t>
  </si>
  <si>
    <t>IBOTTA, INC.</t>
  </si>
  <si>
    <t>0001538716-24-000106</t>
  </si>
  <si>
    <t>OPORTUN FINANCIAL CORPORATION</t>
  </si>
  <si>
    <t>0000950170-24-053129</t>
  </si>
  <si>
    <t>STORE CAPITAL LLC</t>
  </si>
  <si>
    <t>0000950170-24-095489</t>
  </si>
  <si>
    <t>Clearside Biomedical, Inc.</t>
  </si>
  <si>
    <t>0001628280-24-042923</t>
  </si>
  <si>
    <t>TRIUMPH FINANCIAL, INC.</t>
  </si>
  <si>
    <t>0001539838-24-000094</t>
  </si>
  <si>
    <t>Diamondback Energy, Inc.</t>
  </si>
  <si>
    <t>0001493152-24-019905</t>
  </si>
  <si>
    <t>STARCO BRANDS, INC.</t>
  </si>
  <si>
    <t>0001654954-24-005971</t>
  </si>
  <si>
    <t>EDESA BIOTECH, INC.</t>
  </si>
  <si>
    <t>0001493152-24-019927</t>
  </si>
  <si>
    <t>ATLAS LITHIUM CORPORATION</t>
  </si>
  <si>
    <t>BR-</t>
  </si>
  <si>
    <t>0001541119-24-000038</t>
  </si>
  <si>
    <t>Sound Financial Bancorp, Inc.</t>
  </si>
  <si>
    <t>0000950170-24-098576</t>
  </si>
  <si>
    <t>Akari Therapeutics, Plc</t>
  </si>
  <si>
    <t>0001542447-24-000078</t>
  </si>
  <si>
    <t>RREEF Property Trust, Inc.</t>
  </si>
  <si>
    <t>0001543151-24-000020</t>
  </si>
  <si>
    <t>UBER TECHNOLOGIES, INC.</t>
  </si>
  <si>
    <t>0001558370-24-013186</t>
  </si>
  <si>
    <t>TRILOGY METALS INC.</t>
  </si>
  <si>
    <t>0001213900-24-085521</t>
  </si>
  <si>
    <t>US NUCLEAR CORP.</t>
  </si>
  <si>
    <t>0001548123-24-000075</t>
  </si>
  <si>
    <t>NU-MED PLUS, INC</t>
  </si>
  <si>
    <t>0001096906-24-001762</t>
  </si>
  <si>
    <t>Free Flow Inc.</t>
  </si>
  <si>
    <t>0001493152-24-031621</t>
  </si>
  <si>
    <t>SHEPHERD’S FINANCE, LLC</t>
  </si>
  <si>
    <t>0001544206-24-000036</t>
  </si>
  <si>
    <t>Carlyle Secured Lending, Inc.</t>
  </si>
  <si>
    <t>0000950170-24-094124</t>
  </si>
  <si>
    <t>Tempest Therapeutics, Inc.</t>
  </si>
  <si>
    <t>0001477932-24-005700</t>
  </si>
  <si>
    <t>NFiniTi inc.</t>
  </si>
  <si>
    <t>MX-</t>
  </si>
  <si>
    <t>0001544522-24-000034</t>
  </si>
  <si>
    <t>Freshworks Inc.</t>
  </si>
  <si>
    <t>0001545654-24-000020</t>
  </si>
  <si>
    <t>ALEXANDER &amp; BALDWIN, INC.</t>
  </si>
  <si>
    <t>0001437749-24-016938</t>
  </si>
  <si>
    <t>Professional Diversity Network, Inc.</t>
  </si>
  <si>
    <t>0001546417-24-000113</t>
  </si>
  <si>
    <t>BLOOMIN’ BRANDS, INC.</t>
  </si>
  <si>
    <t>0001213900-24-050518</t>
  </si>
  <si>
    <t>VANECK MERK GOLD TRUST</t>
  </si>
  <si>
    <t>0001477932-24-005698</t>
  </si>
  <si>
    <t>SKKYNET CLOUD SYSTEMS, INC.</t>
  </si>
  <si>
    <t>0001437749-24-025540</t>
  </si>
  <si>
    <t>Natural Grocers by Vitamin Cottage, Inc.</t>
  </si>
  <si>
    <t>0001628280-24-036809</t>
  </si>
  <si>
    <t>LUMENT FINANCE TRUST, INC.</t>
  </si>
  <si>
    <t>0001547903-24-000139</t>
  </si>
  <si>
    <t>NMI Holdings, Inc.</t>
  </si>
  <si>
    <t>EKSO BIONICS HOLDINGS, INC.</t>
  </si>
  <si>
    <t>0001493152-24-030699</t>
  </si>
  <si>
    <t>BLUE BIOFUELS, INC.</t>
  </si>
  <si>
    <t>0001549346-24-000012</t>
  </si>
  <si>
    <t>SHUTTERSTOCK, INC.</t>
  </si>
  <si>
    <t>0001549595-24-000131</t>
  </si>
  <si>
    <t>NURIX THERAPEUTICS, INC.</t>
  </si>
  <si>
    <t>0001493152-24-019744</t>
  </si>
  <si>
    <t>Quarta-Rad, Inc.</t>
  </si>
  <si>
    <t>0001549922-24-000046</t>
  </si>
  <si>
    <t>Summit Midstream Partners, LP</t>
  </si>
  <si>
    <t>0000950170-24-052155</t>
  </si>
  <si>
    <t>Silvercrest Asset Management Group Inc.</t>
  </si>
  <si>
    <t>0001437749-24-016496</t>
  </si>
  <si>
    <t>TriLinc Global Impact Fund, LLC</t>
  </si>
  <si>
    <t>0001550695-24-000045</t>
  </si>
  <si>
    <t>PERFORMANT FINANCIAL CORPORATION</t>
  </si>
  <si>
    <t>0001551152-24-000020</t>
  </si>
  <si>
    <t>AbbVie Inc.</t>
  </si>
  <si>
    <t>0001551182-24-000013</t>
  </si>
  <si>
    <t>EATON CORPORATION plc</t>
  </si>
  <si>
    <t>0001551306-24-000103</t>
  </si>
  <si>
    <t>Progyny, Inc.</t>
  </si>
  <si>
    <t>0001558370-24-007593</t>
  </si>
  <si>
    <t>Stellus Capital Investment Corp</t>
  </si>
  <si>
    <t>0001552033-24-000040</t>
  </si>
  <si>
    <t>TransUnion</t>
  </si>
  <si>
    <t>0001493152-24-017858</t>
  </si>
  <si>
    <t>Panacea Life Sciences Holdings, Inc.</t>
  </si>
  <si>
    <t>0001558370-24-007193</t>
  </si>
  <si>
    <t>WHITEHORSE FINANCE, INC</t>
  </si>
  <si>
    <t>0001552275-24-000029</t>
  </si>
  <si>
    <t>SUNOCO LP</t>
  </si>
  <si>
    <t>0001552797-24-000040</t>
  </si>
  <si>
    <t>DELEK LOGISTICS PARTNERS, LP</t>
  </si>
  <si>
    <t>0001552800-24-000009</t>
  </si>
  <si>
    <t>TILE SHOP HOLDINGS, INC.</t>
  </si>
  <si>
    <t>0001213900-24-066111</t>
  </si>
  <si>
    <t>Relmada Therapeutics, Inc.</t>
  </si>
  <si>
    <t>0001731122-24-001253</t>
  </si>
  <si>
    <t>SPLASH BEVERAGE GROUP, INC.</t>
  </si>
  <si>
    <t>0001683168-24-005345</t>
  </si>
  <si>
    <t>AUDDIA INC.</t>
  </si>
  <si>
    <t>0001554859-24-000017</t>
  </si>
  <si>
    <t>SEMLER SCIENTIFIC, INC.</t>
  </si>
  <si>
    <t>0001555074-24-000036</t>
  </si>
  <si>
    <t>Altisource Asset Management Corporation</t>
  </si>
  <si>
    <t>VI-</t>
  </si>
  <si>
    <t>0001493152-24-033574</t>
  </si>
  <si>
    <t>WALLY WORLD MEDIA, INC.</t>
  </si>
  <si>
    <t>0001558370-24-010969</t>
  </si>
  <si>
    <t>908 DEVICES INC.</t>
  </si>
  <si>
    <t>0001555280-24-000249</t>
  </si>
  <si>
    <t>Zoetis Inc.</t>
  </si>
  <si>
    <t>0000950170-24-059068</t>
  </si>
  <si>
    <t>SYROS PHARMACEUTICALS, INC.</t>
  </si>
  <si>
    <t>0001213900-24-041710</t>
  </si>
  <si>
    <t>BAIYU HOLDINGS, INC.</t>
  </si>
  <si>
    <t>0001437749-24-016267</t>
  </si>
  <si>
    <t>First Northwest Bancorp</t>
  </si>
  <si>
    <t>0001556739-24-000027</t>
  </si>
  <si>
    <t>THRYV HOLDINGS, INC.</t>
  </si>
  <si>
    <t>0001640334-24-000941</t>
  </si>
  <si>
    <t>My City Builders, Inc.</t>
  </si>
  <si>
    <t>0000950170-24-094540</t>
  </si>
  <si>
    <t>Techpoint, Inc.</t>
  </si>
  <si>
    <t>0001829126-24-004217</t>
  </si>
  <si>
    <t>Zeo ScientifiX, Inc.</t>
  </si>
  <si>
    <t>0001558370-24-011376</t>
  </si>
  <si>
    <t>Aclaris Therapeutics, Inc.</t>
  </si>
  <si>
    <t>0001683168-24-004218</t>
  </si>
  <si>
    <t>TIANCI INTERNATIONAL, INC.</t>
  </si>
  <si>
    <t>0001558370-24-010936</t>
  </si>
  <si>
    <t>iSpecimen Inc.</t>
  </si>
  <si>
    <t>0001477932-24-005146</t>
  </si>
  <si>
    <t>WINVEST GROUP LTD.</t>
  </si>
  <si>
    <t>0001559053-24-000025</t>
  </si>
  <si>
    <t>PROTHENA CORPORATION PUBLIC LIMITED COMPANY</t>
  </si>
  <si>
    <t>0001493152-24-033399</t>
  </si>
  <si>
    <t>SUNSTOCK, INC.</t>
  </si>
  <si>
    <t>0001493152-24-033014</t>
  </si>
  <si>
    <t>BIOSTAX CORP</t>
  </si>
  <si>
    <t>0001559432-24-000020</t>
  </si>
  <si>
    <t>TXO Partners, L.P.</t>
  </si>
  <si>
    <t>0001559720-24-000024</t>
  </si>
  <si>
    <t>Airbnb, Inc.</t>
  </si>
  <si>
    <t>0001559865-24-000027</t>
  </si>
  <si>
    <t>EVERTEC, Inc.</t>
  </si>
  <si>
    <t>0001493152-24-032421</t>
  </si>
  <si>
    <t>Gaucho Group Holdings, Inc.</t>
  </si>
  <si>
    <t>0001683168-24-005679</t>
  </si>
  <si>
    <t>Wytec International, Inc.</t>
  </si>
  <si>
    <t>0001628280-24-036149</t>
  </si>
  <si>
    <t>G1 THERAPEUTICS, INC.</t>
  </si>
  <si>
    <t>0001213900-24-066131</t>
  </si>
  <si>
    <t>electroCore, Inc.</t>
  </si>
  <si>
    <t>0001213900-24-043085</t>
  </si>
  <si>
    <t>TENON MEDICAL, INC.</t>
  </si>
  <si>
    <t>0001560327-24-000050</t>
  </si>
  <si>
    <t>RAPID7, INC.</t>
  </si>
  <si>
    <t>0001558370-24-007251</t>
  </si>
  <si>
    <t>LIBERTY MEDIA CORPORATION</t>
  </si>
  <si>
    <t>0001185185-24-000495</t>
  </si>
  <si>
    <t>TEXAS REPUBLIC CAPITAL CORPORATION</t>
  </si>
  <si>
    <t>0001560672-24-000080</t>
  </si>
  <si>
    <t>Ellington Credit Company</t>
  </si>
  <si>
    <t>0001561550-24-000051</t>
  </si>
  <si>
    <t>Datadog, Inc.</t>
  </si>
  <si>
    <t>0001561680-24-000054</t>
  </si>
  <si>
    <t>Tri Pointe Homes, Inc.</t>
  </si>
  <si>
    <t>0001493152-24-028089</t>
  </si>
  <si>
    <t>LEGACY EDUCATION ALLIANCE, INC.</t>
  </si>
  <si>
    <t>0001561894-24-000061</t>
  </si>
  <si>
    <t>HANNON ARMSTRONG SUSTAINABLE INFRASTRUCTURE CAPITAL, INC.</t>
  </si>
  <si>
    <t>0001558370-24-007784</t>
  </si>
  <si>
    <t>TELA Bio, Inc.</t>
  </si>
  <si>
    <t>0001562088-24-000113</t>
  </si>
  <si>
    <t>Duolingo, Inc.</t>
  </si>
  <si>
    <t>0001562151-24-000017</t>
  </si>
  <si>
    <t>CRIMSON WINE GROUP, LTD.</t>
  </si>
  <si>
    <t>0001562463-24-000036</t>
  </si>
  <si>
    <t>First Internet Bancorp</t>
  </si>
  <si>
    <t>0001628280-24-019320</t>
  </si>
  <si>
    <t>TAYLOR MORRISON HOME CORP</t>
  </si>
  <si>
    <t>0001562528-24-000025</t>
  </si>
  <si>
    <t>FRANKLIN BSP REALTY TRUST, INC.</t>
  </si>
  <si>
    <t>0001563190-24-000087</t>
  </si>
  <si>
    <t>COMPASS, INC.</t>
  </si>
  <si>
    <t>0001079973-24-000984</t>
  </si>
  <si>
    <t>ENERGY AND WATER DEVELOPMENT CORP.</t>
  </si>
  <si>
    <t>0001437749-24-026785</t>
  </si>
  <si>
    <t>Envirotech Vehicles, Inc.</t>
  </si>
  <si>
    <t>0000950170-24-096654</t>
  </si>
  <si>
    <t>GALERA THERAPEUTICS, INC.</t>
  </si>
  <si>
    <t>0001493152-24-018874</t>
  </si>
  <si>
    <t>Harvard Apparatus Regenerative Technology, Inc.</t>
  </si>
  <si>
    <t>0001829126-24-003383</t>
  </si>
  <si>
    <t>LIGHTSTONE VALUE PLUS REIT III, INC.</t>
  </si>
  <si>
    <t>0000950170-24-054489</t>
  </si>
  <si>
    <t>TREVI THERAPEUTICS, INC.</t>
  </si>
  <si>
    <t>0001563922-24-000004</t>
  </si>
  <si>
    <t>GREENBACKER RENEWABLE ENERGY COMPANY LLC</t>
  </si>
  <si>
    <t>0001564408-24-000034</t>
  </si>
  <si>
    <t>SNAP INC</t>
  </si>
  <si>
    <t>0001564618-24-000060</t>
  </si>
  <si>
    <t>Independent Bank Group, Inc.</t>
  </si>
  <si>
    <t>0001564708-24-000249</t>
  </si>
  <si>
    <t>NEWS CORPORATION</t>
  </si>
  <si>
    <t>0000950170-24-092772</t>
  </si>
  <si>
    <t>Allakos Inc.</t>
  </si>
  <si>
    <t>0000950170-24-093331</t>
  </si>
  <si>
    <t>United Parks &amp; Resorts Inc.</t>
  </si>
  <si>
    <t>0001493152-24-019750</t>
  </si>
  <si>
    <t>Vislink Technologies, Inc.</t>
  </si>
  <si>
    <t>0000950170-24-056956</t>
  </si>
  <si>
    <t>Intapp, Inc.</t>
  </si>
  <si>
    <t>0001566011-24-000006</t>
  </si>
  <si>
    <t>PBF HOLDING COMPANY LLC</t>
  </si>
  <si>
    <t>0001628280-24-022183</t>
  </si>
  <si>
    <t>VYNE THERAPEUTICS INC.</t>
  </si>
  <si>
    <t>0001753926-24-001616</t>
  </si>
  <si>
    <t>ARAX HOLDINGS CORP.</t>
  </si>
  <si>
    <t>0001493152-24-018691</t>
  </si>
  <si>
    <t>Verb Technology Company, Inc.</t>
  </si>
  <si>
    <t>0001213900-24-043373</t>
  </si>
  <si>
    <t>LogicMark, Inc.</t>
  </si>
  <si>
    <t>0001628280-24-020628</t>
  </si>
  <si>
    <t>CNH INDUSTRIAL N.V.</t>
  </si>
  <si>
    <t>0001567264-24-000041</t>
  </si>
  <si>
    <t>INTENSITY THERAPEUTICS, INC.</t>
  </si>
  <si>
    <t>INTRA-CELLULAR THERAPIES, INC.</t>
  </si>
  <si>
    <t>0001567683-24-000015</t>
  </si>
  <si>
    <t>Clearway Energy, Inc.</t>
  </si>
  <si>
    <t>0001567892-24-000030</t>
  </si>
  <si>
    <t>Mallinckrodt plc</t>
  </si>
  <si>
    <t>0001437749-24-027047</t>
  </si>
  <si>
    <t>BLACKBOXSTOCKS INC.</t>
  </si>
  <si>
    <t>0001567925-24-000032</t>
  </si>
  <si>
    <t>SILA REALTY TRUST, INC.</t>
  </si>
  <si>
    <t>0001568100-24-000058</t>
  </si>
  <si>
    <t>PAGERDUTY, INC.</t>
  </si>
  <si>
    <t>0001628280-24-037170</t>
  </si>
  <si>
    <t>Bright Mountain Media, Inc.</t>
  </si>
  <si>
    <t>0001568651-24-000015</t>
  </si>
  <si>
    <t>Oscar Health, Inc.</t>
  </si>
  <si>
    <t>0001493152-24-020652</t>
  </si>
  <si>
    <t>APPYEA, Inc.</t>
  </si>
  <si>
    <t>0001569187-24-000074</t>
  </si>
  <si>
    <t>ARMADA HOFFLER PROPERTIES, INC.</t>
  </si>
  <si>
    <t>0001493152-24-033055</t>
  </si>
  <si>
    <t>Cell Source, Inc.</t>
  </si>
  <si>
    <t>0001569345-24-000031</t>
  </si>
  <si>
    <t>Sprinklr, Inc.</t>
  </si>
  <si>
    <t>0001437749-24-015357</t>
  </si>
  <si>
    <t>Waterstone Financial, Inc.</t>
  </si>
  <si>
    <t>0001570562-24-000116</t>
  </si>
  <si>
    <t>EVOLUS, INC.</t>
  </si>
  <si>
    <t>0001570585-24-000136</t>
  </si>
  <si>
    <t>Liberty Global Ltd.</t>
  </si>
  <si>
    <t>0000950170-24-094388</t>
  </si>
  <si>
    <t>Victory Capital Holdings, Inc.</t>
  </si>
  <si>
    <t>0001571123-24-000086</t>
  </si>
  <si>
    <t>Science Applications International Corporation</t>
  </si>
  <si>
    <t>0001571283-24-000022</t>
  </si>
  <si>
    <t>Rexford Industrial Realty, Inc.</t>
  </si>
  <si>
    <t>0000950170-24-055621</t>
  </si>
  <si>
    <t>Logan Ridge Finance Corporation</t>
  </si>
  <si>
    <t>0001410578-24-000887</t>
  </si>
  <si>
    <t>Synaptogenix, Inc.</t>
  </si>
  <si>
    <t>0001571949-24-000011</t>
  </si>
  <si>
    <t>INTERCONTINENTAL EXCHANGE, INC.</t>
  </si>
  <si>
    <t>0001571996-24-000062</t>
  </si>
  <si>
    <t>Dell Technologies Inc.</t>
  </si>
  <si>
    <t>0000950170-24-097069</t>
  </si>
  <si>
    <t>VIRGINIA NATIONAL BANKSHARES CORP</t>
  </si>
  <si>
    <t>0001493152-24-030518</t>
  </si>
  <si>
    <t>GREENWAY TECHNOLOGIES, INC.</t>
  </si>
  <si>
    <t>0000950170-24-096968</t>
  </si>
  <si>
    <t>Fractyl Health, Inc.</t>
  </si>
  <si>
    <t>0001573221-24-000107</t>
  </si>
  <si>
    <t>TheRealReal, Inc.</t>
  </si>
  <si>
    <t>MURPHY USA INC.</t>
  </si>
  <si>
    <t>0001574085-24-000099</t>
  </si>
  <si>
    <t>BRAEMAR HOTELS &amp; RESORTS INC.</t>
  </si>
  <si>
    <t>0001493152-24-031675</t>
  </si>
  <si>
    <t>RENOVORX, INC.</t>
  </si>
  <si>
    <t>0001574197-24-000063</t>
  </si>
  <si>
    <t>Five Point Holdings, LLC</t>
  </si>
  <si>
    <t>0001493152-24-031478</t>
  </si>
  <si>
    <t>PULMATRIX, INC.</t>
  </si>
  <si>
    <t>0001558370-24-008152</t>
  </si>
  <si>
    <t>ATEL 16, LLC</t>
  </si>
  <si>
    <t>0001640334-24-001302</t>
  </si>
  <si>
    <t>BioAdaptives Inc.</t>
  </si>
  <si>
    <t>0001477932-24-002257</t>
  </si>
  <si>
    <t>ALLIED CORP.</t>
  </si>
  <si>
    <t>0000950170-24-060393</t>
  </si>
  <si>
    <t>VERICITY, INC.</t>
  </si>
  <si>
    <t>0001575515-24-000095</t>
  </si>
  <si>
    <t>Sprouts Farmers Market, Inc.</t>
  </si>
  <si>
    <t>0001410578-24-001319</t>
  </si>
  <si>
    <t>ENERGOUS CORPORATION</t>
  </si>
  <si>
    <t>Expro Group Holdings N.V.</t>
  </si>
  <si>
    <t>0001493152-24-041081</t>
  </si>
  <si>
    <t>PUREBASE CORPORATION</t>
  </si>
  <si>
    <t>0001575965-24-000015</t>
  </si>
  <si>
    <t>Gaming and Leisure Properties, Inc.</t>
  </si>
  <si>
    <t>0001576018-24-000031</t>
  </si>
  <si>
    <t>SIRIUSPOINT LTD.</t>
  </si>
  <si>
    <t>0001493152-24-020683</t>
  </si>
  <si>
    <t>Strategic Environmental &amp; Energy Resources, Inc.</t>
  </si>
  <si>
    <t>0001576280-24-000109</t>
  </si>
  <si>
    <t>GUARDANT HEALTH, INC.</t>
  </si>
  <si>
    <t>0001576427-24-000064</t>
  </si>
  <si>
    <t>Criteo S.A.</t>
  </si>
  <si>
    <t>FR-</t>
  </si>
  <si>
    <t>0001493152-24-020044</t>
  </si>
  <si>
    <t>AMERICAN     BATTERY TECHNOLOGY COMPANY</t>
  </si>
  <si>
    <t>0001576885-24-000064</t>
  </si>
  <si>
    <t>Acumen Pharmaceuticals, Inc.</t>
  </si>
  <si>
    <t>0001576940-24-000037</t>
  </si>
  <si>
    <t>Century Communities, Inc.</t>
  </si>
  <si>
    <t>0001576942-24-000037</t>
  </si>
  <si>
    <t>STITCH FIX, INC.</t>
  </si>
  <si>
    <t>0001577134-24-000022</t>
  </si>
  <si>
    <t>Terra Income Fund 6, LLC</t>
  </si>
  <si>
    <t>0001558370-24-007200</t>
  </si>
  <si>
    <t>Ardmore Shipping Corp</t>
  </si>
  <si>
    <t>0001493152-24-019838</t>
  </si>
  <si>
    <t>ODYSIGHT.AI INC.</t>
  </si>
  <si>
    <t>0001185185-24-000818</t>
  </si>
  <si>
    <t>APEX 11 INC.</t>
  </si>
  <si>
    <t>0000950170-24-059774</t>
  </si>
  <si>
    <t>Investcorp Credit Management BDC, Inc.</t>
  </si>
  <si>
    <t>0001578732-24-000029</t>
  </si>
  <si>
    <t>MARCUS &amp; MILLICHAP, INC.</t>
  </si>
  <si>
    <t>0001579091-24-000087</t>
  </si>
  <si>
    <t>MAPLEBEAR INC.</t>
  </si>
  <si>
    <t>0000950170-24-107021</t>
  </si>
  <si>
    <t>VINCE HOLDING CORP.</t>
  </si>
  <si>
    <t>0001579241-24-000031</t>
  </si>
  <si>
    <t>ALLEGION plc</t>
  </si>
  <si>
    <t>BURLINGTON STORES, INC.</t>
  </si>
  <si>
    <t>0000950170-24-090828</t>
  </si>
  <si>
    <t>AXSOME THERAPEUTICS, INC.</t>
  </si>
  <si>
    <t>0001579684-24-000031</t>
  </si>
  <si>
    <t>GANNETT CO., INC.</t>
  </si>
  <si>
    <t>0000950170-24-093329</t>
  </si>
  <si>
    <t>Vital Farms, Inc.</t>
  </si>
  <si>
    <t>0001579877-24-000047</t>
  </si>
  <si>
    <t>OUTFRONT Media Inc.</t>
  </si>
  <si>
    <t>0000950170-24-095491</t>
  </si>
  <si>
    <t>Biora Therapeutics, Inc.</t>
  </si>
  <si>
    <t>0001520138-24-000204</t>
  </si>
  <si>
    <t>BIOVIE INC.</t>
  </si>
  <si>
    <t>0001580345-24-000030</t>
  </si>
  <si>
    <t>TriplePoint Venture Growth BDC Corp.</t>
  </si>
  <si>
    <t>0001493152-24-031535</t>
  </si>
  <si>
    <t>I-ON DIGITAL CORP.</t>
  </si>
  <si>
    <t>0000950170-24-054762</t>
  </si>
  <si>
    <t>Flywire Corp</t>
  </si>
  <si>
    <t>0001580670-24-000037</t>
  </si>
  <si>
    <t>LGI HOMES, INC.</t>
  </si>
  <si>
    <t>0001580808-24-000077</t>
  </si>
  <si>
    <t>A10 NETWORKS, INC.</t>
  </si>
  <si>
    <t>0000950170-24-094039</t>
  </si>
  <si>
    <t>VROOM, INC.</t>
  </si>
  <si>
    <t>0001580905-24-000021</t>
  </si>
  <si>
    <t>Installed Building Products, Inc.</t>
  </si>
  <si>
    <t>0001558370-24-006562</t>
  </si>
  <si>
    <t>RE/MAX Holdings, Inc.</t>
  </si>
  <si>
    <t>0001628280-24-020014</t>
  </si>
  <si>
    <t>Twist Bioscience Corporation</t>
  </si>
  <si>
    <t>0001185185-24-000802</t>
  </si>
  <si>
    <t>Energy 11, L.P.</t>
  </si>
  <si>
    <t>0001581760-24-000080</t>
  </si>
  <si>
    <t>Life360, Inc.</t>
  </si>
  <si>
    <t>0001581990-24-000014</t>
  </si>
  <si>
    <t>PLAINS GP HOLDINGS LP</t>
  </si>
  <si>
    <t>0001213900-24-045020</t>
  </si>
  <si>
    <t>ACTAVIA LIFE SCIENCES, INC.</t>
  </si>
  <si>
    <t>0000950170-24-094109</t>
  </si>
  <si>
    <t>XENON PHARMACEUTICALS INC.</t>
  </si>
  <si>
    <t>0001493152-24-018417</t>
  </si>
  <si>
    <t>MATINAS BIOPHARMA HOLDINGS, INC.</t>
  </si>
  <si>
    <t>0001582961-24-000068</t>
  </si>
  <si>
    <t>DigitalOcean Holdings, Inc.</t>
  </si>
  <si>
    <t>0001493152-24-031637</t>
  </si>
  <si>
    <t>CareCloud, Inc.</t>
  </si>
  <si>
    <t>0001558370-24-008201</t>
  </si>
  <si>
    <t>THERAVANCE BIOPHARMA, INC.</t>
  </si>
  <si>
    <t>0001437749-24-017037</t>
  </si>
  <si>
    <t>PIERIS PHARMACEUTICALS, INC.</t>
  </si>
  <si>
    <t>0001583708-24-000043</t>
  </si>
  <si>
    <t>SENTINELONE, INC</t>
  </si>
  <si>
    <t>0001493152-24-031582</t>
  </si>
  <si>
    <t>HEPION PHARMACEUTICALS, INC.</t>
  </si>
  <si>
    <t>0001584207-24-000014</t>
  </si>
  <si>
    <t>ONEMAIN HOLDINGS, INC.</t>
  </si>
  <si>
    <t>0001640334-24-000508</t>
  </si>
  <si>
    <t>Startech Labs, Inc.</t>
  </si>
  <si>
    <t>0001584509-24-000153</t>
  </si>
  <si>
    <t>Aramark</t>
  </si>
  <si>
    <t>0000950170-24-055056</t>
  </si>
  <si>
    <t>VILLAGE FARMS INTERNATIONAL, INC.</t>
  </si>
  <si>
    <t>0001493152-24-024375</t>
  </si>
  <si>
    <t>Healthcare Integrated Technologies, Inc.</t>
  </si>
  <si>
    <t>0000950170-24-098525</t>
  </si>
  <si>
    <t>Talis Biomedical Corporation</t>
  </si>
  <si>
    <t>0001213900-24-041897</t>
  </si>
  <si>
    <t>AKOUSTIS TECHNOLOGIES, INC.</t>
  </si>
  <si>
    <t>0001493152-24-030747</t>
  </si>
  <si>
    <t>OXBRIDGE     RE HOLDINGS LIMITED</t>
  </si>
  <si>
    <t>0001585101-24-000030</t>
  </si>
  <si>
    <t>Hines Global Income Trust, Inc.</t>
  </si>
  <si>
    <t>0001585364-24-000113</t>
  </si>
  <si>
    <t>Perrigo Company plc</t>
  </si>
  <si>
    <t>0001585521-24-000094</t>
  </si>
  <si>
    <t>Zoom Video Communications, Inc.</t>
  </si>
  <si>
    <t>0001558370-24-008050</t>
  </si>
  <si>
    <t>JAGUAR HEALTH, INC.</t>
  </si>
  <si>
    <t>0001585689-24-000101</t>
  </si>
  <si>
    <t>Hilton Worldwide Holdings Inc.</t>
  </si>
  <si>
    <t>0001437749-24-025720</t>
  </si>
  <si>
    <t>Prime Meridian Holding Co</t>
  </si>
  <si>
    <t>0001683168-24-003645</t>
  </si>
  <si>
    <t>LEET TECHNOLOGY INC.</t>
  </si>
  <si>
    <t>0001410578-24-000628</t>
  </si>
  <si>
    <t>TARGET GROUP INC.</t>
  </si>
  <si>
    <t>0001587523-24-000040</t>
  </si>
  <si>
    <t>Knowles Corporation</t>
  </si>
  <si>
    <t>0001587732-24-000051</t>
  </si>
  <si>
    <t>ONE Gas, Inc.</t>
  </si>
  <si>
    <t>0001587987-24-000082</t>
  </si>
  <si>
    <t>NEWTEKONE, INC.</t>
  </si>
  <si>
    <t>0001493152-24-032327</t>
  </si>
  <si>
    <t>ADM ENDEAVORS, INC.</t>
  </si>
  <si>
    <t>0001193125-24-139303</t>
  </si>
  <si>
    <t>NexPoint Capital, Inc.</t>
  </si>
  <si>
    <t>PROCEPT BioRobotics Corporation</t>
  </si>
  <si>
    <t>0001493152-24-020718</t>
  </si>
  <si>
    <t>GREENWAVE TECHNOLOGY SOLUTIONS, INC.</t>
  </si>
  <si>
    <t>0001607062-24-000131</t>
  </si>
  <si>
    <t>REGEN BIOPHARMA, INC.</t>
  </si>
  <si>
    <t>0001589526-24-000055</t>
  </si>
  <si>
    <t>BLUE BIRD CORPORATION</t>
  </si>
  <si>
    <t>0001683168-24-003438</t>
  </si>
  <si>
    <t>FOCUS UNIVERSAL INC.</t>
  </si>
  <si>
    <t>0001213900-24-080355</t>
  </si>
  <si>
    <t>AERKOMM INC.</t>
  </si>
  <si>
    <t>0001590584-24-000079</t>
  </si>
  <si>
    <t>Civeo Corp</t>
  </si>
  <si>
    <t>0001753926-24-001309</t>
  </si>
  <si>
    <t>Twinlab Consolidated Holdings, Inc.</t>
  </si>
  <si>
    <t>0001590714-24-000089</t>
  </si>
  <si>
    <t>Element Solutions Inc</t>
  </si>
  <si>
    <t>0001477932-24-005119</t>
  </si>
  <si>
    <t>AMERICAN RESOURCES CORPORATION</t>
  </si>
  <si>
    <t>0001628280-24-019995</t>
  </si>
  <si>
    <t>CareTrust REIT, Inc.</t>
  </si>
  <si>
    <t>0001590750-24-000019</t>
  </si>
  <si>
    <t>Viridian Therapeutics, Inc./DE</t>
  </si>
  <si>
    <t>0000950170-24-055691</t>
  </si>
  <si>
    <t>REGENXBIO Inc.</t>
  </si>
  <si>
    <t>0001590895-24-000088</t>
  </si>
  <si>
    <t>CAESARS ENTERTAINMENT, INC.</t>
  </si>
  <si>
    <t>Paycom Software, Inc.</t>
  </si>
  <si>
    <t>0001590976-24-000036</t>
  </si>
  <si>
    <t>MALIBU BOATS, INC.</t>
  </si>
  <si>
    <t>0001640334-24-001199</t>
  </si>
  <si>
    <t>BALLY, CORP.</t>
  </si>
  <si>
    <t>0001628280-24-021139</t>
  </si>
  <si>
    <t>ASSETMARK FINANCIAL HOLDINGS, INC.</t>
  </si>
  <si>
    <t>0000950170-24-057222</t>
  </si>
  <si>
    <t>A-Mark Precious Metals, Inc.</t>
  </si>
  <si>
    <t>0001558370-24-006380</t>
  </si>
  <si>
    <t>Farmland Partners Inc.</t>
  </si>
  <si>
    <t>0001591698-24-000100</t>
  </si>
  <si>
    <t>PAYLOCITY HOLDING CORPORATION</t>
  </si>
  <si>
    <t>0001213900-24-042905</t>
  </si>
  <si>
    <t>INNOVATIVE PAYMENT SOLUTIONS, INC.</t>
  </si>
  <si>
    <t>0001591956-24-000015</t>
  </si>
  <si>
    <t>Sphere 3D Corp.</t>
  </si>
  <si>
    <t>0001592000-24-000007</t>
  </si>
  <si>
    <t>ENLINK MIDSTREAM, LLC</t>
  </si>
  <si>
    <t>0001592386-24-000049</t>
  </si>
  <si>
    <t>Virtu Financial, Inc.</t>
  </si>
  <si>
    <t>0001213900-24-053334</t>
  </si>
  <si>
    <t>NIGHTFOOD HOLDINGS, INC.</t>
  </si>
  <si>
    <t>0001683168-24-007021</t>
  </si>
  <si>
    <t>BIOREGENX, INC.</t>
  </si>
  <si>
    <t>0001193125-24-129905</t>
  </si>
  <si>
    <t>CITY OFFICE REIT, INC.</t>
  </si>
  <si>
    <t>0000950170-24-047619</t>
  </si>
  <si>
    <t>NAVIENT CORP</t>
  </si>
  <si>
    <t>0001437749-24-015488</t>
  </si>
  <si>
    <t>PLAYAGS, INC.</t>
  </si>
  <si>
    <t>0001493152-24-017924</t>
  </si>
  <si>
    <t>Livento Group, Inc.</t>
  </si>
  <si>
    <t>AMJ Global Technology</t>
  </si>
  <si>
    <t>0000950170-24-092914</t>
  </si>
  <si>
    <t>Atea Pharmaceuticals, Inc.</t>
  </si>
  <si>
    <t>0001214659-24-008705</t>
  </si>
  <si>
    <t>ZHEN DING RESOURCES INC.</t>
  </si>
  <si>
    <t>0001683168-24-003470</t>
  </si>
  <si>
    <t>VESTIAGE, INC.</t>
  </si>
  <si>
    <t>0000950170-24-054625</t>
  </si>
  <si>
    <t>Corbus Pharmaceuticals Holdings, Inc.</t>
  </si>
  <si>
    <t>0001437749-24-025893</t>
  </si>
  <si>
    <t>Genprex, Inc.</t>
  </si>
  <si>
    <t>0001493152-24-034198</t>
  </si>
  <si>
    <t>GALMED PHARMACEUTICALS LTD.</t>
  </si>
  <si>
    <t>0001595527-24-000011</t>
  </si>
  <si>
    <t>American Strategic Investment Co.</t>
  </si>
  <si>
    <t>0001595974-24-000032</t>
  </si>
  <si>
    <t>MAGNITE, INC.</t>
  </si>
  <si>
    <t>0001596532-24-000173</t>
  </si>
  <si>
    <t>Arista Networks, Inc.</t>
  </si>
  <si>
    <t>0001596783-24-000033</t>
  </si>
  <si>
    <t>Catalent, Inc.</t>
  </si>
  <si>
    <t>0001213900-24-074559</t>
  </si>
  <si>
    <t>ENLIVEX THERAPEUTICS LTD.</t>
  </si>
  <si>
    <t>0001596961-24-000053</t>
  </si>
  <si>
    <t>RumbleOn, Inc.</t>
  </si>
  <si>
    <t>0001597033-24-000073</t>
  </si>
  <si>
    <t>Sabre Corporation</t>
  </si>
  <si>
    <t>BLUEPRINT MEDICINES CORPORATION</t>
  </si>
  <si>
    <t>Sage Therapeutics, Inc.</t>
  </si>
  <si>
    <t>0001597672-24-000014</t>
  </si>
  <si>
    <t>RAYONIER ADVANCED MATERIALS INC.</t>
  </si>
  <si>
    <t>0001493152-24-018748</t>
  </si>
  <si>
    <t>Greenpro Capital Corp.</t>
  </si>
  <si>
    <t>0001213900-24-047342</t>
  </si>
  <si>
    <t>JRSIS HEALTH CARE CORPORATION</t>
  </si>
  <si>
    <t>0000950170-24-094053</t>
  </si>
  <si>
    <t>METALLUS INC.</t>
  </si>
  <si>
    <t>0000950170-24-091195</t>
  </si>
  <si>
    <t>Minerva Neurosciences, Inc.</t>
  </si>
  <si>
    <t>0001598665-24-000008</t>
  </si>
  <si>
    <t>Heritage Insurance Holdings, Inc.</t>
  </si>
  <si>
    <t>0001493152-24-019244</t>
  </si>
  <si>
    <t>SKYX PLATFORMS CORP.</t>
  </si>
  <si>
    <t>0001493152-24-023841</t>
  </si>
  <si>
    <t>Mentor     Capital, Inc.</t>
  </si>
  <si>
    <t>0001599298-24-000085</t>
  </si>
  <si>
    <t>Summit Therapeutics Inc.</t>
  </si>
  <si>
    <t>0001213900-24-043698</t>
  </si>
  <si>
    <t>1847 HOLDINGS LLC</t>
  </si>
  <si>
    <t>0000950170-24-057616</t>
  </si>
  <si>
    <t>DNOW INC.</t>
  </si>
  <si>
    <t>0001599901-24-000142</t>
  </si>
  <si>
    <t>Avidity Biosciences, Inc.</t>
  </si>
  <si>
    <t>0001600033-24-000020</t>
  </si>
  <si>
    <t>e.l.f. Beauty, Inc.</t>
  </si>
  <si>
    <t>0001493152-24-030782</t>
  </si>
  <si>
    <t>Hapi Metaverse Inc.</t>
  </si>
  <si>
    <t>0001493152-24-019336</t>
  </si>
  <si>
    <t>SUPERIOR DRILLING PRODUCTS, INC.</t>
  </si>
  <si>
    <t>0001628280-24-029139</t>
  </si>
  <si>
    <t>GMS INC.</t>
  </si>
  <si>
    <t>0001600620-24-000051</t>
  </si>
  <si>
    <t>Aurinia Pharmaceuticals Inc.</t>
  </si>
  <si>
    <t>0001600626-24-000074</t>
  </si>
  <si>
    <t>Peakstone Realty Trust</t>
  </si>
  <si>
    <t>0001600641-24-000067</t>
  </si>
  <si>
    <t>1STDIBS.COM, INC.</t>
  </si>
  <si>
    <t>0001213900-24-046302</t>
  </si>
  <si>
    <t>GAMIDA CELL LTD.</t>
  </si>
  <si>
    <t>0001410578-24-000903</t>
  </si>
  <si>
    <t>Knightscope, Inc.</t>
  </si>
  <si>
    <t>0001601046-24-000043</t>
  </si>
  <si>
    <t>KEYSIGHT TECHNOLOGIES, INC.</t>
  </si>
  <si>
    <t>0001601485-24-000045</t>
  </si>
  <si>
    <t>Elicio Therapeutics, Inc.</t>
  </si>
  <si>
    <t>0001601548-24-000017</t>
  </si>
  <si>
    <t>V2X, Inc.</t>
  </si>
  <si>
    <t>SYNCHRONY FINANCIAL</t>
  </si>
  <si>
    <t>0001601830-24-000052</t>
  </si>
  <si>
    <t>RECURSION PHARMACEUTICALS, INC.</t>
  </si>
  <si>
    <t>0001602065-24-000028</t>
  </si>
  <si>
    <t>Viper Energy, Inc.</t>
  </si>
  <si>
    <t>0001437749-24-014351</t>
  </si>
  <si>
    <t>Investar Holding Corporation</t>
  </si>
  <si>
    <t>0001603145-24-000010</t>
  </si>
  <si>
    <t>NEXTERA ENERGY PARTNERS, LP</t>
  </si>
  <si>
    <t>0001493152-24-019823</t>
  </si>
  <si>
    <t>Notable Labs, Ltd.</t>
  </si>
  <si>
    <t>0001493152-24-032372</t>
  </si>
  <si>
    <t>CELCUITY INC.</t>
  </si>
  <si>
    <t>0000950170-24-057614</t>
  </si>
  <si>
    <t>TCW DIRECT LENDING LLC</t>
  </si>
  <si>
    <t>0000950170-24-059514</t>
  </si>
  <si>
    <t>URGENT.LY INC.</t>
  </si>
  <si>
    <t>0001603756-24-000071</t>
  </si>
  <si>
    <t>Axonics, Inc.</t>
  </si>
  <si>
    <t>0001603923-24-000086</t>
  </si>
  <si>
    <t>Weatherford International plc</t>
  </si>
  <si>
    <t>0001603978-24-000061</t>
  </si>
  <si>
    <t>AquaBounty Technologies, Inc.</t>
  </si>
  <si>
    <t>0001410578-24-000826</t>
  </si>
  <si>
    <t>First Wave BioPharma, Inc.</t>
  </si>
  <si>
    <t>0000950170-24-095533</t>
  </si>
  <si>
    <t>ATARA BIOTHERAPEUTICS, INC.</t>
  </si>
  <si>
    <t>0001604665-24-000018</t>
  </si>
  <si>
    <t>Westlake Chemical Partners LP</t>
  </si>
  <si>
    <t>0001604738-24-000036</t>
  </si>
  <si>
    <t>ASHFORD INC.</t>
  </si>
  <si>
    <t>0001558370-24-007686</t>
  </si>
  <si>
    <t>Natera, Inc.</t>
  </si>
  <si>
    <t>0001628280-24-036179</t>
  </si>
  <si>
    <t>GROWGENERATION CORP.</t>
  </si>
  <si>
    <t>0000950170-24-059594</t>
  </si>
  <si>
    <t>scPharmaceuticals Inc.</t>
  </si>
  <si>
    <t>0001477932-24-002978</t>
  </si>
  <si>
    <t>VEMANTI GROUP, INC.</t>
  </si>
  <si>
    <t>0001605301-24-000023</t>
  </si>
  <si>
    <t>CB FINANCIAL SERVICES, INC.</t>
  </si>
  <si>
    <t>0001663577-24-000113</t>
  </si>
  <si>
    <t>AB International Group Corp.</t>
  </si>
  <si>
    <t>0001493152-24-031255</t>
  </si>
  <si>
    <t>NEVADA CANYON GOLD CORP.</t>
  </si>
  <si>
    <t>0000950170-24-051313</t>
  </si>
  <si>
    <t>PARAMOUNT GROUP, INC.</t>
  </si>
  <si>
    <t>0001213900-24-069169</t>
  </si>
  <si>
    <t>ATLANTIC INTERNATIONAL CORP.</t>
  </si>
  <si>
    <t>0001628280-24-035219</t>
  </si>
  <si>
    <t>LIMBACH HOLDINGS, INC.</t>
  </si>
  <si>
    <t>0001606268-24-000016</t>
  </si>
  <si>
    <t>Via Renewables, Inc.</t>
  </si>
  <si>
    <t>0001606366-24-000028</t>
  </si>
  <si>
    <t>EL POLLO LOCO HOLDINGS, INC.</t>
  </si>
  <si>
    <t>0001606498-24-000058</t>
  </si>
  <si>
    <t>AVANOS MEDICAL, INC.</t>
  </si>
  <si>
    <t>0001558370-24-007189</t>
  </si>
  <si>
    <t>LIBERTY TRIPADVISOR HOLDINGS, INC.</t>
  </si>
  <si>
    <t>0001606757-24-000014</t>
  </si>
  <si>
    <t>KIMBALL ELECTRONICS, INC.</t>
  </si>
  <si>
    <t>0001606909-24-000068</t>
  </si>
  <si>
    <t>PANGAEA LOGISTICS SOLUTIONS LTD.</t>
  </si>
  <si>
    <t>0000950170-24-047833</t>
  </si>
  <si>
    <t>VIKING THERAPEUTICS, INC.</t>
  </si>
  <si>
    <t>0001607939-24-000075</t>
  </si>
  <si>
    <t>Udemy, Inc.</t>
  </si>
  <si>
    <t>0001178913-24-001738</t>
  </si>
  <si>
    <t>ReWalk Robotics Ltd.</t>
  </si>
  <si>
    <t>0001683168-24-005907</t>
  </si>
  <si>
    <t>Kisses From Italy Inc.</t>
  </si>
  <si>
    <t>0000950170-24-060110</t>
  </si>
  <si>
    <t>PATHFINDER BANCORP, INC.</t>
  </si>
  <si>
    <t>0001609151-24-000050</t>
  </si>
  <si>
    <t>Weave Communications, Inc.</t>
  </si>
  <si>
    <t>0001609253-24-000080</t>
  </si>
  <si>
    <t>California Resources Corp</t>
  </si>
  <si>
    <t>0001609550-24-000044</t>
  </si>
  <si>
    <t>Inspire Medical Systems, Inc.</t>
  </si>
  <si>
    <t>0001609711-24-000072</t>
  </si>
  <si>
    <t>GoDaddy Inc.</t>
  </si>
  <si>
    <t>0001609804-24-000025</t>
  </si>
  <si>
    <t>ORION S.A.</t>
  </si>
  <si>
    <t>0000950170-24-095821</t>
  </si>
  <si>
    <t>SERES THERAPEUTICS, INC.</t>
  </si>
  <si>
    <t>0001610618-24-000115</t>
  </si>
  <si>
    <t>CIDARA THERAPEUTICS, INC.</t>
  </si>
  <si>
    <t>0001096906-24-001687</t>
  </si>
  <si>
    <t>OUTDOOR SPECIALTY PRODUCTS, INC.</t>
  </si>
  <si>
    <t>0001493152-24-023867</t>
  </si>
  <si>
    <t>BRIACELL THERAPEUTICS CORP.</t>
  </si>
  <si>
    <t>0001558370-24-007971</t>
  </si>
  <si>
    <t>HELIUS MEDICAL TECHNOLOGIES, INC.</t>
  </si>
  <si>
    <t>0001213900-24-045347</t>
  </si>
  <si>
    <t>Amplify Commodity Trust</t>
  </si>
  <si>
    <t>0001628280-24-019989</t>
  </si>
  <si>
    <t>Procore Technologies, Inc.</t>
  </si>
  <si>
    <t>0001213900-24-068781</t>
  </si>
  <si>
    <t>PishPosh, Inc.</t>
  </si>
  <si>
    <t>0001611547-24-000029</t>
  </si>
  <si>
    <t>URBAN EDGE PROPERTIES</t>
  </si>
  <si>
    <t>0001437749-24-014824</t>
  </si>
  <si>
    <t>Freshpet INC</t>
  </si>
  <si>
    <t>0001558370-24-007273</t>
  </si>
  <si>
    <t>LIBERTY BROADBAND CORPORATION</t>
  </si>
  <si>
    <t>0001612630-24-000006</t>
  </si>
  <si>
    <t>Joint Corp</t>
  </si>
  <si>
    <t>0001628280-24-022756</t>
  </si>
  <si>
    <t>NEXTDECADE CORPORATION</t>
  </si>
  <si>
    <t>0001493152-24-030471</t>
  </si>
  <si>
    <t>TRENDMAKER, INC. LIMITED</t>
  </si>
  <si>
    <t>0001193125-24-188853</t>
  </si>
  <si>
    <t>DBV TECHNOLOGIES S.A.</t>
  </si>
  <si>
    <t>0001614178-24-000056</t>
  </si>
  <si>
    <t>YEXT, INC.</t>
  </si>
  <si>
    <t>0001683168-24-004357</t>
  </si>
  <si>
    <t>STAR ALLIANCE INTERNATIONAL CORP.</t>
  </si>
  <si>
    <t>0001628280-24-020313</t>
  </si>
  <si>
    <t>GREAT AJAX CORP.</t>
  </si>
  <si>
    <t>0001493152-24-030805</t>
  </si>
  <si>
    <t>INSPIRED ENTERTAINMENT, INC.</t>
  </si>
  <si>
    <t>0000950170-24-057780</t>
  </si>
  <si>
    <t>Veritone, Inc.</t>
  </si>
  <si>
    <t>0001615219-24-000071</t>
  </si>
  <si>
    <t>SALARIUS PHARMACEUTICALS, INC.</t>
  </si>
  <si>
    <t>0001616000-24-000042</t>
  </si>
  <si>
    <t>Xenia Hotels &amp; Resorts, Inc.</t>
  </si>
  <si>
    <t>0001079973-24-000538</t>
  </si>
  <si>
    <t>WEWARDS, INC.</t>
  </si>
  <si>
    <t>0001628280-24-015494</t>
  </si>
  <si>
    <t>SMART GLOBAL HOLDINGS, INC.</t>
  </si>
  <si>
    <t>0001558370-24-007966</t>
  </si>
  <si>
    <t>Senseonics Holdings, Inc.</t>
  </si>
  <si>
    <t>0001616707-24-000035</t>
  </si>
  <si>
    <t>Wayfair Inc.</t>
  </si>
  <si>
    <t>0001515971-24-000061</t>
  </si>
  <si>
    <t>Alpha Investment Inc.</t>
  </si>
  <si>
    <t>0001493152-24-023791</t>
  </si>
  <si>
    <t>LEGACY VENTURES INTERNATIONAL, INC</t>
  </si>
  <si>
    <t>0001616862-24-000035</t>
  </si>
  <si>
    <t>AXALTA COATING SYSTEMS LTD.</t>
  </si>
  <si>
    <t>0001617242-24-000030</t>
  </si>
  <si>
    <t>KEARNY FINANCIAL CORP.</t>
  </si>
  <si>
    <t>0001617406-24-000039</t>
  </si>
  <si>
    <t>Park Hotels &amp; Resorts Inc.</t>
  </si>
  <si>
    <t>0001617553-24-000046</t>
  </si>
  <si>
    <t>ZIPRECRUITER, INC.</t>
  </si>
  <si>
    <t>0001617640-24-000070</t>
  </si>
  <si>
    <t>ZILLOW GROUP, INC.</t>
  </si>
  <si>
    <t>0001437749-24-015322</t>
  </si>
  <si>
    <t>WORLD GOLD TRUST</t>
  </si>
  <si>
    <t>0001628280-24-019991</t>
  </si>
  <si>
    <t>National Storage Affiliates Trust</t>
  </si>
  <si>
    <t>0000950170-24-055773</t>
  </si>
  <si>
    <t>Performance Food Group Company</t>
  </si>
  <si>
    <t>0001398344-24-009192</t>
  </si>
  <si>
    <t>GUGGENHEIM CREDIT INCOME FUND 2016 T</t>
  </si>
  <si>
    <t>0001398344-24-009196</t>
  </si>
  <si>
    <t>GUGGENHEIM CREDIT INCOME FUND 2019</t>
  </si>
  <si>
    <t>0001398344-24-009186</t>
  </si>
  <si>
    <t>GUGGENHEIM CREDIT INCOME FUND</t>
  </si>
  <si>
    <t>0000950170-24-071318</t>
  </si>
  <si>
    <t>NUTANIX, INC.</t>
  </si>
  <si>
    <t>0001493152-24-031846</t>
  </si>
  <si>
    <t>EVOFEM BIOSCIENCES, INC.</t>
  </si>
  <si>
    <t>0001618921-24-000035</t>
  </si>
  <si>
    <t>WALGREENS BOOTS ALLIANCE, INC.</t>
  </si>
  <si>
    <t>0001091818-24-000062</t>
  </si>
  <si>
    <t>SUMMIT NETWORKS INC.</t>
  </si>
  <si>
    <t>Cloudweb, Inc.</t>
  </si>
  <si>
    <t>0001829126-24-003381</t>
  </si>
  <si>
    <t>Lightstone Value Plus REIT IV, Inc.</t>
  </si>
  <si>
    <t>0001619856-24-000064</t>
  </si>
  <si>
    <t>Caribou Biosciences, Inc.</t>
  </si>
  <si>
    <t>0001558370-24-008289</t>
  </si>
  <si>
    <t>EXELA TECHNOLOGIES, INC.</t>
  </si>
  <si>
    <t>0001628280-24-020314</t>
  </si>
  <si>
    <t>Uniti Group Inc.</t>
  </si>
  <si>
    <t>0000950170-24-052406</t>
  </si>
  <si>
    <t>NexPoint Residential Trust, Inc.</t>
  </si>
  <si>
    <t>0001620459-24-000089</t>
  </si>
  <si>
    <t>JAMES RIVER GROUP HOLDINGS, LTD.</t>
  </si>
  <si>
    <t>0000950170-24-089304</t>
  </si>
  <si>
    <t>Athira Pharma, Inc.</t>
  </si>
  <si>
    <t>0001620533-24-000040</t>
  </si>
  <si>
    <t>SHAKE SHACK INC.</t>
  </si>
  <si>
    <t>0001640334-24-001005</t>
  </si>
  <si>
    <t>PANAMERA HOLDINGS CORPORATION</t>
  </si>
  <si>
    <t>0001640334-24-001221</t>
  </si>
  <si>
    <t>ARTELO BIOSCIENCES, INC.</t>
  </si>
  <si>
    <t>0001558370-24-011798</t>
  </si>
  <si>
    <t>ADAPTIMMUNE THERAPEUTICS PLC</t>
  </si>
  <si>
    <t>0001628280-24-019907</t>
  </si>
  <si>
    <t>SUMMIT MATERIALS, INC.</t>
  </si>
  <si>
    <t>0001437749-24-017138</t>
  </si>
  <si>
    <t>SUPER LEAGUE ENTERPRISE, INC.</t>
  </si>
  <si>
    <t>0001437749-24-017078</t>
  </si>
  <si>
    <t>Aqua Metals, Inc.</t>
  </si>
  <si>
    <t>0001213900-24-069136</t>
  </si>
  <si>
    <t>WESTERN URANIUM &amp; VANADIUM CORP.</t>
  </si>
  <si>
    <t>0000950170-24-050565</t>
  </si>
  <si>
    <t>EASTERLY GOVERNMENT PROPERTIES, INC.</t>
  </si>
  <si>
    <t>0000950170-24-091229</t>
  </si>
  <si>
    <t>Cogent Biosciences, Inc.</t>
  </si>
  <si>
    <t>0001493152-24-023530</t>
  </si>
  <si>
    <t>ONE WORLD PRODUCTS, INC.</t>
  </si>
  <si>
    <t>0001493152-24-019861</t>
  </si>
  <si>
    <t>POLAR POWER, INC.</t>
  </si>
  <si>
    <t>0000950170-24-092738</t>
  </si>
  <si>
    <t>Stoke Therapeutics, Inc.</t>
  </si>
  <si>
    <t>0001017386-24-000140</t>
  </si>
  <si>
    <t>CORETAG, INC.</t>
  </si>
  <si>
    <t>0001628280-24-019869</t>
  </si>
  <si>
    <t>BUSINESS FIRST BANCSHARES, INC.</t>
  </si>
  <si>
    <t>0001493152-24-018913</t>
  </si>
  <si>
    <t>PAVMED INC.</t>
  </si>
  <si>
    <t>0001628280-24-021699</t>
  </si>
  <si>
    <t>BOXLIGHT CORPORATION</t>
  </si>
  <si>
    <t>0001437749-24-015092</t>
  </si>
  <si>
    <t>Pulse Biosciences, Inc.</t>
  </si>
  <si>
    <t>NerdWallet, Inc.</t>
  </si>
  <si>
    <t>0001493152-24-019400</t>
  </si>
  <si>
    <t>NEXIEN BIOPHARMA, INC.</t>
  </si>
  <si>
    <t>0001625641-24-000122</t>
  </si>
  <si>
    <t>CS Disco, Inc.</t>
  </si>
  <si>
    <t>0001558370-24-007764</t>
  </si>
  <si>
    <t>Ares Industrial Real Estate Income Trust Inc.</t>
  </si>
  <si>
    <t>0000950170-24-052960</t>
  </si>
  <si>
    <t>PJT Partners Inc.</t>
  </si>
  <si>
    <t>0001626199-24-000064</t>
  </si>
  <si>
    <t>ALPINE IMMUNE SCIENCES, INC.</t>
  </si>
  <si>
    <t>0000950170-24-088947</t>
  </si>
  <si>
    <t>BigCommerce Holdings, Inc.</t>
  </si>
  <si>
    <t>0001683168-24-004251</t>
  </si>
  <si>
    <t>Odyssey Health, Inc.</t>
  </si>
  <si>
    <t>0001493152-24-020675</t>
  </si>
  <si>
    <t>Fortune Valley Treasures, Inc.</t>
  </si>
  <si>
    <t>0001171843-24-002746</t>
  </si>
  <si>
    <t>XBIOTECH INC.</t>
  </si>
  <si>
    <t>0001558370-24-011076</t>
  </si>
  <si>
    <t>Corvus Pharmaceuticals, Inc.</t>
  </si>
  <si>
    <t>0000950170-24-050551</t>
  </si>
  <si>
    <t>The Chemours Company</t>
  </si>
  <si>
    <t>0001627282-24-000058</t>
  </si>
  <si>
    <t>CALIBERCOS INC.</t>
  </si>
  <si>
    <t>0001599916-24-000223</t>
  </si>
  <si>
    <t>Photozou Holdings, Inc.</t>
  </si>
  <si>
    <t>0001627475-24-000022</t>
  </si>
  <si>
    <t>UPWORK INC.</t>
  </si>
  <si>
    <t>0000950170-24-092783</t>
  </si>
  <si>
    <t>Revolution Medicines, Inc.</t>
  </si>
  <si>
    <t>0001628369-24-000010</t>
  </si>
  <si>
    <t>Cushman &amp; Wakefield plc</t>
  </si>
  <si>
    <t>0001628908-24-000053</t>
  </si>
  <si>
    <t>Evolent Health, Inc.</t>
  </si>
  <si>
    <t>0001558370-24-007783</t>
  </si>
  <si>
    <t>MERCHANTS BANCORP</t>
  </si>
  <si>
    <t>0000950170-24-059575</t>
  </si>
  <si>
    <t>PARAMOUNT GOLD NEVADA CORP.</t>
  </si>
  <si>
    <t>0001096906-24-001186</t>
  </si>
  <si>
    <t>Healthy Extracts Inc.</t>
  </si>
  <si>
    <t>0001213900-24-048093</t>
  </si>
  <si>
    <t>AVALON GLOBOCARE CORP.</t>
  </si>
  <si>
    <t>TPG RE Finance Trust, Inc.</t>
  </si>
  <si>
    <t>0000950170-24-091787</t>
  </si>
  <si>
    <t>Treace Medical Concepts, Inc.</t>
  </si>
  <si>
    <t>0001630805-24-000028</t>
  </si>
  <si>
    <t>BABCOCK &amp; WILCOX ENTERPRISES, INC</t>
  </si>
  <si>
    <t>0001631569-24-000042</t>
  </si>
  <si>
    <t>Community Healthcare Trust Inc</t>
  </si>
  <si>
    <t>0000950170-24-093341</t>
  </si>
  <si>
    <t>WAVE LIFE SCIENCES LTD.</t>
  </si>
  <si>
    <t>0001631596-24-000017</t>
  </si>
  <si>
    <t>KKR Real Estate Finance Trust Inc.</t>
  </si>
  <si>
    <t>0001493152-24-018584</t>
  </si>
  <si>
    <t>BALANCE LABS, INC.</t>
  </si>
  <si>
    <t>0001632127-24-000124</t>
  </si>
  <si>
    <t>Cable One, Inc.</t>
  </si>
  <si>
    <t>0001632790-24-000038</t>
  </si>
  <si>
    <t>ENERGIZER HOLDINGS, INC.</t>
  </si>
  <si>
    <t>0001632970-24-000057</t>
  </si>
  <si>
    <t>AMERICAN HEALTHCARE REIT, INC.</t>
  </si>
  <si>
    <t>0000950170-24-055626</t>
  </si>
  <si>
    <t>Crescent Capital BDC, Inc.</t>
  </si>
  <si>
    <t>0001410578-24-000805</t>
  </si>
  <si>
    <t>AUDAX CREDIT BDC INC.</t>
  </si>
  <si>
    <t>PayPal Holdings, Inc.</t>
  </si>
  <si>
    <t>0001558370-24-011080</t>
  </si>
  <si>
    <t>TopBuild Corp</t>
  </si>
  <si>
    <t>0001558370-24-008053</t>
  </si>
  <si>
    <t>ESSA Pharma Inc.</t>
  </si>
  <si>
    <t>0001628280-24-020767</t>
  </si>
  <si>
    <t>Lumentum Holdings Inc.</t>
  </si>
  <si>
    <t>0001634117-24-000048</t>
  </si>
  <si>
    <t>BARNES &amp; NOBLE EDUCATION, INC.</t>
  </si>
  <si>
    <t>0001599916-24-000209</t>
  </si>
  <si>
    <t>Exceed World, Inc.</t>
  </si>
  <si>
    <t>0001193125-24-138418</t>
  </si>
  <si>
    <t>AB Private Credit Investors Corporation</t>
  </si>
  <si>
    <t>0001634997-24-000054</t>
  </si>
  <si>
    <t>Avangrid, Inc.</t>
  </si>
  <si>
    <t>0001683168-24-005682</t>
  </si>
  <si>
    <t>ACLARION, INC.</t>
  </si>
  <si>
    <t>0001635282-24-000107</t>
  </si>
  <si>
    <t>Rimini Street, Inc.</t>
  </si>
  <si>
    <t>0001193125-24-137671</t>
  </si>
  <si>
    <t>Flutter Entertainment plc</t>
  </si>
  <si>
    <t>0001635984-24-000015</t>
  </si>
  <si>
    <t>NATIONAL WESTERN LIFE GROUP, INC.</t>
  </si>
  <si>
    <t>0001185185-24-000808</t>
  </si>
  <si>
    <t>FUSE GROUP HOLDING INC</t>
  </si>
  <si>
    <t>WINGSTOP INC.</t>
  </si>
  <si>
    <t>0001636282-24-000051</t>
  </si>
  <si>
    <t>SPYRE THERAPEUTICS, INC.</t>
  </si>
  <si>
    <t>0001636422-24-000075</t>
  </si>
  <si>
    <t>HEALTH CATALYST, INC.</t>
  </si>
  <si>
    <t>0001636519-24-000006</t>
  </si>
  <si>
    <t>MADISON SQUARE GARDEN SPORTS CORP.</t>
  </si>
  <si>
    <t>0001628280-24-036860</t>
  </si>
  <si>
    <t>Ovid Therapeutics Inc.</t>
  </si>
  <si>
    <t>0001637207-24-000044</t>
  </si>
  <si>
    <t>PLANET FITNESS, INC.</t>
  </si>
  <si>
    <t>0001637459-24-000069</t>
  </si>
  <si>
    <t>Kraft Heinz Co</t>
  </si>
  <si>
    <t>0000950170-24-096411</t>
  </si>
  <si>
    <t>Reneo Pharmaceuticals, Inc.</t>
  </si>
  <si>
    <t>0001637757-24-000008</t>
  </si>
  <si>
    <t>Clearway Energy LLC</t>
  </si>
  <si>
    <t>0001493152-24-036175</t>
  </si>
  <si>
    <t>DEEP GREEN WASTE &amp; RECYCLING, INC.</t>
  </si>
  <si>
    <t>0001628280-24-021768</t>
  </si>
  <si>
    <t>ACV Auctions Inc.</t>
  </si>
  <si>
    <t>0001637880-24-000037</t>
  </si>
  <si>
    <t>TRI-STATE GENERATION AND TRANSMISSION ASSOCIATION, INC.</t>
  </si>
  <si>
    <t>0001178913-24-001683</t>
  </si>
  <si>
    <t>ENTERA BIO LTD.</t>
  </si>
  <si>
    <t>0001558370-24-012272</t>
  </si>
  <si>
    <t>NeuroBo Pharmaceuticals, Inc.</t>
  </si>
  <si>
    <t>0000950170-24-055297</t>
  </si>
  <si>
    <t>MASTERCRAFT BOAT HOLDINGS, INC.</t>
  </si>
  <si>
    <t>0001638833-24-000113</t>
  </si>
  <si>
    <t>Surgery Partners, Inc.</t>
  </si>
  <si>
    <t>0001213900-24-066102</t>
  </si>
  <si>
    <t>UAS Drone Corp.</t>
  </si>
  <si>
    <t>0001493152-24-019679</t>
  </si>
  <si>
    <t>Hubilu Venture Corporation</t>
  </si>
  <si>
    <t>0001140361-24-029017</t>
  </si>
  <si>
    <t>Ollie’s Bargain Outlet Holdings, Inc.</t>
  </si>
  <si>
    <t>0001213900-24-087252</t>
  </si>
  <si>
    <t>Zhuoxun Hongtu Inc.</t>
  </si>
  <si>
    <t>0001628280-24-025487</t>
  </si>
  <si>
    <t>CAVA Group, Inc.</t>
  </si>
  <si>
    <t>0001639691-24-000060</t>
  </si>
  <si>
    <t>LivaNova PLC</t>
  </si>
  <si>
    <t>0001639825-24-000055</t>
  </si>
  <si>
    <t>Peloton Interactive, Inc.</t>
  </si>
  <si>
    <t>0001640147-24-000135</t>
  </si>
  <si>
    <t>SNOWFLAKE INC.</t>
  </si>
  <si>
    <t>0001558370-24-011073</t>
  </si>
  <si>
    <t>Voyager Therapeutics, Inc.</t>
  </si>
  <si>
    <t>0000950170-24-060568</t>
  </si>
  <si>
    <t>LM FUNDING AMERICA, INC.</t>
  </si>
  <si>
    <t>0000950170-24-091761</t>
  </si>
  <si>
    <t>EverQuote, Inc.</t>
  </si>
  <si>
    <t>0001558370-24-008154</t>
  </si>
  <si>
    <t>ATEL 17, LLC</t>
  </si>
  <si>
    <t>0000950170-24-059564</t>
  </si>
  <si>
    <t>Bolt Biotherapeutics, Inc.</t>
  </si>
  <si>
    <t>0001213900-24-045188</t>
  </si>
  <si>
    <t>GD CULTURE GROUP LIMITED</t>
  </si>
  <si>
    <t>0001641489-24-000029</t>
  </si>
  <si>
    <t>vTv Therapeutics Inc.</t>
  </si>
  <si>
    <t>0000950170-24-054392</t>
  </si>
  <si>
    <t>RIVER FINANCIAL CORPORATION</t>
  </si>
  <si>
    <t>0001558370-24-006905</t>
  </si>
  <si>
    <t>CPI Card Group Inc.</t>
  </si>
  <si>
    <t>0001437749-24-016758</t>
  </si>
  <si>
    <t>Associated Capital Group, Inc.</t>
  </si>
  <si>
    <t>0001493152-24-033048</t>
  </si>
  <si>
    <t>SIGYN THERAPEUTICS, INC.</t>
  </si>
  <si>
    <t>0001493152-24-031604</t>
  </si>
  <si>
    <t>GUARDION HEALTH SCIENCES, INC.</t>
  </si>
  <si>
    <t>0001493152-24-019842</t>
  </si>
  <si>
    <t>Oncocyte Corporation</t>
  </si>
  <si>
    <t>0001642545-24-000091</t>
  </si>
  <si>
    <t>Shockwave Medical, Inc.</t>
  </si>
  <si>
    <t>0001642896-24-000047</t>
  </si>
  <si>
    <t>SAMSARA INC.</t>
  </si>
  <si>
    <t>0000950170-24-059121</t>
  </si>
  <si>
    <t>IANTHUS CAPITAL HOLDINGS, INC.</t>
  </si>
  <si>
    <t>0001477932-24-004816</t>
  </si>
  <si>
    <t>AVENIR WELLNESS SOLUTIONS, INC.</t>
  </si>
  <si>
    <t>0000950170-24-092715</t>
  </si>
  <si>
    <t>Montrose Environmental Group, Inc.</t>
  </si>
  <si>
    <t>0001477932-24-005855</t>
  </si>
  <si>
    <t>LEAFBUYER TECHNOLOGIES, INC.</t>
  </si>
  <si>
    <t>0001213900-24-040467</t>
  </si>
  <si>
    <t>PURPLE INNOVATION, INC.</t>
  </si>
  <si>
    <t>0001493152-24-030571</t>
  </si>
  <si>
    <t>LOOP MEDIA, INC.</t>
  </si>
  <si>
    <t>0001644378-24-000022</t>
  </si>
  <si>
    <t>RMR GROUP INC.</t>
  </si>
  <si>
    <t>0001437749-24-026784</t>
  </si>
  <si>
    <t>cbdMD, Inc.</t>
  </si>
  <si>
    <t>0001645070-24-000140</t>
  </si>
  <si>
    <t>Sterling Check Corp.</t>
  </si>
  <si>
    <t>NovoCure Limited</t>
  </si>
  <si>
    <t>JE-</t>
  </si>
  <si>
    <t>0001493152-24-033075</t>
  </si>
  <si>
    <t>Webstar Technology Group, Inc.</t>
  </si>
  <si>
    <t>0000950170-24-056838</t>
  </si>
  <si>
    <t>Cue Biopharma, Inc.</t>
  </si>
  <si>
    <t>0001437749-24-025651</t>
  </si>
  <si>
    <t>Monopar Therapeutics Inc.</t>
  </si>
  <si>
    <t>0001645590-24-000098</t>
  </si>
  <si>
    <t>HEWLETT PACKARD ENTERPRISE COMPANY</t>
  </si>
  <si>
    <t>0000950170-24-096213</t>
  </si>
  <si>
    <t>Kezar Life Sciences, Inc.</t>
  </si>
  <si>
    <t>0001645873-24-000079</t>
  </si>
  <si>
    <t>MODIV INDUSTRIAL, INC.</t>
  </si>
  <si>
    <t>0001213900-24-068614</t>
  </si>
  <si>
    <t>ONDAS HOLDINGS INC.</t>
  </si>
  <si>
    <t>0000950170-24-056367</t>
  </si>
  <si>
    <t>SILVER POINT SPECIALTY LENDING FUND</t>
  </si>
  <si>
    <t>WILLSCOT HOLDINGS CORPORATION</t>
  </si>
  <si>
    <t>0001647639-24-000022</t>
  </si>
  <si>
    <t>Upstart Holdings, Inc.</t>
  </si>
  <si>
    <t>0001493152-24-023852</t>
  </si>
  <si>
    <t>AMERICAN     REBEL HOLDINGS, INC.</t>
  </si>
  <si>
    <t>0001213900-24-042992</t>
  </si>
  <si>
    <t>DATCHAT, INC.</t>
  </si>
  <si>
    <t>0001649094-24-000052</t>
  </si>
  <si>
    <t>VAXCYTE, INC.</t>
  </si>
  <si>
    <t>0001649739-24-000138</t>
  </si>
  <si>
    <t>BAYFIRST FINANCIAL CORP.</t>
  </si>
  <si>
    <t>0001649744-24-000010</t>
  </si>
  <si>
    <t>DULUTH HOLDINGS INC.</t>
  </si>
  <si>
    <t>0001649749-24-000119</t>
  </si>
  <si>
    <t>FB FINANCIAL CORPORATION</t>
  </si>
  <si>
    <t>0001558370-24-011101</t>
  </si>
  <si>
    <t>RHYTHM PHARMACEUTICALS, INC.</t>
  </si>
  <si>
    <t>0001558370-24-012234</t>
  </si>
  <si>
    <t>OUTLOOK THERAPEUTICS, INC.</t>
  </si>
  <si>
    <t>0001650132-24-000078</t>
  </si>
  <si>
    <t>Four Corners Property Trust, Inc.</t>
  </si>
  <si>
    <t>0001650164-24-000177</t>
  </si>
  <si>
    <t>Toast, Inc.</t>
  </si>
  <si>
    <t>0001650372-24-000016</t>
  </si>
  <si>
    <t>Atlassian Corporation</t>
  </si>
  <si>
    <t>0000950170-24-094010</t>
  </si>
  <si>
    <t>4D Molecular Therapeutics, Inc.</t>
  </si>
  <si>
    <t>0001650664-24-000097</t>
  </si>
  <si>
    <t>EDITAS MEDICINE, INC.</t>
  </si>
  <si>
    <t>0001437749-24-025205</t>
  </si>
  <si>
    <t>Laird Superfood, Inc.</t>
  </si>
  <si>
    <t>SiteOne Landscape Supply, Inc.</t>
  </si>
  <si>
    <t>0001651308-24-000098</t>
  </si>
  <si>
    <t>BEIGENE, LTD.</t>
  </si>
  <si>
    <t>MERUS N.V.</t>
  </si>
  <si>
    <t>0001410578-24-000738</t>
  </si>
  <si>
    <t>CHECKPOINT THERAPEUTICS, INC.</t>
  </si>
  <si>
    <t>0001651562-24-000035</t>
  </si>
  <si>
    <t>COURSERA, INC.</t>
  </si>
  <si>
    <t>0000950170-24-062478</t>
  </si>
  <si>
    <t>GENERATION INCOME PROPERTIES, INC.</t>
  </si>
  <si>
    <t>0001651944-24-000047</t>
  </si>
  <si>
    <t>DERMTECH, INC.</t>
  </si>
  <si>
    <t>0001575872-24-000927</t>
  </si>
  <si>
    <t>EOS Inc.</t>
  </si>
  <si>
    <t>0001477932-24-004997</t>
  </si>
  <si>
    <t>APPSOFT TECHNOLOGIES, INC.</t>
  </si>
  <si>
    <t>0001652044-24-000053</t>
  </si>
  <si>
    <t>Alphabet Inc.</t>
  </si>
  <si>
    <t>0000950170-24-093907</t>
  </si>
  <si>
    <t>INTELLIA THERAPEUTICS, INC.</t>
  </si>
  <si>
    <t>0001628280-24-021404</t>
  </si>
  <si>
    <t>ICHOR HOLDINGS, LTD.</t>
  </si>
  <si>
    <t>0001062993-24-017014</t>
  </si>
  <si>
    <t>SUSGLOBAL ENERGY CORP.</t>
  </si>
  <si>
    <t>0001493152-24-019390</t>
  </si>
  <si>
    <t>DSwiss, Inc.</t>
  </si>
  <si>
    <t>0001683168-24-006623</t>
  </si>
  <si>
    <t>Actuate Therapeutics, Inc.</t>
  </si>
  <si>
    <t>0001683168-24-005424</t>
  </si>
  <si>
    <t>EDGEMODE, INC.</t>
  </si>
  <si>
    <t>0000950170-24-092814</t>
  </si>
  <si>
    <t>Alector, Inc.</t>
  </si>
  <si>
    <t>0000950170-24-054449</t>
  </si>
  <si>
    <t>Runway Growth Finance Corp.</t>
  </si>
  <si>
    <t>INGEVITY CORPORATION</t>
  </si>
  <si>
    <t>0001628280-24-026458</t>
  </si>
  <si>
    <t>GITLAB INC.</t>
  </si>
  <si>
    <t>0001653653-24-000009</t>
  </si>
  <si>
    <t>RED ROCK RESORTS, INC.</t>
  </si>
  <si>
    <t>0001628280-24-021813</t>
  </si>
  <si>
    <t>Allbirds, Inc.</t>
  </si>
  <si>
    <t>0001654151-24-000018</t>
  </si>
  <si>
    <t>DECIPHERA PHARMACEUTICALS, INC.</t>
  </si>
  <si>
    <t>0001558370-24-007624</t>
  </si>
  <si>
    <t>MEDALIST DIVERSIFIED REIT, INC.</t>
  </si>
  <si>
    <t>0000950170-24-053555</t>
  </si>
  <si>
    <t>BAIN CAPITAL SPECIALTY FINANCE, INC.</t>
  </si>
  <si>
    <t>0001655210-24-000210</t>
  </si>
  <si>
    <t>BEYOND MEAT, INC.</t>
  </si>
  <si>
    <t>0001655759-24-000060</t>
  </si>
  <si>
    <t>ARVINAS, INC.</t>
  </si>
  <si>
    <t>0001655887-24-000017</t>
  </si>
  <si>
    <t>BLUE OWL CAPITAL CORPORATION II</t>
  </si>
  <si>
    <t>0001655888-24-000014</t>
  </si>
  <si>
    <t>BLUE OWL CAPITAL CORP</t>
  </si>
  <si>
    <t>0001656472-24-000063</t>
  </si>
  <si>
    <t>CRONOS GROUP INC.</t>
  </si>
  <si>
    <t>0000950170-24-056964</t>
  </si>
  <si>
    <t>Gritstone bio, Inc.</t>
  </si>
  <si>
    <t>0001493152-24-033069</t>
  </si>
  <si>
    <t>NEXT-ChemX Corporation</t>
  </si>
  <si>
    <t>0001493152-24-032907</t>
  </si>
  <si>
    <t>INTERNATIONAL LAND ALLIANCE, INC.</t>
  </si>
  <si>
    <t>0001657312-24-000025</t>
  </si>
  <si>
    <t>Verona Pharma plc</t>
  </si>
  <si>
    <t>0000950170-24-057097</t>
  </si>
  <si>
    <t>XOMETRY, INC.</t>
  </si>
  <si>
    <t>0001437749-24-026752</t>
  </si>
  <si>
    <t>SKYLINE BANKSHARES, INC.</t>
  </si>
  <si>
    <t>0001657853-24-000105</t>
  </si>
  <si>
    <t>HERTZ GLOBAL HOLDINGS, INC.</t>
  </si>
  <si>
    <t>0000950170-24-057150</t>
  </si>
  <si>
    <t>Crinetics Pharmaceuticals, Inc.</t>
  </si>
  <si>
    <t>0001017386-24-000142</t>
  </si>
  <si>
    <t>MOUNTAIN TOP PROPERTIES, INC.</t>
  </si>
  <si>
    <t>0000950170-24-093311</t>
  </si>
  <si>
    <t>Amylyx Pharmaceuticals, Inc.</t>
  </si>
  <si>
    <t>0001658566-24-000053</t>
  </si>
  <si>
    <t>PERMIAN RESOURCES CORPORATION</t>
  </si>
  <si>
    <t>0001659166-24-000108</t>
  </si>
  <si>
    <t>Fortive Corporation</t>
  </si>
  <si>
    <t>0000950170-24-058200</t>
  </si>
  <si>
    <t>Iterum Therapeutics plc</t>
  </si>
  <si>
    <t>0001437749-24-026367</t>
  </si>
  <si>
    <t>Moleculin Biotech, Inc.</t>
  </si>
  <si>
    <t>Okta, Inc.</t>
  </si>
  <si>
    <t>0001660280-24-000073</t>
  </si>
  <si>
    <t>TENABLE HOLDINGS, INC.</t>
  </si>
  <si>
    <t>0000950170-24-096669</t>
  </si>
  <si>
    <t>Verrica Pharmaceuticals Inc.</t>
  </si>
  <si>
    <t>0001660734-24-000027</t>
  </si>
  <si>
    <t>Triton International Limited</t>
  </si>
  <si>
    <t>0001654954-24-006942</t>
  </si>
  <si>
    <t>TPT Global Tech, Inc.</t>
  </si>
  <si>
    <t>0001493152-24-018225</t>
  </si>
  <si>
    <t>enVVeno Medical Corporation</t>
  </si>
  <si>
    <t>0001558370-24-010605</t>
  </si>
  <si>
    <t>NextCure, Inc.</t>
  </si>
  <si>
    <t>0000950170-24-057050</t>
  </si>
  <si>
    <t>ORGANOGENESIS HOLDINGS INC.</t>
  </si>
  <si>
    <t>0001661306-24-000025</t>
  </si>
  <si>
    <t>Hancock Park Corporate Income, Inc.</t>
  </si>
  <si>
    <t>0001661458-24-000011</t>
  </si>
  <si>
    <t>HIGHLANDS REIT, INC.</t>
  </si>
  <si>
    <t>0000950170-24-090747</t>
  </si>
  <si>
    <t>Poseida Therapeutics, Inc.</t>
  </si>
  <si>
    <t>0001683168-24-003690</t>
  </si>
  <si>
    <t>SATIVUS TECH CORP.</t>
  </si>
  <si>
    <t>0001558370-24-012252</t>
  </si>
  <si>
    <t>StartEngine Crowdfunding, Inc.</t>
  </si>
  <si>
    <t>0000950170-24-093305</t>
  </si>
  <si>
    <t>Q32 Bio Inc.</t>
  </si>
  <si>
    <t>0001683168-24-003704</t>
  </si>
  <si>
    <t>Grom Social Enterprises, Inc.</t>
  </si>
  <si>
    <t>C4 Therapeutics, Inc.</t>
  </si>
  <si>
    <t>0001410578-24-001312</t>
  </si>
  <si>
    <t>KULR Technology Group, Inc.</t>
  </si>
  <si>
    <t>0000950170-24-058201</t>
  </si>
  <si>
    <t>Quince Therapeutics, Inc.</t>
  </si>
  <si>
    <t>0001662972-24-000061</t>
  </si>
  <si>
    <t>Blackstone Real Estate Income Trust, Inc.</t>
  </si>
  <si>
    <t>0001662991-24-000143</t>
  </si>
  <si>
    <t>SEZZLE INC.</t>
  </si>
  <si>
    <t>0001664710-24-000068</t>
  </si>
  <si>
    <t>KEROS THERAPEUTICS, INC.</t>
  </si>
  <si>
    <t>0001493152-24-015642</t>
  </si>
  <si>
    <t>MBC FUNDING II CORP.</t>
  </si>
  <si>
    <t>0001628280-24-022743</t>
  </si>
  <si>
    <t>PHUNWARE, INC.</t>
  </si>
  <si>
    <t>0001665918-24-000135</t>
  </si>
  <si>
    <t>US FOODS HOLDING CORP.</t>
  </si>
  <si>
    <t>0001628280-24-020846</t>
  </si>
  <si>
    <t>BIOVENTUS INC.</t>
  </si>
  <si>
    <t>0001666071-24-000094</t>
  </si>
  <si>
    <t>CARDLYTICS, INC.</t>
  </si>
  <si>
    <t>0001666134-24-000013</t>
  </si>
  <si>
    <t>BlackLine, Inc.</t>
  </si>
  <si>
    <t>0001666138-24-000069</t>
  </si>
  <si>
    <t>Atkore Inc.</t>
  </si>
  <si>
    <t>0000950170-24-059817</t>
  </si>
  <si>
    <t>Cantor Fitzgerald Income Trust, Inc.</t>
  </si>
  <si>
    <t>0000950170-24-090737</t>
  </si>
  <si>
    <t>Claros Mortgage Trust, Inc.</t>
  </si>
  <si>
    <t>0001666700-24-000013</t>
  </si>
  <si>
    <t>DUPONT DE NEMOURS, INC.</t>
  </si>
  <si>
    <t>0001667011-24-000016</t>
  </si>
  <si>
    <t>Arteris, Inc.</t>
  </si>
  <si>
    <t>0001213900-24-051744</t>
  </si>
  <si>
    <t>ZEDGE, INC.</t>
  </si>
  <si>
    <t>0001493152-24-033177</t>
  </si>
  <si>
    <t>DIGITAL BRANDS GROUP, INC.</t>
  </si>
  <si>
    <t>0001437749-24-016116</t>
  </si>
  <si>
    <t>UroGen Pharma Ltd.</t>
  </si>
  <si>
    <t>0001552781-24-000342</t>
  </si>
  <si>
    <t>BANCORP 34, INC.</t>
  </si>
  <si>
    <t>0001668397-24-000168</t>
  </si>
  <si>
    <t>Medpace Holdings, Inc.</t>
  </si>
  <si>
    <t>0001640334-24-001044</t>
  </si>
  <si>
    <t>GSG GROUP INC.</t>
  </si>
  <si>
    <t>0001628280-24-021799</t>
  </si>
  <si>
    <t>PetIQ, Inc.</t>
  </si>
  <si>
    <t>KINSALE CAPITAL GROUP, INC.</t>
  </si>
  <si>
    <t>0001558370-24-006649</t>
  </si>
  <si>
    <t>CAMPING WORLD HOLDINGS, INC.</t>
  </si>
  <si>
    <t>0000950170-24-051247</t>
  </si>
  <si>
    <t>Donnelley Financial Solutions, Inc.</t>
  </si>
  <si>
    <t>Frontier Group Holdings, Inc.</t>
  </si>
  <si>
    <t>0001670541-24-000072</t>
  </si>
  <si>
    <t>Adient plc</t>
  </si>
  <si>
    <t>0001670592-24-000020</t>
  </si>
  <si>
    <t>YETI Holdings, Inc.</t>
  </si>
  <si>
    <t>0001671284-24-000052</t>
  </si>
  <si>
    <t>NEUEHEALTH, INC.</t>
  </si>
  <si>
    <t>0001410578-24-001216</t>
  </si>
  <si>
    <t>QUOIN PHARMACEUTICALS LTD.</t>
  </si>
  <si>
    <t>0000950170-24-093366</t>
  </si>
  <si>
    <t>APTEVO THERAPEUTICS INC.</t>
  </si>
  <si>
    <t>0000950170-24-056967</t>
  </si>
  <si>
    <t>ARS Pharmaceuticals, Inc.</t>
  </si>
  <si>
    <t>0001140361-24-024784</t>
  </si>
  <si>
    <t>Immunocore Holdings plc</t>
  </si>
  <si>
    <t>0001671933-24-000090</t>
  </si>
  <si>
    <t>TRADE DESK, INC.</t>
  </si>
  <si>
    <t>0001410578-24-000979</t>
  </si>
  <si>
    <t>ANGEL STUDIOS, INC.</t>
  </si>
  <si>
    <t>0001672013-24-000027</t>
  </si>
  <si>
    <t>Acushnet Holdings Corp.</t>
  </si>
  <si>
    <t>0000950170-24-096239</t>
  </si>
  <si>
    <t>ENLIVEN THERAPEUTICS, INC.</t>
  </si>
  <si>
    <t>0001628280-24-037193</t>
  </si>
  <si>
    <t>ABSCI CORP</t>
  </si>
  <si>
    <t>0001437749-24-015917</t>
  </si>
  <si>
    <t>Canterbury Park Holding Corp</t>
  </si>
  <si>
    <t>0000950170-24-055031</t>
  </si>
  <si>
    <t>Yum China Holdings, Inc.</t>
  </si>
  <si>
    <t>0001493152-24-022868</t>
  </si>
  <si>
    <t>Lottery.com Inc.</t>
  </si>
  <si>
    <t>0001493152-24-030644</t>
  </si>
  <si>
    <t>ATLANTIS GLORY INC.</t>
  </si>
  <si>
    <t>0000950170-24-093354</t>
  </si>
  <si>
    <t>RAPT Therapeutics, Inc.</t>
  </si>
  <si>
    <t>0001673985-24-000107</t>
  </si>
  <si>
    <t>AdvanSix Inc.</t>
  </si>
  <si>
    <t>Vertiv Holdings Co</t>
  </si>
  <si>
    <t>0001628280-24-022140</t>
  </si>
  <si>
    <t>Hilton Grand Vacations Inc.</t>
  </si>
  <si>
    <t>0001213900-24-086944</t>
  </si>
  <si>
    <t>SCWORX CORP.</t>
  </si>
  <si>
    <t>0001674335-24-000127</t>
  </si>
  <si>
    <t>JELD-WEN Holding, Inc.</t>
  </si>
  <si>
    <t>0001674356-24-000027</t>
  </si>
  <si>
    <t>Terra Property Trust, Inc.</t>
  </si>
  <si>
    <t>0000950170-24-090746</t>
  </si>
  <si>
    <t>CRISPR THERAPEUTICS AG</t>
  </si>
  <si>
    <t>0000950170-24-056919</t>
  </si>
  <si>
    <t>Goldman Sachs Private Middle Market Credit LLC</t>
  </si>
  <si>
    <t>0001674910-24-000096</t>
  </si>
  <si>
    <t>VALVOLINE INC.</t>
  </si>
  <si>
    <t>0000950170-24-052485</t>
  </si>
  <si>
    <t>FULGENT GENETICS, INC.</t>
  </si>
  <si>
    <t>0000950170-24-052174</t>
  </si>
  <si>
    <t>ALCOA CORP</t>
  </si>
  <si>
    <t>0001477932-24-002260</t>
  </si>
  <si>
    <t>SHIFTPIXY, INC.</t>
  </si>
  <si>
    <t>0001675644-24-000077</t>
  </si>
  <si>
    <t>FVCBankcorp, Inc.</t>
  </si>
  <si>
    <t>0001213900-24-048363</t>
  </si>
  <si>
    <t>NUTRIBAND INC.</t>
  </si>
  <si>
    <t>0001213900-24-076570</t>
  </si>
  <si>
    <t>SS INNOVATIONS INTERNATIONAL, INC.</t>
  </si>
  <si>
    <t>IN-</t>
  </si>
  <si>
    <t>0001676238-24-000103</t>
  </si>
  <si>
    <t>Braze, Inc.</t>
  </si>
  <si>
    <t>0000950170-24-054466</t>
  </si>
  <si>
    <t>IDEAYA Biosciences, Inc.</t>
  </si>
  <si>
    <t>0001558370-24-007612</t>
  </si>
  <si>
    <t>Innovative Industrial Properties, Inc.</t>
  </si>
  <si>
    <t>0000950170-24-095065</t>
  </si>
  <si>
    <t>PRELUDE THERAPEUTICS INC</t>
  </si>
  <si>
    <t>0001213900-24-045238</t>
  </si>
  <si>
    <t>CAMBELL INTERNATIONAL HOLDING CORP.</t>
  </si>
  <si>
    <t>0001558370-24-007204</t>
  </si>
  <si>
    <t>INTERNATIONAL SEAWAYS, INC.</t>
  </si>
  <si>
    <t>0001558370-24-008492</t>
  </si>
  <si>
    <t>CHICKEN SOUP FOR THE SOUL ENTERTAINMENT, INC.</t>
  </si>
  <si>
    <t>0001679268-24-000026</t>
  </si>
  <si>
    <t>Mammoth Energy Services, Inc.</t>
  </si>
  <si>
    <t>0001679273-24-000021</t>
  </si>
  <si>
    <t>LAMB WESTON HOLDINGS, INC.</t>
  </si>
  <si>
    <t>0001679363-24-000046</t>
  </si>
  <si>
    <t>MORPHIC HOLDING, INC.</t>
  </si>
  <si>
    <t>0001679688-24-000066</t>
  </si>
  <si>
    <t>DigitalBridge Group, Inc.</t>
  </si>
  <si>
    <t>0001679788-24-000089</t>
  </si>
  <si>
    <t>Coinbase Global, Inc.</t>
  </si>
  <si>
    <t>0001558370-24-008283</t>
  </si>
  <si>
    <t>MUSTANG BIO, INC.</t>
  </si>
  <si>
    <t>0001680062-24-000012</t>
  </si>
  <si>
    <t>ACM Research, Inc.</t>
  </si>
  <si>
    <t>0001393905-24-000125</t>
  </si>
  <si>
    <t>CANNABIS SUISSE CORP.</t>
  </si>
  <si>
    <t>0001213900-24-068949</t>
  </si>
  <si>
    <t>HealthLynked Corp.</t>
  </si>
  <si>
    <t>ProPetro Holding Corp.</t>
  </si>
  <si>
    <t>0001680367-24-000040</t>
  </si>
  <si>
    <t>Shattuck Labs, Inc.</t>
  </si>
  <si>
    <t>0001628280-24-036248</t>
  </si>
  <si>
    <t>SENESTECH, INC.</t>
  </si>
  <si>
    <t>0001410578-24-001197</t>
  </si>
  <si>
    <t>Sterling Bancorp, Inc.</t>
  </si>
  <si>
    <t>0000950170-24-088238</t>
  </si>
  <si>
    <t>FULCRUM THERAPEUTICS, INC.</t>
  </si>
  <si>
    <t>0001680873-24-000029</t>
  </si>
  <si>
    <t>HF FOODS GROUP INC.</t>
  </si>
  <si>
    <t>0001193125-24-200609</t>
  </si>
  <si>
    <t>TECTONIC THERAPEUTIC, INC.</t>
  </si>
  <si>
    <t>0001174947-24-000723</t>
  </si>
  <si>
    <t>NI HOLDINGS, INC.</t>
  </si>
  <si>
    <t>0001681459-24-000099</t>
  </si>
  <si>
    <t>TechnipFMC plc</t>
  </si>
  <si>
    <t>0001681622-24-000059</t>
  </si>
  <si>
    <t>VAREX IMAGING CORPORATION</t>
  </si>
  <si>
    <t>0001654954-24-006243</t>
  </si>
  <si>
    <t>ENDRA LIFE SCIENCES INC.</t>
  </si>
  <si>
    <t>0001437749-24-026410</t>
  </si>
  <si>
    <t>ICC Holdings, Inc.</t>
  </si>
  <si>
    <t>0001410578-24-001446</t>
  </si>
  <si>
    <t>WISA Technologies, Inc.</t>
  </si>
  <si>
    <t>0001410578-24-000719</t>
  </si>
  <si>
    <t>SACHEM CAPITAL CORP.</t>
  </si>
  <si>
    <t>0001477932-24-004870</t>
  </si>
  <si>
    <t>Reliant Holdings, Inc.</t>
  </si>
  <si>
    <t>0001410578-24-001425</t>
  </si>
  <si>
    <t>EYENOVIA, INC.</t>
  </si>
  <si>
    <t>VERRA MOBILITY CORPORATION</t>
  </si>
  <si>
    <t>0001682852-24-000027</t>
  </si>
  <si>
    <t>Moderna, Inc.</t>
  </si>
  <si>
    <t>0001477932-24-004190</t>
  </si>
  <si>
    <t>Token Communities Ltd.</t>
  </si>
  <si>
    <t>0000950170-24-058657</t>
  </si>
  <si>
    <t>Spruce Biosciences, Inc.</t>
  </si>
  <si>
    <t>0000950170-24-093890</t>
  </si>
  <si>
    <t>Cars.com Inc.</t>
  </si>
  <si>
    <t>0001683695-24-000097</t>
  </si>
  <si>
    <t>INTERNATIONAL MONEY EXPRESS, INC.</t>
  </si>
  <si>
    <t>0001558370-24-007597</t>
  </si>
  <si>
    <t>Zomedica Corp.</t>
  </si>
  <si>
    <t>0001684682-24-000015</t>
  </si>
  <si>
    <t>CNL STRATEGIC CAPITAL, LLC</t>
  </si>
  <si>
    <t>0001685040-24-000019</t>
  </si>
  <si>
    <t>Brighthouse Financial, Inc.</t>
  </si>
  <si>
    <t>0001829126-24-005603</t>
  </si>
  <si>
    <t>MOVEIX INC</t>
  </si>
  <si>
    <t>0001493152-24-019257</t>
  </si>
  <si>
    <t>Motus GI Holdings, Inc.</t>
  </si>
  <si>
    <t>0001558370-24-011591</t>
  </si>
  <si>
    <t>Ramaco Resources, Inc.</t>
  </si>
  <si>
    <t>0000950170-24-103102</t>
  </si>
  <si>
    <t>REV Group, Inc.</t>
  </si>
  <si>
    <t>0001687229-24-000028</t>
  </si>
  <si>
    <t>Invitation Homes Inc.</t>
  </si>
  <si>
    <t>0001493152-24-030129</t>
  </si>
  <si>
    <t>FORGE INNOVATION DEVELOPMENT CORP.</t>
  </si>
  <si>
    <t>0001493152-24-021908</t>
  </si>
  <si>
    <t>ZEUUS, INC.</t>
  </si>
  <si>
    <t>J.Jill, Inc.</t>
  </si>
  <si>
    <t>0001493152-24-020676</t>
  </si>
  <si>
    <t>THE CRYPTO COMPANY</t>
  </si>
  <si>
    <t>0001688757-24-000076</t>
  </si>
  <si>
    <t>Establishment Labs Holdings Inc.</t>
  </si>
  <si>
    <t>CR-</t>
  </si>
  <si>
    <t>0001477932-24-004978</t>
  </si>
  <si>
    <t>QRONS INC.</t>
  </si>
  <si>
    <t>0001689375-24-000047</t>
  </si>
  <si>
    <t>ENTRADA THERAPEUTICS, INC.</t>
  </si>
  <si>
    <t>0001689548-24-000088</t>
  </si>
  <si>
    <t>PRAXIS PRECISION MEDICINES, INC.</t>
  </si>
  <si>
    <t>0001628280-24-023152</t>
  </si>
  <si>
    <t>Southern States Bancshares, Inc.</t>
  </si>
  <si>
    <t>0001558370-24-006272</t>
  </si>
  <si>
    <t>JBG SMITH PROPERTIES</t>
  </si>
  <si>
    <t>0000950170-24-057892</t>
  </si>
  <si>
    <t>INPOINT COMMERCIAL REAL ESTATE INCOME, INC.</t>
  </si>
  <si>
    <t>0001213900-24-067741</t>
  </si>
  <si>
    <t>180 LIFE SCIENCES CORP</t>
  </si>
  <si>
    <t>0001731122-24-001220</t>
  </si>
  <si>
    <t>BioCrude Technologies USA, Inc.</t>
  </si>
  <si>
    <t>0001493152-24-018224</t>
  </si>
  <si>
    <t>GRANITESHARES GOLD TRUST</t>
  </si>
  <si>
    <t>0001628280-24-023516</t>
  </si>
  <si>
    <t>FS Credit Real Estate Income Trust, Inc.</t>
  </si>
  <si>
    <t>0000950170-24-093948</t>
  </si>
  <si>
    <t>Dianthus Therapeutics, Inc.</t>
  </si>
  <si>
    <t>0001690680-24-000015</t>
  </si>
  <si>
    <t>NEWMARK GROUP, INC.</t>
  </si>
  <si>
    <t>0001690820-24-000165</t>
  </si>
  <si>
    <t>CARVANA CO.</t>
  </si>
  <si>
    <t>0001493152-24-018269</t>
  </si>
  <si>
    <t>GRANITESHARES PLATINUM TRUST</t>
  </si>
  <si>
    <t>0001691303-24-000015</t>
  </si>
  <si>
    <t>Warrior Met Coal, Inc.</t>
  </si>
  <si>
    <t>Lemonade, Inc.</t>
  </si>
  <si>
    <t>0000950170-24-097101</t>
  </si>
  <si>
    <t>STRYVE FOODS, INC.</t>
  </si>
  <si>
    <t>0001692063-24-000121</t>
  </si>
  <si>
    <t>Schneider National, Inc.</t>
  </si>
  <si>
    <t>0001692115-24-000080</t>
  </si>
  <si>
    <t>Southwest Gas Holdings, Inc.</t>
  </si>
  <si>
    <t>0000950170-24-052429</t>
  </si>
  <si>
    <t>Velocity Financial, Inc.</t>
  </si>
  <si>
    <t>0001692412-24-000121</t>
  </si>
  <si>
    <t>Playa Hotels &amp; Resorts N.V.</t>
  </si>
  <si>
    <t>0001493152-24-030758</t>
  </si>
  <si>
    <t>CO-DIAGNOSTICS, INC.</t>
  </si>
  <si>
    <t>0001437749-24-014375</t>
  </si>
  <si>
    <t>NCS Multistage Holdings, Inc.</t>
  </si>
  <si>
    <t>0001692787-24-000034</t>
  </si>
  <si>
    <t>KINETIK HOLDINGS INC.</t>
  </si>
  <si>
    <t>0001692819-24-000033</t>
  </si>
  <si>
    <t>Vistra Corp.</t>
  </si>
  <si>
    <t>0001692951-24-000080</t>
  </si>
  <si>
    <t>Cottonwood Communities, Inc.</t>
  </si>
  <si>
    <t>0000950170-24-091230</t>
  </si>
  <si>
    <t>INOZYME PHARMA, INC.</t>
  </si>
  <si>
    <t>0001558370-24-006399</t>
  </si>
  <si>
    <t>SELECT WATER SOLUTIONS, INC.</t>
  </si>
  <si>
    <t>Cheniere Corpus Christi Holdings, LLC</t>
  </si>
  <si>
    <t>0001437749-24-016165</t>
  </si>
  <si>
    <t>MainStreet Bancshares, Inc.</t>
  </si>
  <si>
    <t>Greenlit Ventures Inc.</t>
  </si>
  <si>
    <t>0001694028-24-000031</t>
  </si>
  <si>
    <t>Liberty Energy Inc.</t>
  </si>
  <si>
    <t>0001694426-24-000060</t>
  </si>
  <si>
    <t>DELEK US HOLDINGS, INC.</t>
  </si>
  <si>
    <t>0001185185-24-000515</t>
  </si>
  <si>
    <t>ROYALE ENERGY, INC.</t>
  </si>
  <si>
    <t>0001628280-24-023075</t>
  </si>
  <si>
    <t>Hydrofarm Holdings Group, Inc.</t>
  </si>
  <si>
    <t>0001493152-24-031106</t>
  </si>
  <si>
    <t>THE GREATER CANNABIS COMPANY, INC.</t>
  </si>
  <si>
    <t>0001214659-24-009649</t>
  </si>
  <si>
    <t>KORTH DIRECT MORTGAGE INC.</t>
  </si>
  <si>
    <t>0001477932-24-003700</t>
  </si>
  <si>
    <t>KINDCARD, INC.</t>
  </si>
  <si>
    <t>0001185185-24-000803</t>
  </si>
  <si>
    <t>Energy Resources 12, L.P.</t>
  </si>
  <si>
    <t>0001477932-24-006329</t>
  </si>
  <si>
    <t>Kinetic Group Inc.</t>
  </si>
  <si>
    <t>0001477932-24-006213</t>
  </si>
  <si>
    <t>CRONA CORP.</t>
  </si>
  <si>
    <t>0001697500-24-000031</t>
  </si>
  <si>
    <t>SOLARIS OILFIELD INFRASTRUCTURE, INC.</t>
  </si>
  <si>
    <t>0001558370-24-011200</t>
  </si>
  <si>
    <t>Applied Therapeutics, Inc.</t>
  </si>
  <si>
    <t>0001437749-24-017081</t>
  </si>
  <si>
    <t>Rekor Systems, Inc.</t>
  </si>
  <si>
    <t>0001437749-24-016592</t>
  </si>
  <si>
    <t>Farmers &amp; Merchants Bancshares, Inc.</t>
  </si>
  <si>
    <t>0001698530-24-000089</t>
  </si>
  <si>
    <t>EXICURE, INC.</t>
  </si>
  <si>
    <t>0001698990-24-000024</t>
  </si>
  <si>
    <t>Magnolia Oil &amp; Gas Corp</t>
  </si>
  <si>
    <t>Accel Entertainment, Inc.</t>
  </si>
  <si>
    <t>0001628280-24-036965</t>
  </si>
  <si>
    <t>GRAIL, Inc.</t>
  </si>
  <si>
    <t>0001699039-24-000067</t>
  </si>
  <si>
    <t>RANGER ENERGY SERVICES, INC.</t>
  </si>
  <si>
    <t>0001699136-24-000065</t>
  </si>
  <si>
    <t>Cactus, Inc.</t>
  </si>
  <si>
    <t>0001628280-24-020267</t>
  </si>
  <si>
    <t>Ingersoll Rand Inc.</t>
  </si>
  <si>
    <t>0000950170-24-093343</t>
  </si>
  <si>
    <t>PMV Pharmaceuticals, Inc.</t>
  </si>
  <si>
    <t>0000950170-24-054610</t>
  </si>
  <si>
    <t>CONFLUENT, INC.</t>
  </si>
  <si>
    <t>0001493152-24-014320</t>
  </si>
  <si>
    <t>EvoAir Holdings Inc.</t>
  </si>
  <si>
    <t>0001185185-24-000533</t>
  </si>
  <si>
    <t>Vado Corp.</t>
  </si>
  <si>
    <t>0001558370-24-011588</t>
  </si>
  <si>
    <t>WideOpenWest, Inc.</t>
  </si>
  <si>
    <t>0000950170-24-060400</t>
  </si>
  <si>
    <t>SPERO THERAPEUTICS, INC.</t>
  </si>
  <si>
    <t>0001701478-24-000009</t>
  </si>
  <si>
    <t>Azitra, Inc.</t>
  </si>
  <si>
    <t>0001701541-24-000030</t>
  </si>
  <si>
    <t>BLACK DIAMOND THERAPEUTICS, INC.</t>
  </si>
  <si>
    <t>0001701605-24-000067</t>
  </si>
  <si>
    <t>Baker Hughes Company</t>
  </si>
  <si>
    <t>ALTAIR ENGINEERING INC.</t>
  </si>
  <si>
    <t>0001701756-24-000095</t>
  </si>
  <si>
    <t>Sadot Group Inc.</t>
  </si>
  <si>
    <t>0001628280-24-028040</t>
  </si>
  <si>
    <t>THE LOVESAC COMPANY</t>
  </si>
  <si>
    <t>0001213900-24-068862</t>
  </si>
  <si>
    <t>VERSUS SYSTEMS INC.</t>
  </si>
  <si>
    <t>0001702510-24-000033</t>
  </si>
  <si>
    <t>Carlyle Credit Solutions, Inc.</t>
  </si>
  <si>
    <t>0001702744-24-000045</t>
  </si>
  <si>
    <t>The Simply Good Foods Company</t>
  </si>
  <si>
    <t>0000950170-24-052982</t>
  </si>
  <si>
    <t>Byline Bancorp, Inc.</t>
  </si>
  <si>
    <t>0001628280-24-034226</t>
  </si>
  <si>
    <t>Altice USA, Inc.</t>
  </si>
  <si>
    <t>0001437749-24-029935</t>
  </si>
  <si>
    <t>Wrap Technologies, Inc.</t>
  </si>
  <si>
    <t>0001703056-24-000051</t>
  </si>
  <si>
    <t>ADT Inc.</t>
  </si>
  <si>
    <t>0001628280-24-035248</t>
  </si>
  <si>
    <t>AbCellera Biologics Inc.</t>
  </si>
  <si>
    <t>0001493152-24-032004</t>
  </si>
  <si>
    <t>VIVIC CORP.</t>
  </si>
  <si>
    <t>0001017386-24-000150</t>
  </si>
  <si>
    <t>SecureTech Innovations, Inc.</t>
  </si>
  <si>
    <t>0001703644-24-000125</t>
  </si>
  <si>
    <t>GRANITE POINT MORTGAGE TRUST INC.</t>
  </si>
  <si>
    <t>0000950170-24-096189</t>
  </si>
  <si>
    <t>Korro Bio, Inc.</t>
  </si>
  <si>
    <t>0001437749-24-019495</t>
  </si>
  <si>
    <t>CONCRETE PUMPING HOLDINGS, INC.</t>
  </si>
  <si>
    <t>0001213900-24-069110</t>
  </si>
  <si>
    <t>Bluejay Diagnostics, Inc.</t>
  </si>
  <si>
    <t>0001628280-24-035231</t>
  </si>
  <si>
    <t>ZAI LAB LIMITED</t>
  </si>
  <si>
    <t>0001704711-24-000079</t>
  </si>
  <si>
    <t>FUNKO, INC.</t>
  </si>
  <si>
    <t>ALPHA METALLURGICAL RESOURCES, INC.</t>
  </si>
  <si>
    <t>0001704720-24-000052</t>
  </si>
  <si>
    <t>CANNAE HOLDINGS, INC.</t>
  </si>
  <si>
    <t>0001213900-24-070760</t>
  </si>
  <si>
    <t>BANTEC, INC.</t>
  </si>
  <si>
    <t>0001628280-24-020074</t>
  </si>
  <si>
    <t>FAT Brands Inc.</t>
  </si>
  <si>
    <t>0000950170-24-053053</t>
  </si>
  <si>
    <t>Grayscale Ethereum Classic Trust (ETC)</t>
  </si>
  <si>
    <t>0001705696-24-000080</t>
  </si>
  <si>
    <t>VICI Properties Inc.</t>
  </si>
  <si>
    <t>0001628280-24-022280</t>
  </si>
  <si>
    <t>Cibus, Inc.</t>
  </si>
  <si>
    <t>0001705873-24-000049</t>
  </si>
  <si>
    <t>Berry Corporation (bry)</t>
  </si>
  <si>
    <t>0001628280-24-020299</t>
  </si>
  <si>
    <t>Vir Biotechnology, Inc.</t>
  </si>
  <si>
    <t>0001213900-24-045158</t>
  </si>
  <si>
    <t>COSMOS GROUP HOLDINGS INC.</t>
  </si>
  <si>
    <t>0001706524-24-000028</t>
  </si>
  <si>
    <t>URBAN-GRO, INC.</t>
  </si>
  <si>
    <t>0001706946-24-000176</t>
  </si>
  <si>
    <t>Virgin Galactic Holdings, Inc.</t>
  </si>
  <si>
    <t>0001213900-24-070751</t>
  </si>
  <si>
    <t>REBORN COFFEE, INC.</t>
  </si>
  <si>
    <t>0001140361-24-026231</t>
  </si>
  <si>
    <t>CENNTRO INC.</t>
  </si>
  <si>
    <t>0001707925-24-000090</t>
  </si>
  <si>
    <t>LINDE PLC</t>
  </si>
  <si>
    <t>0001708035-24-000101</t>
  </si>
  <si>
    <t>Ecovyst Inc.</t>
  </si>
  <si>
    <t>0001708055-24-000007</t>
  </si>
  <si>
    <t>RIBBON COMMUNICATIONS INC.</t>
  </si>
  <si>
    <t>0001213900-24-067700</t>
  </si>
  <si>
    <t>VIRPAX PHARMACEUTICALS, INC.</t>
  </si>
  <si>
    <t>0001213900-24-045259</t>
  </si>
  <si>
    <t>ALLIED GAMING &amp; ENTERTAINMENT INC.</t>
  </si>
  <si>
    <t>0001558370-24-007987</t>
  </si>
  <si>
    <t>Elutia Inc.</t>
  </si>
  <si>
    <t>0001493152-24-019248</t>
  </si>
  <si>
    <t>Serina Therapeutics, Inc.</t>
  </si>
  <si>
    <t>0001193125-24-135176</t>
  </si>
  <si>
    <t>GOLDMAN SACHS PHYSICAL GOLD ETF</t>
  </si>
  <si>
    <t>HAMILTON BEACH BRANDS HOLDING COMPANY</t>
  </si>
  <si>
    <t>0001709442-24-000025</t>
  </si>
  <si>
    <t>FIRSTSUN CAPITAL BANCORP</t>
  </si>
  <si>
    <t>CUSTOM TRUCK ONE SOURCE, INC.</t>
  </si>
  <si>
    <t>0001558370-24-011477</t>
  </si>
  <si>
    <t>Edgewise Therapeutics, Inc.</t>
  </si>
  <si>
    <t>0001710155-24-000052</t>
  </si>
  <si>
    <t>National Vision Holdings, Inc.</t>
  </si>
  <si>
    <t>0001437749-24-015697</t>
  </si>
  <si>
    <t>Eton Pharmaceuticals, Inc.</t>
  </si>
  <si>
    <t>0001710366-24-000018</t>
  </si>
  <si>
    <t>CONSOL Energy Inc</t>
  </si>
  <si>
    <t>0001558370-24-008074</t>
  </si>
  <si>
    <t>John Marshall Bancorp, Inc.</t>
  </si>
  <si>
    <t>0001493152-24-025203</t>
  </si>
  <si>
    <t>PINEAPPLE EXPRESS CANNABIS COMPANY</t>
  </si>
  <si>
    <t>0001711269-24-000013</t>
  </si>
  <si>
    <t>EVERGY, INC.</t>
  </si>
  <si>
    <t>0001711279-24-000040</t>
  </si>
  <si>
    <t>Krystal Biotech, Inc.</t>
  </si>
  <si>
    <t>INMUNE BIO INC.</t>
  </si>
  <si>
    <t>0001213900-24-067131</t>
  </si>
  <si>
    <t>Hoth Therapeutics, Inc.</t>
  </si>
  <si>
    <t>0001628280-24-022496</t>
  </si>
  <si>
    <t>Nuveen Global Cities REIT, Inc.</t>
  </si>
  <si>
    <t>0000950170-24-058750</t>
  </si>
  <si>
    <t>Starwood Real Estate Income Trust, Inc.</t>
  </si>
  <si>
    <t>0001558370-24-010883</t>
  </si>
  <si>
    <t>Akoya Biosciences, Inc.</t>
  </si>
  <si>
    <t>0001712184-24-000153</t>
  </si>
  <si>
    <t>Liberty Latin America Ltd.</t>
  </si>
  <si>
    <t>0001558370-24-011323</t>
  </si>
  <si>
    <t>TARGET HOSPITALITY CORP.</t>
  </si>
  <si>
    <t>RANPAK HOLDINGS CORP.</t>
  </si>
  <si>
    <t>0001493152-24-019615</t>
  </si>
  <si>
    <t>bioAffinity Technologies, Inc.</t>
  </si>
  <si>
    <t>0001493152-24-019120</t>
  </si>
  <si>
    <t>AGAPE ATP CORPORATION</t>
  </si>
  <si>
    <t>0001713407-24-000045</t>
  </si>
  <si>
    <t>Brookfield Real Estate Income Trust Inc.</t>
  </si>
  <si>
    <t>0001713445-24-000006</t>
  </si>
  <si>
    <t>Reddit, Inc.</t>
  </si>
  <si>
    <t>0001713683-24-000075</t>
  </si>
  <si>
    <t>ZSCALER, INC.</t>
  </si>
  <si>
    <t>0001213900-24-052918</t>
  </si>
  <si>
    <t>RAFAEL HOLDINGS, INC.</t>
  </si>
  <si>
    <t>0001714899-24-000121</t>
  </si>
  <si>
    <t>Denali Therapeutics Inc.</t>
  </si>
  <si>
    <t>0001715268-24-000036</t>
  </si>
  <si>
    <t>Golub Capital BDC 3, Inc.</t>
  </si>
  <si>
    <t>0001640334-24-000994</t>
  </si>
  <si>
    <t>BODY AND MIND INC.</t>
  </si>
  <si>
    <t>0001410578-24-001410</t>
  </si>
  <si>
    <t>ELECTROMEDICAL TECHNOLOGIES, INC.</t>
  </si>
  <si>
    <t>0000950170-24-056554</t>
  </si>
  <si>
    <t>TCW DIRECT LENDING VII LLC</t>
  </si>
  <si>
    <t>0001493152-24-032240</t>
  </si>
  <si>
    <t>Vivos Therapeutics, Inc.</t>
  </si>
  <si>
    <t>0001716583-24-000122</t>
  </si>
  <si>
    <t>Hyzon Motors Inc.</t>
  </si>
  <si>
    <t>0001654954-24-010502</t>
  </si>
  <si>
    <t>Catheter Precision, Inc.</t>
  </si>
  <si>
    <t>0001717307-24-000018</t>
  </si>
  <si>
    <t>INDUSTRIAL LOGISTICS PROPERTIES TRUST</t>
  </si>
  <si>
    <t>0001717310-24-000023</t>
  </si>
  <si>
    <t>Venture Lending &amp; Leasing IX, Inc.</t>
  </si>
  <si>
    <t>0001717547-24-000044</t>
  </si>
  <si>
    <t>BRIGHTSPIRE CAPITAL, INC.</t>
  </si>
  <si>
    <t>0001477932-24-002958</t>
  </si>
  <si>
    <t>BT BRANDS, INC.</t>
  </si>
  <si>
    <t>0001718227-24-000061</t>
  </si>
  <si>
    <t>Construction Partners, Inc.</t>
  </si>
  <si>
    <t>0001718405-24-000025</t>
  </si>
  <si>
    <t>HYCROFT MINING HOLDING CORPORATION</t>
  </si>
  <si>
    <t>0001520138-24-000162</t>
  </si>
  <si>
    <t>AXIL Brands, Inc.</t>
  </si>
  <si>
    <t>0001718512-24-000036</t>
  </si>
  <si>
    <t>Gates Industrial Corporation plc</t>
  </si>
  <si>
    <t>0001718939-24-000085</t>
  </si>
  <si>
    <t>T Stamp Inc</t>
  </si>
  <si>
    <t>0001437749-24-026847</t>
  </si>
  <si>
    <t>NRX Pharmaceuticals, Inc.</t>
  </si>
  <si>
    <t>0000950170-24-095777</t>
  </si>
  <si>
    <t>MEREO BIOPHARMA GROUP PLC</t>
  </si>
  <si>
    <t>0001213900-24-037136</t>
  </si>
  <si>
    <t>ALLEGRO MERGER CORP.</t>
  </si>
  <si>
    <t>0000950170-24-055855</t>
  </si>
  <si>
    <t>RED VIOLET, INC.</t>
  </si>
  <si>
    <t>0000950170-24-053048</t>
  </si>
  <si>
    <t>Grayscale Zcash Trust (ZEC)</t>
  </si>
  <si>
    <t>0001477932-24-004740</t>
  </si>
  <si>
    <t>Internet Sciences Inc.</t>
  </si>
  <si>
    <t>0001720420-24-000031</t>
  </si>
  <si>
    <t>IBEX LIMITED</t>
  </si>
  <si>
    <t>0000950170-24-095745</t>
  </si>
  <si>
    <t>Adicet Bio, Inc.</t>
  </si>
  <si>
    <t>0000950170-24-056968</t>
  </si>
  <si>
    <t>Repay Holdings Corporation</t>
  </si>
  <si>
    <t>0001720635-24-000021</t>
  </si>
  <si>
    <t>nVent Electric plc</t>
  </si>
  <si>
    <t>0001720671-24-000017</t>
  </si>
  <si>
    <t>HashiCorp, Inc.</t>
  </si>
  <si>
    <t>0001558370-24-010967</t>
  </si>
  <si>
    <t>BioXcel Therapeutics, Inc.</t>
  </si>
  <si>
    <t>0001477932-24-004184</t>
  </si>
  <si>
    <t>HOOPS SCOUTING USA</t>
  </si>
  <si>
    <t>0001721386-24-000012</t>
  </si>
  <si>
    <t>Landsea Homes Corporation</t>
  </si>
  <si>
    <t>0001213900-24-042909</t>
  </si>
  <si>
    <t>Longeveron Inc.</t>
  </si>
  <si>
    <t>0001628280-24-037317</t>
  </si>
  <si>
    <t>Lazydays Holdings, Inc.</t>
  </si>
  <si>
    <t>0001628280-24-021683</t>
  </si>
  <si>
    <t>JAMF HOLDING CORP.</t>
  </si>
  <si>
    <t>0001628280-24-023574</t>
  </si>
  <si>
    <t>OP BANCORP</t>
  </si>
  <si>
    <t>0001437749-24-026797</t>
  </si>
  <si>
    <t>Doma Holdings, Inc.</t>
  </si>
  <si>
    <t>0001722482-24-000102</t>
  </si>
  <si>
    <t>Avantor, Inc.</t>
  </si>
  <si>
    <t>0001393905-24-000145</t>
  </si>
  <si>
    <t>BestGofer Inc.</t>
  </si>
  <si>
    <t>Wyndham Hotels &amp; Resorts, Inc.</t>
  </si>
  <si>
    <t>0001558370-24-011795</t>
  </si>
  <si>
    <t>Y-mAbs Therapeutics, Inc.</t>
  </si>
  <si>
    <t>0001214659-24-008802</t>
  </si>
  <si>
    <t>Nxu, Inc.</t>
  </si>
  <si>
    <t>BIO ESSENCE CORP.</t>
  </si>
  <si>
    <t>0001723089-24-000091</t>
  </si>
  <si>
    <t>ChampionX Corp</t>
  </si>
  <si>
    <t>0001723128-24-000021</t>
  </si>
  <si>
    <t>Amneal Pharmaceuticals, Inc.</t>
  </si>
  <si>
    <t>0001723580-24-000025</t>
  </si>
  <si>
    <t>BurgerFi International, Inc.</t>
  </si>
  <si>
    <t>0001723596-24-000217</t>
  </si>
  <si>
    <t>Columbia Financial, Inc.</t>
  </si>
  <si>
    <t>0000950170-24-058599</t>
  </si>
  <si>
    <t>Bitwise 10 Crypto Index Fund</t>
  </si>
  <si>
    <t>0001724521-24-000138</t>
  </si>
  <si>
    <t>Arcus Biosciences, Inc.</t>
  </si>
  <si>
    <t>0000950170-24-053731</t>
  </si>
  <si>
    <t>Talos Energy Inc.</t>
  </si>
  <si>
    <t>Dayforce, Inc.</t>
  </si>
  <si>
    <t>0001628280-24-023625</t>
  </si>
  <si>
    <t>Digital Media Solutions, Inc.</t>
  </si>
  <si>
    <t>0001725160-24-000107</t>
  </si>
  <si>
    <t>Zentalis Pharmaceuticals, Inc.</t>
  </si>
  <si>
    <t>0001628280-24-021191</t>
  </si>
  <si>
    <t>AdaptHealth Corp.</t>
  </si>
  <si>
    <t>0001493152-24-018167</t>
  </si>
  <si>
    <t>Intelligent Bio Solutions Inc.</t>
  </si>
  <si>
    <t>0001628280-24-037281</t>
  </si>
  <si>
    <t>BM Technologies, Inc.</t>
  </si>
  <si>
    <t>0001493152-24-032167</t>
  </si>
  <si>
    <t>NETBRANDS CORP.</t>
  </si>
  <si>
    <t>0001393905-24-000285</t>
  </si>
  <si>
    <t>TIPMEFAST, INC.</t>
  </si>
  <si>
    <t>0001558370-24-012054</t>
  </si>
  <si>
    <t>EPSILON ENERGY LTD.</t>
  </si>
  <si>
    <t>0001726173-24-000027</t>
  </si>
  <si>
    <t>BIGLARI HOLDINGS INC.</t>
  </si>
  <si>
    <t>0000950170-24-094074</t>
  </si>
  <si>
    <t>SEER, INC.</t>
  </si>
  <si>
    <t>0000950170-24-054940</t>
  </si>
  <si>
    <t>BC Partners Lending Corporation</t>
  </si>
  <si>
    <t>0001213900-24-045191</t>
  </si>
  <si>
    <t>Aditxt, Inc.</t>
  </si>
  <si>
    <t>0001726978-24-000046</t>
  </si>
  <si>
    <t>GOOSEHEAD INSURANCE, INC.</t>
  </si>
  <si>
    <t>0001558370-24-011461</t>
  </si>
  <si>
    <t>SCHOLAR ROCK HOLDING CORP</t>
  </si>
  <si>
    <t>0001683168-24-005884</t>
  </si>
  <si>
    <t>CHILEAN COBALT CORP.</t>
  </si>
  <si>
    <t>0000950170-24-052064</t>
  </si>
  <si>
    <t>Frontdoor, Inc.</t>
  </si>
  <si>
    <t>0001728117-24-000085</t>
  </si>
  <si>
    <t>GOSSAMER BIO, INC.</t>
  </si>
  <si>
    <t>0001728205-24-000078</t>
  </si>
  <si>
    <t>Piedmont Lithium Inc.</t>
  </si>
  <si>
    <t>0001728688-24-000061</t>
  </si>
  <si>
    <t>i3 Verticals, Inc.</t>
  </si>
  <si>
    <t>0001728951-24-000073</t>
  </si>
  <si>
    <t>Essential Properties Realty Trust, Inc.</t>
  </si>
  <si>
    <t>0001729149-24-000102</t>
  </si>
  <si>
    <t>Viemed Healthcare, Inc.</t>
  </si>
  <si>
    <t>0001683168-24-005711</t>
  </si>
  <si>
    <t>CNS Pharmaceuticals, Inc.</t>
  </si>
  <si>
    <t>0001477932-24-002277</t>
  </si>
  <si>
    <t>KARBON-X CORP.</t>
  </si>
  <si>
    <t>0001493152-24-019793</t>
  </si>
  <si>
    <t>IMAC Holdings, Inc.</t>
  </si>
  <si>
    <t>Kiniksa Pharmaceuticals International, plc</t>
  </si>
  <si>
    <t>0001730463-24-000093</t>
  </si>
  <si>
    <t>AUTOLUS THERAPEUTICS PLC</t>
  </si>
  <si>
    <t>0001493152-24-032339</t>
  </si>
  <si>
    <t>BLUE STAR FOODS CORP.</t>
  </si>
  <si>
    <t>0001477932-24-003687</t>
  </si>
  <si>
    <t>Everything Blockchain, Inc.</t>
  </si>
  <si>
    <t>0001730984-24-000044</t>
  </si>
  <si>
    <t>BAYCOM CORP</t>
  </si>
  <si>
    <t>0001731289-24-000155</t>
  </si>
  <si>
    <t>Nikola Corporation</t>
  </si>
  <si>
    <t>0001437749-24-011541</t>
  </si>
  <si>
    <t>Tilray Brands, Inc.</t>
  </si>
  <si>
    <t>0000950170-24-053014</t>
  </si>
  <si>
    <t>Grayscale Litecoin Trust (LTC)</t>
  </si>
  <si>
    <t>0000950170-24-053007</t>
  </si>
  <si>
    <t>Grayscale Bitcoin Cash Trust (BCH)</t>
  </si>
  <si>
    <t>0000950170-24-052908</t>
  </si>
  <si>
    <t>WestRock Company</t>
  </si>
  <si>
    <t>0000950170-24-096246</t>
  </si>
  <si>
    <t>FINCH THERAPEUTICS GROUP, INC.</t>
  </si>
  <si>
    <t>0001558370-24-007962</t>
  </si>
  <si>
    <t>GENERATION BIO CO.</t>
  </si>
  <si>
    <t>0001213900-24-068964</t>
  </si>
  <si>
    <t>TFF PHARMACEUTICALS, Inc.</t>
  </si>
  <si>
    <t>0001410578-24-000892</t>
  </si>
  <si>
    <t>THE CHOSEN, INC.</t>
  </si>
  <si>
    <t>0001733998-24-000075</t>
  </si>
  <si>
    <t>NORTHWEST NATURAL HOLDING COMPANY</t>
  </si>
  <si>
    <t>0001734342-24-000048</t>
  </si>
  <si>
    <t>Amerant Bancorp Inc.</t>
  </si>
  <si>
    <t>0000950170-24-051292</t>
  </si>
  <si>
    <t>BrightView Holdings, Inc.</t>
  </si>
  <si>
    <t>0001734722-24-000051</t>
  </si>
  <si>
    <t>UiPath, Inc.</t>
  </si>
  <si>
    <t>0001213900-24-044765</t>
  </si>
  <si>
    <t>MOVANO INC.</t>
  </si>
  <si>
    <t>0001213900-24-043583</t>
  </si>
  <si>
    <t>GREENLAND TECHNOLOGIES HOLDING CORPORATION</t>
  </si>
  <si>
    <t>0001477932-24-005107</t>
  </si>
  <si>
    <t>GOFBA, INC.</t>
  </si>
  <si>
    <t>0001558370-24-011788</t>
  </si>
  <si>
    <t>MeiraGTx Holdings plc</t>
  </si>
  <si>
    <t>Garrett Motion Inc.</t>
  </si>
  <si>
    <t>0001104659-24-061257</t>
  </si>
  <si>
    <t>GREENBROOK TMS INC.</t>
  </si>
  <si>
    <t>0001736035-24-000017</t>
  </si>
  <si>
    <t>Blackstone Secured Lending Fund</t>
  </si>
  <si>
    <t>0001558370-24-011587</t>
  </si>
  <si>
    <t>Acurx Pharmaceuticals, Inc.</t>
  </si>
  <si>
    <t>0001736297-24-000006</t>
  </si>
  <si>
    <t>Astera Labs, Inc.</t>
  </si>
  <si>
    <t>0001736946-24-000023</t>
  </si>
  <si>
    <t>ARLO TECHNOLOGIES, INC.</t>
  </si>
  <si>
    <t>0001683168-24-003162</t>
  </si>
  <si>
    <t>Luduson G Inc.</t>
  </si>
  <si>
    <t>0001737287-24-000056</t>
  </si>
  <si>
    <t>Allogene Therapeutics, Inc.</t>
  </si>
  <si>
    <t>0001477932-24-004792</t>
  </si>
  <si>
    <t>BioNexus Gene Lab Corp.</t>
  </si>
  <si>
    <t>0001628280-24-021951</t>
  </si>
  <si>
    <t>NUVEEN CHURCHILL DIRECT LENDING CORP.</t>
  </si>
  <si>
    <t>0001493152-24-032302</t>
  </si>
  <si>
    <t>Sharps Technology, Inc.</t>
  </si>
  <si>
    <t>0001171843-24-004670</t>
  </si>
  <si>
    <t>COMPASS THERAPEUTICS, INC.</t>
  </si>
  <si>
    <t>0000950170-24-057806</t>
  </si>
  <si>
    <t>CAMBIUM NETWORKS CORP</t>
  </si>
  <si>
    <t>KLX Energy Services Holdings, Inc.</t>
  </si>
  <si>
    <t>0001739104-24-000027</t>
  </si>
  <si>
    <t>Elanco Animal Health Inc</t>
  </si>
  <si>
    <t>0001213900-24-068981</t>
  </si>
  <si>
    <t>BiomX Inc.</t>
  </si>
  <si>
    <t>0001739410-24-000057</t>
  </si>
  <si>
    <t>RALLYBIO CORPORATION</t>
  </si>
  <si>
    <t>0001739445-24-000067</t>
  </si>
  <si>
    <t>Arcosa, Inc.</t>
  </si>
  <si>
    <t>0001739566-24-000108</t>
  </si>
  <si>
    <t>Utz Brands, Inc.</t>
  </si>
  <si>
    <t>0001739614-24-000029</t>
  </si>
  <si>
    <t>INHIBRX, INC.</t>
  </si>
  <si>
    <t>0001739942-24-000058</t>
  </si>
  <si>
    <t>SolarWinds Corp</t>
  </si>
  <si>
    <t>0000950170-24-093943</t>
  </si>
  <si>
    <t>IN8BIO, INC.</t>
  </si>
  <si>
    <t>0001740332-24-000045</t>
  </si>
  <si>
    <t>Resideo Technologies, Inc.</t>
  </si>
  <si>
    <t>0001829126-24-005667</t>
  </si>
  <si>
    <t>Unicoin Inc.</t>
  </si>
  <si>
    <t>0001213900-24-067367</t>
  </si>
  <si>
    <t>ELVICTOR GROUP, INC.</t>
  </si>
  <si>
    <t>0001741830-24-000050</t>
  </si>
  <si>
    <t>Kronos Bio, Inc.</t>
  </si>
  <si>
    <t>0001742313-24-000027</t>
  </si>
  <si>
    <t>MONROE CAPITAL INCOME PLUS CORPORATION</t>
  </si>
  <si>
    <t>0001437749-24-016366</t>
  </si>
  <si>
    <t>Reviva Pharmaceuticals Holdings, Inc.</t>
  </si>
  <si>
    <t>0000950170-24-055583</t>
  </si>
  <si>
    <t>SCP Private Credit Income BDC LLC</t>
  </si>
  <si>
    <t>Grid Dynamics Holdings, Inc.</t>
  </si>
  <si>
    <t>0001493152-24-028996</t>
  </si>
  <si>
    <t>Greenlane Holdings, Inc.</t>
  </si>
  <si>
    <t>0000950170-24-054670</t>
  </si>
  <si>
    <t>Corsair Gaming, Inc.</t>
  </si>
  <si>
    <t>Sun Country Airlines Holdings, Inc.</t>
  </si>
  <si>
    <t>0001744489-24-000152</t>
  </si>
  <si>
    <t>WALT DISNEY CO/</t>
  </si>
  <si>
    <t>0001829126-24-006791</t>
  </si>
  <si>
    <t>Advent Technologies Holdings, Inc.</t>
  </si>
  <si>
    <t>0000950170-24-094347</t>
  </si>
  <si>
    <t>Akero Therapeutics, Inc.</t>
  </si>
  <si>
    <t>0001079973-24-001235</t>
  </si>
  <si>
    <t>Vynleads, Inc.</t>
  </si>
  <si>
    <t>0001558370-24-006382</t>
  </si>
  <si>
    <t>PennyMac Financial Services, Inc.</t>
  </si>
  <si>
    <t>0000950170-24-091242</t>
  </si>
  <si>
    <t>Beam Therapeutics Inc.</t>
  </si>
  <si>
    <t>0001558370-24-011327</t>
  </si>
  <si>
    <t>Bank First Corp</t>
  </si>
  <si>
    <t>0001493152-24-023630</t>
  </si>
  <si>
    <t>MU GLOBAL HOLDING LIMITED</t>
  </si>
  <si>
    <t>0001140361-24-026111</t>
  </si>
  <si>
    <t>BANK7 CORP.</t>
  </si>
  <si>
    <t>0000950170-24-093949</t>
  </si>
  <si>
    <t>EQUILLIUM, INC.</t>
  </si>
  <si>
    <t>0001746473-24-000145</t>
  </si>
  <si>
    <t>PLIANT THERAPEUTICS, INC.</t>
  </si>
  <si>
    <t>0000950170-24-054537</t>
  </si>
  <si>
    <t>REVOLVE GROUP, INC.</t>
  </si>
  <si>
    <t>0001747009-24-000017</t>
  </si>
  <si>
    <t>EQUITRANS MIDSTREAM CORPORATION</t>
  </si>
  <si>
    <t>0001747068-24-000024</t>
  </si>
  <si>
    <t>METROCITY BANKSHARES, INC.</t>
  </si>
  <si>
    <t>0001747079-24-000089</t>
  </si>
  <si>
    <t>Bally’s Corporation</t>
  </si>
  <si>
    <t>0001213900-24-040973</t>
  </si>
  <si>
    <t>Kayne Anderson BDC, Inc.</t>
  </si>
  <si>
    <t>0001747777-24-000009</t>
  </si>
  <si>
    <t>BLUE OWL TECHNOLOGY FINANCE CORP.</t>
  </si>
  <si>
    <t>0001683168-24-003236</t>
  </si>
  <si>
    <t>NeoVolta, Inc.</t>
  </si>
  <si>
    <t>0001748790-24-000016</t>
  </si>
  <si>
    <t>AMCOR PLC</t>
  </si>
  <si>
    <t>0001748824-24-000024</t>
  </si>
  <si>
    <t>BrightSphereInvestment Group Inc.</t>
  </si>
  <si>
    <t>0000950170-24-053012</t>
  </si>
  <si>
    <t>Grayscale Horizen Trust (ZEN)</t>
  </si>
  <si>
    <t>0001749704-24-000027</t>
  </si>
  <si>
    <t>AGILITI, INC. \DE</t>
  </si>
  <si>
    <t>0001749723-24-000052</t>
  </si>
  <si>
    <t>New Fortress Energy Inc.</t>
  </si>
  <si>
    <t>0001493152-24-019862</t>
  </si>
  <si>
    <t>Alset Inc.</t>
  </si>
  <si>
    <t>0000950170-24-097022</t>
  </si>
  <si>
    <t>INHIBIKASE THERAPEUTICS, INC.</t>
  </si>
  <si>
    <t>0001628280-24-037286</t>
  </si>
  <si>
    <t>CANOO INC</t>
  </si>
  <si>
    <t>0001750155-24-000059</t>
  </si>
  <si>
    <t>Charlotte's Web Holdings, Inc.</t>
  </si>
  <si>
    <t>0000950170-24-055686</t>
  </si>
  <si>
    <t>OLEMA PHARMACEUTICALS, INC.</t>
  </si>
  <si>
    <t>0001750735-24-000040</t>
  </si>
  <si>
    <t>Meridian Corp</t>
  </si>
  <si>
    <t>0001477932-24-002373</t>
  </si>
  <si>
    <t>HAWKEYE SYSTEMS, INC.</t>
  </si>
  <si>
    <t>0001751008-24-000055</t>
  </si>
  <si>
    <t>AppLovin Corporation</t>
  </si>
  <si>
    <t>0001493152-24-036286</t>
  </si>
  <si>
    <t>United Express Inc.</t>
  </si>
  <si>
    <t>0001751783-24-000038</t>
  </si>
  <si>
    <t>Rhinebeck Bancorp, Inc.</t>
  </si>
  <si>
    <t>0001751788-24-000129</t>
  </si>
  <si>
    <t>Dow Inc.</t>
  </si>
  <si>
    <t>0001193125-24-135313</t>
  </si>
  <si>
    <t>CALIFORNIA BANCORP</t>
  </si>
  <si>
    <t>0001493152-24-032721</t>
  </si>
  <si>
    <t>EZAGOO LIMITED</t>
  </si>
  <si>
    <t>0000950170-24-093926</t>
  </si>
  <si>
    <t>KLDiscovery Inc.</t>
  </si>
  <si>
    <t>0000950170-24-115082</t>
  </si>
  <si>
    <t>Celularity Inc.</t>
  </si>
  <si>
    <t>0001628280-24-022767</t>
  </si>
  <si>
    <t>FATHOM HOLDINGS INC.</t>
  </si>
  <si>
    <t>0001493152-24-041827</t>
  </si>
  <si>
    <t>M2i     GLOBAL, INC.</t>
  </si>
  <si>
    <t>0001683168-24-003439</t>
  </si>
  <si>
    <t>TANCHENG GROUP CO., LTD.</t>
  </si>
  <si>
    <t>0001753539-24-000095</t>
  </si>
  <si>
    <t>BLACKSKY TECHNOLOGY INC</t>
  </si>
  <si>
    <t>0001477932-24-004946</t>
  </si>
  <si>
    <t>Elite Performance Holding Corp.</t>
  </si>
  <si>
    <t>0001753706-24-000017</t>
  </si>
  <si>
    <t>Whole Earth Brands, Inc.</t>
  </si>
  <si>
    <t>0000950170-24-094380</t>
  </si>
  <si>
    <t>ALLOVIR, INC.</t>
  </si>
  <si>
    <t>0001558370-24-011383</t>
  </si>
  <si>
    <t>AerSale Corporation</t>
  </si>
  <si>
    <t>0001628280-24-021919</t>
  </si>
  <si>
    <t>TRULIEVE CANNABIS CORP.</t>
  </si>
  <si>
    <t>0001558370-24-008264</t>
  </si>
  <si>
    <t>Orange County Bancorp, Inc.</t>
  </si>
  <si>
    <t>0001558370-24-007450</t>
  </si>
  <si>
    <t>DESKTOP METAL, INC.</t>
  </si>
  <si>
    <t>0001213900-24-052878</t>
  </si>
  <si>
    <t>ATIF HOLDINGS LIMITED</t>
  </si>
  <si>
    <t>0001096906-24-001142</t>
  </si>
  <si>
    <t>APPLIFE DIGITAL SOLUTIONS, INC.</t>
  </si>
  <si>
    <t>0000950170-24-092257</t>
  </si>
  <si>
    <t>CYCLERION THERAPEUTICS, INC.</t>
  </si>
  <si>
    <t>0001079973-24-001269</t>
  </si>
  <si>
    <t>Certiplex Corporation</t>
  </si>
  <si>
    <t>0001755672-24-000013</t>
  </si>
  <si>
    <t>Corteva, Inc.</t>
  </si>
  <si>
    <t>0001755755-24-000060</t>
  </si>
  <si>
    <t>VINEBROOK HOMES TRUST, INC.</t>
  </si>
  <si>
    <t>0001213900-24-068996</t>
  </si>
  <si>
    <t>GRYPHON DIGITAL MINING, INC.</t>
  </si>
  <si>
    <t>0001683168-24-003458</t>
  </si>
  <si>
    <t>NOCERA, INC.</t>
  </si>
  <si>
    <t>TransMedics Group, Inc.</t>
  </si>
  <si>
    <t>0001628280-24-037278</t>
  </si>
  <si>
    <t>Ardent Health Partners, Inc.</t>
  </si>
  <si>
    <t>0000950170-24-059660</t>
  </si>
  <si>
    <t>LINKBANCORP, Inc.</t>
  </si>
  <si>
    <t>ENVISTA HOLDINGS CORPORATION</t>
  </si>
  <si>
    <t>0001493152-24-034902</t>
  </si>
  <si>
    <t>SHUTTLE PHARMACEUTICALS HOLDINGS, INC.</t>
  </si>
  <si>
    <t>0001437749-24-017071</t>
  </si>
  <si>
    <t>Aterian, Inc.</t>
  </si>
  <si>
    <t>0001757898-24-000008</t>
  </si>
  <si>
    <t>STERIS plc</t>
  </si>
  <si>
    <t>0001213900-24-084716</t>
  </si>
  <si>
    <t>QUANTUM COMPUTING INC.</t>
  </si>
  <si>
    <t>0001628280-24-022639</t>
  </si>
  <si>
    <t>Karat Packaging Inc.</t>
  </si>
  <si>
    <t>0001628280-24-022459</t>
  </si>
  <si>
    <t>Luminar Technologies, Inc./DE</t>
  </si>
  <si>
    <t>0000950170-24-052486</t>
  </si>
  <si>
    <t>OneSpaWorld Holdings Limited</t>
  </si>
  <si>
    <t>BS-</t>
  </si>
  <si>
    <t>0001758699-24-000017</t>
  </si>
  <si>
    <t>TRANSUITE.ORG INC.</t>
  </si>
  <si>
    <t>PL-</t>
  </si>
  <si>
    <t>0001758730-24-000093</t>
  </si>
  <si>
    <t>Tradeweb Markets Inc.</t>
  </si>
  <si>
    <t>0001437749-24-025403</t>
  </si>
  <si>
    <t>iShares Gold Trust Micro</t>
  </si>
  <si>
    <t>0000950170-24-093325</t>
  </si>
  <si>
    <t>CABALETTA BIO, INC.</t>
  </si>
  <si>
    <t>0001683168-24-005799</t>
  </si>
  <si>
    <t>COEPTIS THERAPEUTICS HOLDINGS, INC.</t>
  </si>
  <si>
    <t>0001759425-24-000031</t>
  </si>
  <si>
    <t>Mirum Pharmaceuticals, Inc.</t>
  </si>
  <si>
    <t>0001759509-24-000102</t>
  </si>
  <si>
    <t>Lyft, Inc.</t>
  </si>
  <si>
    <t>0001558370-24-008150</t>
  </si>
  <si>
    <t>NU RIDE INC.</t>
  </si>
  <si>
    <t>0001759631-24-000127</t>
  </si>
  <si>
    <t>HYLIION HOLDINGS CORP.</t>
  </si>
  <si>
    <t>0001759655-24-000052</t>
  </si>
  <si>
    <t>Privia Health Group, Inc.</t>
  </si>
  <si>
    <t>0001628280-24-021182</t>
  </si>
  <si>
    <t>POSTAL REALTY TRUST, INC.</t>
  </si>
  <si>
    <t>0000950170-24-055802</t>
  </si>
  <si>
    <t>ALTA EQUIPMENT GROUP INC.</t>
  </si>
  <si>
    <t>0001213900-24-045134</t>
  </si>
  <si>
    <t>MESO NUMISMATICS, INC.</t>
  </si>
  <si>
    <t>0001493152-24-020005</t>
  </si>
  <si>
    <t>RDE, INC.</t>
  </si>
  <si>
    <t>0001558370-24-011647</t>
  </si>
  <si>
    <t>HOOKIPA PHARMA INC.</t>
  </si>
  <si>
    <t>0001760689-24-000016</t>
  </si>
  <si>
    <t>Microvast Holdings, Inc.</t>
  </si>
  <si>
    <t>0001493152-24-032325</t>
  </si>
  <si>
    <t>SAFETY SHOT, INC.</t>
  </si>
  <si>
    <t>KONTOOR BRANDS, INC.</t>
  </si>
  <si>
    <t>0001437749-24-014682</t>
  </si>
  <si>
    <t>Palomar Holdings, Inc.</t>
  </si>
  <si>
    <t>0000950170-24-053017</t>
  </si>
  <si>
    <t>Grayscale Stellar Lumens Trust (XLM)</t>
  </si>
  <si>
    <t>0001558370-24-008296</t>
  </si>
  <si>
    <t>TILT Holdings Inc.</t>
  </si>
  <si>
    <t>0001493152-24-027999</t>
  </si>
  <si>
    <t>GOLDEN ROYAL DEVELOPMENT INC.</t>
  </si>
  <si>
    <t>Bicycle Therapeutics plc</t>
  </si>
  <si>
    <t>0001761696-24-000061</t>
  </si>
  <si>
    <t>Crown Electrokinetics Corp.</t>
  </si>
  <si>
    <t>0000950170-24-095437</t>
  </si>
  <si>
    <t>ERASCA, INC.</t>
  </si>
  <si>
    <t>0001731122-24-001456</t>
  </si>
  <si>
    <t>KAIVAL BRANDS INNOVATIONS GROUP, INC.</t>
  </si>
  <si>
    <t>0000950170-24-058619</t>
  </si>
  <si>
    <t>AVITA MEDICAL, INC.</t>
  </si>
  <si>
    <t>0001762359-24-000049</t>
  </si>
  <si>
    <t>ACREAGE HOLDINGS, INC.</t>
  </si>
  <si>
    <t>0001096906-24-001763</t>
  </si>
  <si>
    <t>Mycotopia Therapies, Inc.</t>
  </si>
  <si>
    <t>0000950170-24-058601</t>
  </si>
  <si>
    <t>BITWISE BITCOIN ETF</t>
  </si>
  <si>
    <t>0001753926-24-001389</t>
  </si>
  <si>
    <t>CoJax Oil and Gas Corporation</t>
  </si>
  <si>
    <t>0001493152-24-030766</t>
  </si>
  <si>
    <t>Lantern Pharma Inc.</t>
  </si>
  <si>
    <t>0001764046-24-000099</t>
  </si>
  <si>
    <t>CLARIVATE PLC</t>
  </si>
  <si>
    <t>0000950170-24-097065</t>
  </si>
  <si>
    <t>Turnstone Biologics Corp.</t>
  </si>
  <si>
    <t>0001765048-24-000020</t>
  </si>
  <si>
    <t>GUOCHUN INTERNATIONAL INC.</t>
  </si>
  <si>
    <t>0001640334-24-001084</t>
  </si>
  <si>
    <t>PACIFIC SPORTS EXCHANGE INC.</t>
  </si>
  <si>
    <t>0001766037-24-000008</t>
  </si>
  <si>
    <t>NMF SLF I, Inc.</t>
  </si>
  <si>
    <t>0001213900-24-068565</t>
  </si>
  <si>
    <t>UNICYCIVE THERAPEUTICS, INC.</t>
  </si>
  <si>
    <t>0000950170-24-056306</t>
  </si>
  <si>
    <t>Endeavor Group Holdings, Inc.</t>
  </si>
  <si>
    <t>0001558370-24-011270</t>
  </si>
  <si>
    <t>Mayville Engineering Company, Inc.</t>
  </si>
  <si>
    <t>0001766400-24-000096</t>
  </si>
  <si>
    <t>THE PENNANT GROUP, INC.</t>
  </si>
  <si>
    <t>0001766478-24-000051</t>
  </si>
  <si>
    <t>Angel Oak Mortgage REIT, Inc.</t>
  </si>
  <si>
    <t>0001766502-24-000020</t>
  </si>
  <si>
    <t>CHEWY, INC.</t>
  </si>
  <si>
    <t>0001185185-24-000804</t>
  </si>
  <si>
    <t>TECTONIC FINANCIAL, INC.</t>
  </si>
  <si>
    <t>0001767042-24-000031</t>
  </si>
  <si>
    <t>Kodiak Gas Services, Inc.</t>
  </si>
  <si>
    <t>0001767258-24-000030</t>
  </si>
  <si>
    <t>XPEL, INC.</t>
  </si>
  <si>
    <t>0001767837-24-000010</t>
  </si>
  <si>
    <t>RICHMOND MUTUAL BANCORPORATION, INC.</t>
  </si>
  <si>
    <t>0000950170-24-090905</t>
  </si>
  <si>
    <t>ARCTURUS THERAPEUTICS HOLDINGS INC.</t>
  </si>
  <si>
    <t>0000950170-24-057667</t>
  </si>
  <si>
    <t>CERENCE INC.</t>
  </si>
  <si>
    <t>0000950170-24-059995</t>
  </si>
  <si>
    <t>ELIEM THERAPEUTICS, INC.</t>
  </si>
  <si>
    <t>0001558370-24-006921</t>
  </si>
  <si>
    <t>HarborOne Bancorp, Inc.</t>
  </si>
  <si>
    <t>0001213900-24-043747</t>
  </si>
  <si>
    <t>AGBA GROUP HOLDING LIMITED</t>
  </si>
  <si>
    <t>0001558370-24-007956</t>
  </si>
  <si>
    <t>Pioneer Bancorp, Inc./MD</t>
  </si>
  <si>
    <t>0001410578-24-001488</t>
  </si>
  <si>
    <t>Monogram Technologies Inc.</t>
  </si>
  <si>
    <t>0001628280-24-036771</t>
  </si>
  <si>
    <t>AUGMEDIX, INC.</t>
  </si>
  <si>
    <t>0000950170-24-094052</t>
  </si>
  <si>
    <t>Sana Biotechnology, Inc.</t>
  </si>
  <si>
    <t>0001770141-24-000078</t>
  </si>
  <si>
    <t>UpHealth, Inc.</t>
  </si>
  <si>
    <t>0001770236-24-000022</t>
  </si>
  <si>
    <t>Moving iMage Technologies, Inc.</t>
  </si>
  <si>
    <t>0001770450-24-000031</t>
  </si>
  <si>
    <t>XEROX HOLDINGS CORPORATION</t>
  </si>
  <si>
    <t>10x Genomics, Inc.</t>
  </si>
  <si>
    <t>0000950170-24-052623</t>
  </si>
  <si>
    <t>EXCHANGERIGHT INCOME FUND</t>
  </si>
  <si>
    <t>0001771515-24-000130</t>
  </si>
  <si>
    <t>Grocery Outlet Holding Corp.</t>
  </si>
  <si>
    <t>0001544784-24-000027</t>
  </si>
  <si>
    <t>GOODNESS GROWTH HOLDINGS, INC.</t>
  </si>
  <si>
    <t>0001628280-24-020450</t>
  </si>
  <si>
    <t>ADC Therapeutics SA</t>
  </si>
  <si>
    <t>0001493152-24-018863</t>
  </si>
  <si>
    <t>DYNAMIC SHARES TRUST</t>
  </si>
  <si>
    <t>0001493152-24-031503</t>
  </si>
  <si>
    <t>American Picture House Corporation</t>
  </si>
  <si>
    <t>0001772016-24-000050</t>
  </si>
  <si>
    <t>BellRing Brands, Inc.</t>
  </si>
  <si>
    <t>0000950170-24-082426</t>
  </si>
  <si>
    <t>KURA SUSHI USA, INC.</t>
  </si>
  <si>
    <t>0001772695-24-000056</t>
  </si>
  <si>
    <t>Sunnova Energy International Inc.</t>
  </si>
  <si>
    <t>0000950170-24-056976</t>
  </si>
  <si>
    <t>Goldman Sachs Private Middle Market Credit II LLC</t>
  </si>
  <si>
    <t>0001628280-24-023626</t>
  </si>
  <si>
    <t>Spruce Power Holding Corporation</t>
  </si>
  <si>
    <t>0001772921-24-000037</t>
  </si>
  <si>
    <t>OneWater Marine Inc.</t>
  </si>
  <si>
    <t>0001773427-24-000018</t>
  </si>
  <si>
    <t>SPRINGWORKS THERAPEUTICS, INC.</t>
  </si>
  <si>
    <t>0001773751-24-000248</t>
  </si>
  <si>
    <t>HIMS &amp; HERS HEALTH, INC.</t>
  </si>
  <si>
    <t>0001437749-24-028757</t>
  </si>
  <si>
    <t>Skillsoft Corp.</t>
  </si>
  <si>
    <t>0001477932-24-004117</t>
  </si>
  <si>
    <t>UPEXI, INC.</t>
  </si>
  <si>
    <t>0000950170-24-057869</t>
  </si>
  <si>
    <t>Advantage Solutions Inc.</t>
  </si>
  <si>
    <t>0001628280-24-037192</t>
  </si>
  <si>
    <t>CURIOSITYSTREAM INC.</t>
  </si>
  <si>
    <t>0001493152-24-020688</t>
  </si>
  <si>
    <t>CISO GLOBAL, INC.</t>
  </si>
  <si>
    <t>0001777393-24-000139</t>
  </si>
  <si>
    <t>ChargePoint Holdings, Inc.</t>
  </si>
  <si>
    <t>0001777835-24-000105</t>
  </si>
  <si>
    <t>PERELLA WEINBERG PARTNERS</t>
  </si>
  <si>
    <t>0000950170-24-093867</t>
  </si>
  <si>
    <t>TERRASCEND CORP.</t>
  </si>
  <si>
    <t>0001778784-24-000019</t>
  </si>
  <si>
    <t>Provident Bancorp, Inc.</t>
  </si>
  <si>
    <t>0000950170-24-054709</t>
  </si>
  <si>
    <t>DANIMER SCIENTIFIC, INC.</t>
  </si>
  <si>
    <t>0001779128-24-000068</t>
  </si>
  <si>
    <t>BLADE AIR MOBILITY, INC.</t>
  </si>
  <si>
    <t>0001779372-24-000006</t>
  </si>
  <si>
    <t>HEARTBEAM, INC.</t>
  </si>
  <si>
    <t>0001779474-24-000025</t>
  </si>
  <si>
    <t>WM TECHNOLOGY, INC.</t>
  </si>
  <si>
    <t>0001213900-24-043024</t>
  </si>
  <si>
    <t>Muzinich BDC, Inc.</t>
  </si>
  <si>
    <t>0001558370-24-012225</t>
  </si>
  <si>
    <t>Lulu’s Fashion Lounge Holdings, Inc.</t>
  </si>
  <si>
    <t>0000950170-24-060499</t>
  </si>
  <si>
    <t>AST SPACEMOBILE, INC.</t>
  </si>
  <si>
    <t>0001781162-24-000010</t>
  </si>
  <si>
    <t>Momentus Inc.</t>
  </si>
  <si>
    <t>0000950170-24-095760</t>
  </si>
  <si>
    <t>Acrivon Therapeutics, Inc.</t>
  </si>
  <si>
    <t>0001781335-24-000022</t>
  </si>
  <si>
    <t>OTIS WORLDWIDE CORPORATION</t>
  </si>
  <si>
    <t>0001683168-24-007147</t>
  </si>
  <si>
    <t>ANKAM, INC.</t>
  </si>
  <si>
    <t>0000950170-24-054517</t>
  </si>
  <si>
    <t>THIRD COAST BANCSHARES, INC.</t>
  </si>
  <si>
    <t>0001781755-24-000030</t>
  </si>
  <si>
    <t>The Baldwin Insurance Group, Inc.</t>
  </si>
  <si>
    <t>0001781870-24-000007</t>
  </si>
  <si>
    <t>New Mountain Guardian III BDC, L.L.C.</t>
  </si>
  <si>
    <t>0001558370-24-011806</t>
  </si>
  <si>
    <t>Aprea Therapeutics, Inc.</t>
  </si>
  <si>
    <t>Onconetix, Inc.</t>
  </si>
  <si>
    <t>Remitly Global, Inc.</t>
  </si>
  <si>
    <t>0000950170-24-097073</t>
  </si>
  <si>
    <t>Pyxis Oncology, Inc.</t>
  </si>
  <si>
    <t>0000950170-24-058188</t>
  </si>
  <si>
    <t>BOUNDLESS BIO, INC.</t>
  </si>
  <si>
    <t>0001493152-24-019017</t>
  </si>
  <si>
    <t>Strawberry Fields REIT, Inc.</t>
  </si>
  <si>
    <t>0001782524-24-000020</t>
  </si>
  <si>
    <t>Morgan Stanley Direct Lending Fund</t>
  </si>
  <si>
    <t>0001628280-24-028198</t>
  </si>
  <si>
    <t>The AZEK Company Inc.</t>
  </si>
  <si>
    <t>0001558370-24-006448</t>
  </si>
  <si>
    <t>Elevation Oncology, Inc.</t>
  </si>
  <si>
    <t>0000950170-24-093885</t>
  </si>
  <si>
    <t>PHATHOM PHARMACEUTICALS, INC.</t>
  </si>
  <si>
    <t>0000950170-24-058198</t>
  </si>
  <si>
    <t>TSCAN THERAPEUTICS, INC.</t>
  </si>
  <si>
    <t>0001783398-24-000021</t>
  </si>
  <si>
    <t>UWM HOLDINGS CORPORATION</t>
  </si>
  <si>
    <t>0001628280-24-023874</t>
  </si>
  <si>
    <t>4Front Ventures Corp.</t>
  </si>
  <si>
    <t>0001783879-24-000145</t>
  </si>
  <si>
    <t>Robinhood Markets, Inc.</t>
  </si>
  <si>
    <t>0001213900-24-068724</t>
  </si>
  <si>
    <t>Pony Group Inc.</t>
  </si>
  <si>
    <t>0001784254-24-000012</t>
  </si>
  <si>
    <t>MEDIACO HOLDING INC.</t>
  </si>
  <si>
    <t>NOWTRANSIT INC.</t>
  </si>
  <si>
    <t>0001784535-24-000063</t>
  </si>
  <si>
    <t>Porch Group, Inc.</t>
  </si>
  <si>
    <t>0000950170-24-058847</t>
  </si>
  <si>
    <t>VARAGON CAPITAL CORPORATION</t>
  </si>
  <si>
    <t>0001213900-24-077899</t>
  </si>
  <si>
    <t>Next Technology Holding Inc.</t>
  </si>
  <si>
    <t>0000950170-24-097225</t>
  </si>
  <si>
    <t>INTERACTIVE STRENGTH INC.</t>
  </si>
  <si>
    <t>0000950170-24-090871</t>
  </si>
  <si>
    <t>89bio, Inc.</t>
  </si>
  <si>
    <t>0000950170-24-096665</t>
  </si>
  <si>
    <t>Metagenomi, Inc.</t>
  </si>
  <si>
    <t>0000950170-24-056311</t>
  </si>
  <si>
    <t>Landos Biopharma, Inc.</t>
  </si>
  <si>
    <t>0001628280-24-023376</t>
  </si>
  <si>
    <t>Katapult Holdings, Inc.</t>
  </si>
  <si>
    <t>0001493152-24-024393</t>
  </si>
  <si>
    <t>PHOENIX PLUS CORP.</t>
  </si>
  <si>
    <t>0001785530-24-000028</t>
  </si>
  <si>
    <t>WEREWOLF THERAPEUTICS, INC.</t>
  </si>
  <si>
    <t>0000950170-24-094992</t>
  </si>
  <si>
    <t>Leafly Holdings, Inc. /DE</t>
  </si>
  <si>
    <t>0001558370-24-005313</t>
  </si>
  <si>
    <t>ALPINE INCOME PROPERTY TRUST, INC.</t>
  </si>
  <si>
    <t>0000950170-24-094120</t>
  </si>
  <si>
    <t>Arcellx, Inc.</t>
  </si>
  <si>
    <t>0001786352-24-000027</t>
  </si>
  <si>
    <t>BILL HOLDINGS, INC.</t>
  </si>
  <si>
    <t>REYNOLDS CONSUMER PRODUCTS INC.</t>
  </si>
  <si>
    <t>0001558370-24-008058</t>
  </si>
  <si>
    <t>Passage BIO, Inc.</t>
  </si>
  <si>
    <t>0001787306-24-000124</t>
  </si>
  <si>
    <t>ARCUTIS BIOTHERAPEUTICS, INC.</t>
  </si>
  <si>
    <t>0000950170-24-096186</t>
  </si>
  <si>
    <t>Nkarta, Inc.</t>
  </si>
  <si>
    <t>0001599916-24-000171</t>
  </si>
  <si>
    <t>WB Burgers Asia, Inc.</t>
  </si>
  <si>
    <t>0001437749-24-026803</t>
  </si>
  <si>
    <t>Bogota Financial Corp.</t>
  </si>
  <si>
    <t>0001213900-24-077772</t>
  </si>
  <si>
    <t>Nukkleus Inc.</t>
  </si>
  <si>
    <t>0000950170-24-097056</t>
  </si>
  <si>
    <t>Tivic Health Systems, Inc.</t>
  </si>
  <si>
    <t>0001213900-24-042805</t>
  </si>
  <si>
    <t>JASPER THERAPEUTICS, INC.</t>
  </si>
  <si>
    <t>0001079973-24-000791</t>
  </si>
  <si>
    <t>micromobility.com, Inc</t>
  </si>
  <si>
    <t>0001628280-24-019351</t>
  </si>
  <si>
    <t>ROOT, INC.</t>
  </si>
  <si>
    <t>0000950170-24-057019</t>
  </si>
  <si>
    <t>XPERI INC.</t>
  </si>
  <si>
    <t>0000950170-24-094209</t>
  </si>
  <si>
    <t>AEVA TECHNOLOGIES, INC.</t>
  </si>
  <si>
    <t>0001493152-24-019822</t>
  </si>
  <si>
    <t>N2OFF,     INC.</t>
  </si>
  <si>
    <t>0001789769-24-000086</t>
  </si>
  <si>
    <t>Instil Bio, Inc.</t>
  </si>
  <si>
    <t>0000950170-24-054507</t>
  </si>
  <si>
    <t>Hess Midstream LP</t>
  </si>
  <si>
    <t>0001789940-24-000117</t>
  </si>
  <si>
    <t>First Watch Restaurant Group, Inc.</t>
  </si>
  <si>
    <t>0000950170-24-060535</t>
  </si>
  <si>
    <t>CULLINAN THERAPEUTICS, INC.</t>
  </si>
  <si>
    <t>MA-</t>
  </si>
  <si>
    <t>0001062993-24-010248</t>
  </si>
  <si>
    <t>Flora Growth Corp.</t>
  </si>
  <si>
    <t>0001790340-24-000066</t>
  </si>
  <si>
    <t>Immuneering Corporation</t>
  </si>
  <si>
    <t>0001792509-24-000019</t>
  </si>
  <si>
    <t>TriplePoint Private Venture Credit Inc.</t>
  </si>
  <si>
    <t>0000950170-24-054736</t>
  </si>
  <si>
    <t>Ovintiv Inc.</t>
  </si>
  <si>
    <t>0001437749-24-025818</t>
  </si>
  <si>
    <t>Kiromic Biopharma, Inc.</t>
  </si>
  <si>
    <t>0001628280-24-039863</t>
  </si>
  <si>
    <t>TORRID HOLDINGS INC.</t>
  </si>
  <si>
    <t>DOORDASH, INC.</t>
  </si>
  <si>
    <t>0001437749-24-024647</t>
  </si>
  <si>
    <t>HighPeak Energy, Inc.</t>
  </si>
  <si>
    <t>0001493152-24-018844</t>
  </si>
  <si>
    <t>GENVOR     INCORPORATED</t>
  </si>
  <si>
    <t>0001793229-24-000079</t>
  </si>
  <si>
    <t>MULTIPLAN CORPORATION</t>
  </si>
  <si>
    <t>0001793659-24-000048</t>
  </si>
  <si>
    <t>Rush Street Interactive, Inc.</t>
  </si>
  <si>
    <t>YCQH AGRICULTURAL TECHNOLOGY CO. LTD</t>
  </si>
  <si>
    <t>0001794515-24-000137</t>
  </si>
  <si>
    <t>ZoomInfo Technologies Inc.</t>
  </si>
  <si>
    <t>0001794669-24-000016</t>
  </si>
  <si>
    <t>SHIFT4 PAYMENTS, INC.</t>
  </si>
  <si>
    <t>0001213900-24-040236</t>
  </si>
  <si>
    <t>Palmer Square Capital BDC Inc.</t>
  </si>
  <si>
    <t>0001794783-24-000026</t>
  </si>
  <si>
    <t>SelectQuote, Inc.</t>
  </si>
  <si>
    <t>0001640334-24-000803</t>
  </si>
  <si>
    <t>STARK FOCUS GROUP INC.</t>
  </si>
  <si>
    <t>0001213900-24-069063</t>
  </si>
  <si>
    <t>OS THERAPIES INCOPORATED</t>
  </si>
  <si>
    <t>0000950170-24-056173</t>
  </si>
  <si>
    <t>GREEN THUMB INDUSTRIES INC.</t>
  </si>
  <si>
    <t>0001795250-24-000026</t>
  </si>
  <si>
    <t>SPHERE ENTERTAINMENT CO.</t>
  </si>
  <si>
    <t>0001795815-24-000008</t>
  </si>
  <si>
    <t>Southern California Bancorp \ CA</t>
  </si>
  <si>
    <t>0001193125-24-138276</t>
  </si>
  <si>
    <t>Vincerx Pharma, Inc.</t>
  </si>
  <si>
    <t>0001096906-24-001793</t>
  </si>
  <si>
    <t>QMIS TBS CAPITAL GROUP CORP.</t>
  </si>
  <si>
    <t>APi Group Corporation</t>
  </si>
  <si>
    <t>0000950170-24-053582</t>
  </si>
  <si>
    <t>ORIC PHARMACEUTICALS, INC.</t>
  </si>
  <si>
    <t>0001213900-24-043645</t>
  </si>
  <si>
    <t>BTC Digital Ltd.</t>
  </si>
  <si>
    <t>0001654954-24-006435</t>
  </si>
  <si>
    <t>Healthcare Business Resources Inc.</t>
  </si>
  <si>
    <t>0001798100-24-000058</t>
  </si>
  <si>
    <t>NETSTREIT Corp.</t>
  </si>
  <si>
    <t>0001798270-24-000015</t>
  </si>
  <si>
    <t>ASSURE HOLDINGS CORP.</t>
  </si>
  <si>
    <t>0001826466-24-000071</t>
  </si>
  <si>
    <t>CARRIAGE HOUSE EVENT CENTER, INC.</t>
  </si>
  <si>
    <t>0001104659-24-060532</t>
  </si>
  <si>
    <t>TMC THE METALS COMPANY INC.</t>
  </si>
  <si>
    <t>0001798749-24-000049</t>
  </si>
  <si>
    <t>AEROVATE THERAPEUTICS, INC.</t>
  </si>
  <si>
    <t>0001493152-24-018800</t>
  </si>
  <si>
    <t>LUCID DIAGNOSTICS INC.</t>
  </si>
  <si>
    <t>0001799191-24-000022</t>
  </si>
  <si>
    <t>The Oncology Institute, Inc.</t>
  </si>
  <si>
    <t>0001799208-24-000024</t>
  </si>
  <si>
    <t>Dun &amp; Bradstreet Holdings, Inc.</t>
  </si>
  <si>
    <t>0001493152-24-030983</t>
  </si>
  <si>
    <t>GAN Limited</t>
  </si>
  <si>
    <t>0000950170-24-054497</t>
  </si>
  <si>
    <t>Aligos Therapeutics, Inc.</t>
  </si>
  <si>
    <t>0001193125-24-134192</t>
  </si>
  <si>
    <t>DoubleDown Interactive Co., Ltd.</t>
  </si>
  <si>
    <t>0001493152-24-032278</t>
  </si>
  <si>
    <t>GREENWICH LIFESCIENCES, INC.</t>
  </si>
  <si>
    <t>0001800227-24-000024</t>
  </si>
  <si>
    <t>IAC Inc.</t>
  </si>
  <si>
    <t>0000950170-24-049808</t>
  </si>
  <si>
    <t>GALECTO, INC.</t>
  </si>
  <si>
    <t>0001477932-24-005196</t>
  </si>
  <si>
    <t>GOLDENWELL BIOTECH, INC.</t>
  </si>
  <si>
    <t>0001213900-24-069066</t>
  </si>
  <si>
    <t>AGRIFY CORPORATION</t>
  </si>
  <si>
    <t>0000950170-24-057817</t>
  </si>
  <si>
    <t>JFrog Ltd.</t>
  </si>
  <si>
    <t>0001800682-24-000006</t>
  </si>
  <si>
    <t>Cano Health, Inc.</t>
  </si>
  <si>
    <t>0001801169-24-000085</t>
  </si>
  <si>
    <t>Opendoor Technologies Inc.</t>
  </si>
  <si>
    <t>0001801170-24-000165</t>
  </si>
  <si>
    <t>CLOVER HEALTH INVESTMENTS, CORP. /DE</t>
  </si>
  <si>
    <t>0001801368-24-000045</t>
  </si>
  <si>
    <t>MP Materials Corp. / DE</t>
  </si>
  <si>
    <t>0001213900-24-070720</t>
  </si>
  <si>
    <t>BYNORDIC ACQUISITION CORPORATION</t>
  </si>
  <si>
    <t>0001628280-24-023235</t>
  </si>
  <si>
    <t>SPRINGBIG HOLDINGS, INC.</t>
  </si>
  <si>
    <t>0001801661-24-000104</t>
  </si>
  <si>
    <t>SKILLZ INC.</t>
  </si>
  <si>
    <t>0000950170-24-053165</t>
  </si>
  <si>
    <t>Xponential Fitness, Inc.</t>
  </si>
  <si>
    <t>0000950170-24-060463</t>
  </si>
  <si>
    <t>MSP Recovery, Inc.</t>
  </si>
  <si>
    <t>0001802457-24-000058</t>
  </si>
  <si>
    <t>ORIGIN MATERIALS, INC.</t>
  </si>
  <si>
    <t>0001558370-24-006203</t>
  </si>
  <si>
    <t>HARMONY BIOSCIENCES HOLDINGS, INC.</t>
  </si>
  <si>
    <t>0001802768-24-000021</t>
  </si>
  <si>
    <t>Royalty Pharma plc</t>
  </si>
  <si>
    <t>0001802974-24-000028</t>
  </si>
  <si>
    <t>MISSION PRODUCE, INC.</t>
  </si>
  <si>
    <t>0001640334-24-000958</t>
  </si>
  <si>
    <t>Starguide Group, Inc.</t>
  </si>
  <si>
    <t>0001803498-24-000022</t>
  </si>
  <si>
    <t>Blackstone Private Credit Fund</t>
  </si>
  <si>
    <t>0001803599-24-000108</t>
  </si>
  <si>
    <t>CONCENTRIX CORPORATION</t>
  </si>
  <si>
    <t>0000950170-24-055618</t>
  </si>
  <si>
    <t>ADEIA INC.</t>
  </si>
  <si>
    <t>0001803737-24-000055</t>
  </si>
  <si>
    <t>Enhabit, Inc.</t>
  </si>
  <si>
    <t>0000950170-24-094085</t>
  </si>
  <si>
    <t>TALKSPACE, INC.</t>
  </si>
  <si>
    <t>0001803914-24-000035</t>
  </si>
  <si>
    <t>PLBY Group, Inc.</t>
  </si>
  <si>
    <t>0001493152-24-020645</t>
  </si>
  <si>
    <t>LIMITLESS X HOLDINGS INC.</t>
  </si>
  <si>
    <t>0001558370-24-006395</t>
  </si>
  <si>
    <t>Butterfly Network, Inc.</t>
  </si>
  <si>
    <t>0001804745-24-000015</t>
  </si>
  <si>
    <t>Driven Brands Holdings Inc.</t>
  </si>
  <si>
    <t>0001805077-24-000051</t>
  </si>
  <si>
    <t>EOS ENERGY ENTERPRISES, INC.</t>
  </si>
  <si>
    <t>0001805284-24-000067</t>
  </si>
  <si>
    <t>Rocket Companies, Inc.</t>
  </si>
  <si>
    <t>0001628280-24-036182</t>
  </si>
  <si>
    <t>Evolv Technologies Holdings, Inc.</t>
  </si>
  <si>
    <t>0000950170-24-055701</t>
  </si>
  <si>
    <t>CEREVEL THERAPEUTICS HOLDINGS, INC.</t>
  </si>
  <si>
    <t>0001628280-24-033559</t>
  </si>
  <si>
    <t>Faraday Future Intelligent Electric Inc.</t>
  </si>
  <si>
    <t>0001575872-24-000905</t>
  </si>
  <si>
    <t>JANOVER INC.</t>
  </si>
  <si>
    <t>0001628280-24-023639</t>
  </si>
  <si>
    <t>MarketWise, Inc.</t>
  </si>
  <si>
    <t>0001805833-24-000079</t>
  </si>
  <si>
    <t>System1, Inc.</t>
  </si>
  <si>
    <t>0000950170-24-053958</t>
  </si>
  <si>
    <t>Fusion Pharmaceuticals Inc.</t>
  </si>
  <si>
    <t>0001806201-24-000123</t>
  </si>
  <si>
    <t>OPEN LENDING CORPORATION</t>
  </si>
  <si>
    <t>0000950170-24-059555</t>
  </si>
  <si>
    <t>Taysha Gene Therapies, Inc.</t>
  </si>
  <si>
    <t>0001558370-24-007645</t>
  </si>
  <si>
    <t>WESTROCK COFFEE COMPANY</t>
  </si>
  <si>
    <t>0001558370-24-011378</t>
  </si>
  <si>
    <t>Vertex, Inc.</t>
  </si>
  <si>
    <t>0001628280-24-020467</t>
  </si>
  <si>
    <t>Lyell Immunopharma, Inc.</t>
  </si>
  <si>
    <t>0001493152-24-037655</t>
  </si>
  <si>
    <t>Belpointe PREP, LLC</t>
  </si>
  <si>
    <t>0000950170-24-055788</t>
  </si>
  <si>
    <t>Design Therapeutics, Inc.</t>
  </si>
  <si>
    <t>0001213900-24-041800</t>
  </si>
  <si>
    <t>AMESITE INC.</t>
  </si>
  <si>
    <t>0001807427-24-000019</t>
  </si>
  <si>
    <t>Blue Owl Capital Corp III</t>
  </si>
  <si>
    <t>0001213900-24-047699</t>
  </si>
  <si>
    <t>HI-GREAT GROUP HOLDING COMPANY</t>
  </si>
  <si>
    <t>0001213900-24-068230</t>
  </si>
  <si>
    <t>PMV Consumer Acquisition Corp.</t>
  </si>
  <si>
    <t>0000950170-24-053998</t>
  </si>
  <si>
    <t>MONEYLION INC.</t>
  </si>
  <si>
    <t>0001493152-24-037935</t>
  </si>
  <si>
    <t>Laser     Photonics Corporation</t>
  </si>
  <si>
    <t>0001079973-24-000693</t>
  </si>
  <si>
    <t>STANDARD PREMIUM FINANCE HOLDINGS, INC.</t>
  </si>
  <si>
    <t>0000950170-24-054515</t>
  </si>
  <si>
    <t>Repare Therapeutics Inc.</t>
  </si>
  <si>
    <t>0001808220-24-000053</t>
  </si>
  <si>
    <t>GoHealth, Inc.</t>
  </si>
  <si>
    <t>0001829126-24-003302</t>
  </si>
  <si>
    <t>INNOVATIVE EYEWEAR, INC.</t>
  </si>
  <si>
    <t>0001808665-24-000023</t>
  </si>
  <si>
    <t>ASSERTIO HOLDINGS, INC.</t>
  </si>
  <si>
    <t>0001808805-24-000041</t>
  </si>
  <si>
    <t>NAUTILUS BIOTECHNOLOGY, INC.</t>
  </si>
  <si>
    <t>PROG HOLDINGS, INC.</t>
  </si>
  <si>
    <t>0000950170-24-093302</t>
  </si>
  <si>
    <t>iTeos Therapeutics, Inc.</t>
  </si>
  <si>
    <t>0001193125-24-136727</t>
  </si>
  <si>
    <t>BENITEC BIOPHARMA INC.</t>
  </si>
  <si>
    <t>0000950170-24-055909</t>
  </si>
  <si>
    <t>Alight, Inc. / Delaware</t>
  </si>
  <si>
    <t>0001809519-24-000164</t>
  </si>
  <si>
    <t>GoodRx Holdings, Inc.</t>
  </si>
  <si>
    <t>0001477932-24-002897</t>
  </si>
  <si>
    <t>EDIBLE GARDEN AG INCORPORATED</t>
  </si>
  <si>
    <t>0001628280-24-019463</t>
  </si>
  <si>
    <t>Mirion Technologies, Inc.</t>
  </si>
  <si>
    <t>0001810019-24-000094</t>
  </si>
  <si>
    <t>RACKSPACE TECHNOLOGY, INC.</t>
  </si>
  <si>
    <t>0000950170-24-095391</t>
  </si>
  <si>
    <t>ALX ONCOLOGY HOLDINGS INC</t>
  </si>
  <si>
    <t>0001628280-24-020157</t>
  </si>
  <si>
    <t>Eastern Bankshares, Inc.</t>
  </si>
  <si>
    <t>0000950170-24-108797</t>
  </si>
  <si>
    <t>REVELATION BIOSCIENCES, INC.</t>
  </si>
  <si>
    <t>0001810806-24-000098</t>
  </si>
  <si>
    <t>UNITY SOFTWARE INC.</t>
  </si>
  <si>
    <t>0000950170-24-090347</t>
  </si>
  <si>
    <t>Nuvation Bio Inc.</t>
  </si>
  <si>
    <t>0001811074-24-000049</t>
  </si>
  <si>
    <t>Texas Pacific Land Corporation</t>
  </si>
  <si>
    <t>0000950170-24-060033</t>
  </si>
  <si>
    <t>Renalytix plc</t>
  </si>
  <si>
    <t>0001628280-24-020633</t>
  </si>
  <si>
    <t>Lucid Group, Inc.</t>
  </si>
  <si>
    <t>0000950170-24-049080</t>
  </si>
  <si>
    <t>QUANTUMSCAPE CORPORATION</t>
  </si>
  <si>
    <t>0001558370-24-007980</t>
  </si>
  <si>
    <t>PAXMEDICA, INC.</t>
  </si>
  <si>
    <t>0001811972-24-000021</t>
  </si>
  <si>
    <t>Barings Capital Investment Corporation</t>
  </si>
  <si>
    <t>0001096906-24-001727</t>
  </si>
  <si>
    <t>FARMHOUSE, INC. /NV</t>
  </si>
  <si>
    <t>0001213900-24-037265</t>
  </si>
  <si>
    <t>VICARIOUS SURGICAL INC.</t>
  </si>
  <si>
    <t>0001213900-24-057245</t>
  </si>
  <si>
    <t>FOXO TECHNOLOGIES INC</t>
  </si>
  <si>
    <t>0000950170-24-091837</t>
  </si>
  <si>
    <t>RELAY THERAPEUTICS, INC.</t>
  </si>
  <si>
    <t>0001812554-24-000027</t>
  </si>
  <si>
    <t>BLUE OWL CREDIT INCOME CORP.</t>
  </si>
  <si>
    <t>0001493152-24-029072</t>
  </si>
  <si>
    <t>RELIANCE GLOBAL GROUP, INC.</t>
  </si>
  <si>
    <t>0001437749-24-015683</t>
  </si>
  <si>
    <t>Planet 13 Holdings Inc.</t>
  </si>
  <si>
    <t>0001829126-24-002685</t>
  </si>
  <si>
    <t>HESTIA INSIGHT INC.</t>
  </si>
  <si>
    <t>0000950170-24-055681</t>
  </si>
  <si>
    <t>Mind Medicine (MindMed) Inc.</t>
  </si>
  <si>
    <t>0000950170-24-057258</t>
  </si>
  <si>
    <t>CareMax, Inc.</t>
  </si>
  <si>
    <t>0001558370-24-011899</t>
  </si>
  <si>
    <t>Orchestra BioMed Holdings, Inc.</t>
  </si>
  <si>
    <t>0000950170-24-097169</t>
  </si>
  <si>
    <t>NUBURU, INC.</t>
  </si>
  <si>
    <t>0001814287-24-000034</t>
  </si>
  <si>
    <t>Abacus Life, Inc.</t>
  </si>
  <si>
    <t>0000950170-24-065609</t>
  </si>
  <si>
    <t>ASTRA SPACE, INC.</t>
  </si>
  <si>
    <t>0001437749-24-015998</t>
  </si>
  <si>
    <t>BBX Capital, Inc.</t>
  </si>
  <si>
    <t>0000950170-24-051567</t>
  </si>
  <si>
    <t>KYMERA THERAPEUTICS, INC.</t>
  </si>
  <si>
    <t>0001654954-24-006613</t>
  </si>
  <si>
    <t>TEGO CYBER INC.</t>
  </si>
  <si>
    <t>0001815776-24-000060</t>
  </si>
  <si>
    <t>LENZ THERAPEUTICS, INC.</t>
  </si>
  <si>
    <t>0001815849-24-000051</t>
  </si>
  <si>
    <t>ATI Physical Therapy, Inc.</t>
  </si>
  <si>
    <t>0001410578-24-000885</t>
  </si>
  <si>
    <t>Petros Pharmaceuticals, Inc.</t>
  </si>
  <si>
    <t>0001493152-24-019922</t>
  </si>
  <si>
    <t>ANEBULO PHARMACEUTICALS, INC.</t>
  </si>
  <si>
    <t>0000950170-24-060496</t>
  </si>
  <si>
    <t>SPIRE GLOBAL, INC.</t>
  </si>
  <si>
    <t>0001628280-24-036336</t>
  </si>
  <si>
    <t>SHARECARE, INC.</t>
  </si>
  <si>
    <t>0001628280-24-035626</t>
  </si>
  <si>
    <t>QUANTUM-SI INCORPORATED</t>
  </si>
  <si>
    <t>0001628280-24-036996</t>
  </si>
  <si>
    <t>Ouster, Inc.</t>
  </si>
  <si>
    <t>COMPASS Pathways plc</t>
  </si>
  <si>
    <t>0000950170-24-094093</t>
  </si>
  <si>
    <t>Markforged Holding Corporation</t>
  </si>
  <si>
    <t>0001628280-24-037252</t>
  </si>
  <si>
    <t>OWLET, INC.</t>
  </si>
  <si>
    <t>0000950170-24-093357</t>
  </si>
  <si>
    <t>DISC MEDICINE, INC.</t>
  </si>
  <si>
    <t>0001493152-24-019886</t>
  </si>
  <si>
    <t>BOXABL Inc.</t>
  </si>
  <si>
    <t>0001493152-24-032234</t>
  </si>
  <si>
    <t>EZFILL HOLDINGS, INC.</t>
  </si>
  <si>
    <t>0000950170-24-093858</t>
  </si>
  <si>
    <t>VOR BIOPHARMA INC.</t>
  </si>
  <si>
    <t>0001213900-24-068965</t>
  </si>
  <si>
    <t>GLOBAL GAS CORPORATION</t>
  </si>
  <si>
    <t>0001193125-24-209924</t>
  </si>
  <si>
    <t>Artiva Biotherapeutics, Inc.</t>
  </si>
  <si>
    <t>0001817358-24-000174</t>
  </si>
  <si>
    <t>Academy Sports and Outdoors, Inc.</t>
  </si>
  <si>
    <t>0001213900-24-043774</t>
  </si>
  <si>
    <t>SOCIETY PASS INCORPORATED</t>
  </si>
  <si>
    <t>0001213900-24-070652</t>
  </si>
  <si>
    <t>BREEZE HOLDINGS ACQUISITION CORP.</t>
  </si>
  <si>
    <t>0000950170-24-054966</t>
  </si>
  <si>
    <t>Janux Therapeutics, Inc.</t>
  </si>
  <si>
    <t>0001558370-24-011895</t>
  </si>
  <si>
    <t>SmartKem, Inc.</t>
  </si>
  <si>
    <t>0001628280-24-036238</t>
  </si>
  <si>
    <t>The Beauty Health Company</t>
  </si>
  <si>
    <t>0001599916-24-000197</t>
  </si>
  <si>
    <t>ZENTRUM HOLDINGS, Inc.</t>
  </si>
  <si>
    <t>0000950170-24-050638</t>
  </si>
  <si>
    <t>CCC INTELLIGENT SOLUTIONS HOLDINGS INC.</t>
  </si>
  <si>
    <t>0001818331-24-000023</t>
  </si>
  <si>
    <t>GeneDx Holdings Corp.</t>
  </si>
  <si>
    <t>0001818382-24-000156</t>
  </si>
  <si>
    <t>Humacyte, Inc.</t>
  </si>
  <si>
    <t>0001818383-24-000038</t>
  </si>
  <si>
    <t>MediaAlpha, Inc.</t>
  </si>
  <si>
    <t>0001818502-24-000009</t>
  </si>
  <si>
    <t>OppFi Inc.</t>
  </si>
  <si>
    <t>0001477932-24-002666</t>
  </si>
  <si>
    <t>INCORDEX CORP.</t>
  </si>
  <si>
    <t>0001410578-24-001494</t>
  </si>
  <si>
    <t>Distoken Acquisition Corp</t>
  </si>
  <si>
    <t>0001437749-24-025210</t>
  </si>
  <si>
    <t>AEye, Inc.</t>
  </si>
  <si>
    <t>0000950170-24-095527</t>
  </si>
  <si>
    <t>Dyne Therapeutics, Inc.</t>
  </si>
  <si>
    <t>0001558370-24-011686</t>
  </si>
  <si>
    <t>Virios Therapeutics, Inc.</t>
  </si>
  <si>
    <t>0001818874-24-000121</t>
  </si>
  <si>
    <t>SoFi Technologies, Inc.</t>
  </si>
  <si>
    <t>0000950170-24-092274</t>
  </si>
  <si>
    <t>TANGO THERAPEUTICS, INC.</t>
  </si>
  <si>
    <t>SES AI Corporation</t>
  </si>
  <si>
    <t>0000950170-24-057713</t>
  </si>
  <si>
    <t>biote Corp.</t>
  </si>
  <si>
    <t>0001819394-24-000060</t>
  </si>
  <si>
    <t>Matterport, Inc./DE</t>
  </si>
  <si>
    <t>0001819404-24-000044</t>
  </si>
  <si>
    <t>NERDY INC.</t>
  </si>
  <si>
    <t>0001558370-24-008132</t>
  </si>
  <si>
    <t>Gain Therapeutics, Inc.</t>
  </si>
  <si>
    <t>0001628280-24-037276</t>
  </si>
  <si>
    <t>ESS Tech, Inc.</t>
  </si>
  <si>
    <t>0001819493-24-000101</t>
  </si>
  <si>
    <t>XOS, INC.</t>
  </si>
  <si>
    <t>0001819516-24-000027</t>
  </si>
  <si>
    <t>WHEELS UP EXPERIENCE INC.</t>
  </si>
  <si>
    <t>0001558370-24-011206</t>
  </si>
  <si>
    <t>LIQUIDIA CORPORATION</t>
  </si>
  <si>
    <t>0001819790-24-000111</t>
  </si>
  <si>
    <t>TARSUS PHARMACEUTICALS, INC.</t>
  </si>
  <si>
    <t>0001819796-24-000013</t>
  </si>
  <si>
    <t>GCM Grosvenor Inc.</t>
  </si>
  <si>
    <t>0001819810-24-000043</t>
  </si>
  <si>
    <t>Redwire Corporation</t>
  </si>
  <si>
    <t>0001819848-24-000372</t>
  </si>
  <si>
    <t>Joby Aviation, Inc.</t>
  </si>
  <si>
    <t>0001558370-24-010381</t>
  </si>
  <si>
    <t>DoubleVerify Holdings, Inc.</t>
  </si>
  <si>
    <t>0001819974-24-000014</t>
  </si>
  <si>
    <t>SkyWater Technology, Inc.</t>
  </si>
  <si>
    <t>0000950170-24-054002</t>
  </si>
  <si>
    <t>CIPHER MINING INC.</t>
  </si>
  <si>
    <t>0000950170-24-094122</t>
  </si>
  <si>
    <t>ROCKET LAB USA, INC.</t>
  </si>
  <si>
    <t>0001820144-24-000041</t>
  </si>
  <si>
    <t>Grindr Inc.</t>
  </si>
  <si>
    <t>0001213900-24-069052</t>
  </si>
  <si>
    <t>OCA ACQUISITION CORP.</t>
  </si>
  <si>
    <t>0000950170-24-058630</t>
  </si>
  <si>
    <t>Scilex Holding Co</t>
  </si>
  <si>
    <t>0001820302-24-000094</t>
  </si>
  <si>
    <t>BAKKT HOLDINGS, INC.</t>
  </si>
  <si>
    <t>0001558370-24-007630</t>
  </si>
  <si>
    <t>INSPIRATO INCORPORATED</t>
  </si>
  <si>
    <t>0001820721-24-000049</t>
  </si>
  <si>
    <t>ARRAY TECHNOLOGIES, INC.</t>
  </si>
  <si>
    <t>US-NM</t>
  </si>
  <si>
    <t>0001628280-24-021680</t>
  </si>
  <si>
    <t>APARTMENT INCOME REIT CORP.</t>
  </si>
  <si>
    <t>0001820953-24-000014</t>
  </si>
  <si>
    <t>Affirm Holdings, Inc.</t>
  </si>
  <si>
    <t>0001558370-24-010606</t>
  </si>
  <si>
    <t>EVgo Inc.</t>
  </si>
  <si>
    <t>0001821160-24-000030</t>
  </si>
  <si>
    <t>GUILD HOLDINGS COMPANY</t>
  </si>
  <si>
    <t>0001493152-24-018097</t>
  </si>
  <si>
    <t>Motorsport Games Inc.</t>
  </si>
  <si>
    <t>0001821393-24-000115</t>
  </si>
  <si>
    <t>THE AARON'S COMPANY, INC.</t>
  </si>
  <si>
    <t>0000950170-24-095516</t>
  </si>
  <si>
    <t>Exodus Movement, Inc.</t>
  </si>
  <si>
    <t>0001821586-24-000020</t>
  </si>
  <si>
    <t>MOONLAKE IMMUNOTHERAPEUTICS</t>
  </si>
  <si>
    <t>0001821769-24-000064</t>
  </si>
  <si>
    <t>Navitas Semiconductor Corporation</t>
  </si>
  <si>
    <t>0000950170-24-056120</t>
  </si>
  <si>
    <t>LESLIE’S, INC.</t>
  </si>
  <si>
    <t>0001821825-24-000056</t>
  </si>
  <si>
    <t>Organon &amp; Co.</t>
  </si>
  <si>
    <t>0001558370-24-008505</t>
  </si>
  <si>
    <t>PRESTO AUTOMATION INC.</t>
  </si>
  <si>
    <t>0000950170-24-055735</t>
  </si>
  <si>
    <t>ContextLogic Inc.</t>
  </si>
  <si>
    <t>0001822372-24-000006</t>
  </si>
  <si>
    <t>STREETEX CORP.</t>
  </si>
  <si>
    <t>DE-</t>
  </si>
  <si>
    <t>0001628280-24-035867</t>
  </si>
  <si>
    <t>Foghorn Therapeutics Inc.</t>
  </si>
  <si>
    <t>0001822492-24-000140</t>
  </si>
  <si>
    <t>Hillman Solutions Corp.</t>
  </si>
  <si>
    <t>0001822523-24-000019</t>
  </si>
  <si>
    <t>AFC GAMMA, INC.</t>
  </si>
  <si>
    <t>0001437749-24-025014</t>
  </si>
  <si>
    <t>Clene Inc.</t>
  </si>
  <si>
    <t>0001493152-24-023583</t>
  </si>
  <si>
    <t>HHG     CAPITAL CORPORATION</t>
  </si>
  <si>
    <t>0001437749-24-025177</t>
  </si>
  <si>
    <t>Holley Inc.</t>
  </si>
  <si>
    <t>0001822966-24-000068</t>
  </si>
  <si>
    <t>NUSCALE POWER CORPORATION</t>
  </si>
  <si>
    <t>0001822993-24-000020</t>
  </si>
  <si>
    <t>Jackson Financial Inc.</t>
  </si>
  <si>
    <t>0001410578-24-000876</t>
  </si>
  <si>
    <t>CONX Corp.</t>
  </si>
  <si>
    <t>0001823144-24-000004</t>
  </si>
  <si>
    <t>CompoSecure, Inc.</t>
  </si>
  <si>
    <t>0001823239-24-000060</t>
  </si>
  <si>
    <t>Maravai LifeSciences Holdings, Inc.</t>
  </si>
  <si>
    <t>0001558370-24-008825</t>
  </si>
  <si>
    <t>Generations Bancorp NY, Inc.</t>
  </si>
  <si>
    <t>0000950170-24-057080</t>
  </si>
  <si>
    <t>Affinity Bancshares, Inc.</t>
  </si>
  <si>
    <t>0000950170-24-094185</t>
  </si>
  <si>
    <t>FISCALNOTE HOLDINGS, INC.</t>
  </si>
  <si>
    <t>0001410578-24-000692</t>
  </si>
  <si>
    <t>ALLIANCE ENTERTAINMENT HOLDING CORPORATION</t>
  </si>
  <si>
    <t>0001437749-24-016606</t>
  </si>
  <si>
    <t>Sky Harbour Group Corporation</t>
  </si>
  <si>
    <t>0001823608-24-000121</t>
  </si>
  <si>
    <t>Amalgamated Financial Corp.</t>
  </si>
  <si>
    <t>0001493152-24-031184</t>
  </si>
  <si>
    <t>CXJ GROUP CO., Limited</t>
  </si>
  <si>
    <t>0001554855-24-000621</t>
  </si>
  <si>
    <t>EVE HOLDING, INC.</t>
  </si>
  <si>
    <t>0000950170-24-054447</t>
  </si>
  <si>
    <t>ARKO Corp.</t>
  </si>
  <si>
    <t>0001823878-24-000017</t>
  </si>
  <si>
    <t>PLAYSTUDIOS, Inc.</t>
  </si>
  <si>
    <t>0001823945-24-000041</t>
  </si>
  <si>
    <t>BLUE OWL CAPITAL INC.</t>
  </si>
  <si>
    <t>0001824293-24-000105</t>
  </si>
  <si>
    <t>GRI BIO, INC.</t>
  </si>
  <si>
    <t>0001628280-24-036279</t>
  </si>
  <si>
    <t>Archer Aviation Inc.</t>
  </si>
  <si>
    <t>0000950170-24-055706</t>
  </si>
  <si>
    <t>Surrozen, Inc./DE</t>
  </si>
  <si>
    <t>0000950170-24-057804</t>
  </si>
  <si>
    <t>IONQ, INC.</t>
  </si>
  <si>
    <t>0000950170-24-053581</t>
  </si>
  <si>
    <t>Offerpad Solutions Inc.</t>
  </si>
  <si>
    <t>0001825079-24-000020</t>
  </si>
  <si>
    <t>Velo3D, Inc.</t>
  </si>
  <si>
    <t>0001825088-24-000032</t>
  </si>
  <si>
    <t>DREAM FINDERS HOMES, INC.</t>
  </si>
  <si>
    <t>0001825248-24-000011</t>
  </si>
  <si>
    <t>FRANKLIN BSP CAPITAL CORPORATION</t>
  </si>
  <si>
    <t>0001410578-24-000757</t>
  </si>
  <si>
    <t>Stone Point Credit Corporation</t>
  </si>
  <si>
    <t>0001654954-24-010636</t>
  </si>
  <si>
    <t>ONFOLIO HOLDINGS INC.</t>
  </si>
  <si>
    <t>0001825590-24-000017</t>
  </si>
  <si>
    <t>SL Investment Corp.</t>
  </si>
  <si>
    <t>0000950170-24-096912</t>
  </si>
  <si>
    <t>Banzai International, Inc.</t>
  </si>
  <si>
    <t>0001493152-24-019561</t>
  </si>
  <si>
    <t>AGRIFORCE GROWING SYSTEMS LTD.</t>
  </si>
  <si>
    <t>0000950170-24-093296</t>
  </si>
  <si>
    <t>Monte Rosa Therapeutics, Inc.</t>
  </si>
  <si>
    <t>0000950170-24-069337</t>
  </si>
  <si>
    <t>Petco Health and Wellness Company, Inc.</t>
  </si>
  <si>
    <t>0000950170-24-057177</t>
  </si>
  <si>
    <t>MONTAUK RENEWABLES, INC.</t>
  </si>
  <si>
    <t>0001213900-24-070737</t>
  </si>
  <si>
    <t>WETOUCH TECHNOLOGY INC.</t>
  </si>
  <si>
    <t>0001826667-24-000039</t>
  </si>
  <si>
    <t>TRISALUS LIFE SCIENCES, INC.</t>
  </si>
  <si>
    <t>0000950170-24-055837</t>
  </si>
  <si>
    <t>Palladyne AI Corp.</t>
  </si>
  <si>
    <t>0000950170-24-091973</t>
  </si>
  <si>
    <t>The Beachbody Company, Inc.</t>
  </si>
  <si>
    <t>0000950170-24-059757</t>
  </si>
  <si>
    <t>BIOATLA, INC.</t>
  </si>
  <si>
    <t>0000950170-24-095755</t>
  </si>
  <si>
    <t>VIGIL NEUROSCIENCE, INC.</t>
  </si>
  <si>
    <t>0001827090-24-000013</t>
  </si>
  <si>
    <t>Certara, Inc.</t>
  </si>
  <si>
    <t>0001827506-24-000072</t>
  </si>
  <si>
    <t>TOURMALINE BIO, INC.</t>
  </si>
  <si>
    <t>0001628280-24-021134</t>
  </si>
  <si>
    <t>Forge Global Holdings, Inc.</t>
  </si>
  <si>
    <t>0001683168-24-005770</t>
  </si>
  <si>
    <t>Medicale Corp.</t>
  </si>
  <si>
    <t>0001828016-24-000029</t>
  </si>
  <si>
    <t>PLAYTIKA HOLDING CORP.</t>
  </si>
  <si>
    <t>0001828105-24-000027</t>
  </si>
  <si>
    <t>HIPPO HOLDINGS INC.</t>
  </si>
  <si>
    <t>0001828108-24-000088</t>
  </si>
  <si>
    <t>Aurora Innovation, Inc.</t>
  </si>
  <si>
    <t>0000950170-24-093388</t>
  </si>
  <si>
    <t>FTC SOLAR, INC.</t>
  </si>
  <si>
    <t>0001828185-24-000036</t>
  </si>
  <si>
    <t>BARINTHUS BIOTHERAPEUTICS PLC</t>
  </si>
  <si>
    <t>0001410578-24-001469</t>
  </si>
  <si>
    <t>CHURCHILL CAPITAL CORP VII</t>
  </si>
  <si>
    <t>0001828318-24-000066</t>
  </si>
  <si>
    <t>Enovix Corporation</t>
  </si>
  <si>
    <t>0001828376-24-000014</t>
  </si>
  <si>
    <t>WILLIAM PENN BANCORPORATION</t>
  </si>
  <si>
    <t>0001558370-24-007043</t>
  </si>
  <si>
    <t>Fortitude Gold Corporation</t>
  </si>
  <si>
    <t>0000950170-24-056859</t>
  </si>
  <si>
    <t>eFFECTOR Therapeutics, Inc.</t>
  </si>
  <si>
    <t>0001828536-24-000099</t>
  </si>
  <si>
    <t>ENERGY VAULT HOLDINGS, INC.</t>
  </si>
  <si>
    <t>0001558370-24-012050</t>
  </si>
  <si>
    <t>Hanover Bancorp, Inc. /NY</t>
  </si>
  <si>
    <t>0000950170-24-097121</t>
  </si>
  <si>
    <t>HCW Biologics Inc.</t>
  </si>
  <si>
    <t>0001828723-24-000065</t>
  </si>
  <si>
    <t>ALTUS POWER, INC.</t>
  </si>
  <si>
    <t>0001477932-24-006498</t>
  </si>
  <si>
    <t>AZZURRO SOLUTIONS CORP.</t>
  </si>
  <si>
    <t>0001493152-24-018549</t>
  </si>
  <si>
    <t>ASIAFIN HOLDINGS CORP.</t>
  </si>
  <si>
    <t>0001828791-24-000024</t>
  </si>
  <si>
    <t>Viant Technology Inc.</t>
  </si>
  <si>
    <t>0001213900-24-041529</t>
  </si>
  <si>
    <t>AELUMA, INC.</t>
  </si>
  <si>
    <t>0001828852-24-000076</t>
  </si>
  <si>
    <t>MONDEE HOLDINGS, INC.</t>
  </si>
  <si>
    <t>0001828937-24-000039</t>
  </si>
  <si>
    <t>FINANCE OF AMERICA COMPANIES INC.</t>
  </si>
  <si>
    <t>0001828962-24-000102</t>
  </si>
  <si>
    <t>Cricut, Inc.</t>
  </si>
  <si>
    <t>0001828972-24-000113</t>
  </si>
  <si>
    <t>BuzzFeed, Inc.</t>
  </si>
  <si>
    <t>0001493152-24-030553</t>
  </si>
  <si>
    <t>BULLFROG AI HOLDINGS, INC.</t>
  </si>
  <si>
    <t>0001140361-24-037350</t>
  </si>
  <si>
    <t>FORIAN INC.</t>
  </si>
  <si>
    <t>0001683168-24-004815</t>
  </si>
  <si>
    <t>BITMINE IMMERSION TECHNOLOGIES, INC.</t>
  </si>
  <si>
    <t>0001829576-24-000036</t>
  </si>
  <si>
    <t>CARTER BANKSHARES, INC.</t>
  </si>
  <si>
    <t>0001558370-24-012264</t>
  </si>
  <si>
    <t>TRANSCODE THERAPEUTICS, INC.</t>
  </si>
  <si>
    <t>0001683168-24-003059</t>
  </si>
  <si>
    <t>Volcon, Inc.</t>
  </si>
  <si>
    <t>0000950170-24-091895</t>
  </si>
  <si>
    <t>Sensei Biotherapeutics, Inc.</t>
  </si>
  <si>
    <t>0001829864-24-000138</t>
  </si>
  <si>
    <t>TaskUs, Inc.</t>
  </si>
  <si>
    <t>0001410578-24-001466</t>
  </si>
  <si>
    <t>CORNER GROWTH ACQUISITION CORP.</t>
  </si>
  <si>
    <t>0001683168-24-003700</t>
  </si>
  <si>
    <t>EBET, Inc.</t>
  </si>
  <si>
    <t>0000950170-24-060059</t>
  </si>
  <si>
    <t>GRIID INFRASTRUCTURE INC.</t>
  </si>
  <si>
    <t>0000950170-24-093899</t>
  </si>
  <si>
    <t>PureCycle Technologies, Inc.</t>
  </si>
  <si>
    <t>0000950170-24-057159</t>
  </si>
  <si>
    <t>Bumble Inc.</t>
  </si>
  <si>
    <t>0001683168-24-003405</t>
  </si>
  <si>
    <t>iPower Inc.</t>
  </si>
  <si>
    <t>0001213900-24-042939</t>
  </si>
  <si>
    <t>RUMBLE INC.</t>
  </si>
  <si>
    <t>0001830188-24-000027</t>
  </si>
  <si>
    <t>United Homes Group, Inc.</t>
  </si>
  <si>
    <t>0001830210-24-000050</t>
  </si>
  <si>
    <t>Benson Hill, Inc.</t>
  </si>
  <si>
    <t>0001493152-24-023403</t>
  </si>
  <si>
    <t>GLOBAL LEADERS CORP.</t>
  </si>
  <si>
    <t>0000950170-24-096668</t>
  </si>
  <si>
    <t>Achilles Therapeutics plc</t>
  </si>
  <si>
    <t>0001213900-24-070736</t>
  </si>
  <si>
    <t>BLUERIVER ACQUISITION CORP.</t>
  </si>
  <si>
    <t>0000950170-24-055820</t>
  </si>
  <si>
    <t>Great Elm Group, Inc.</t>
  </si>
  <si>
    <t>0001628280-24-021088</t>
  </si>
  <si>
    <t>agilon health, inc.</t>
  </si>
  <si>
    <t>0001654954-24-012303</t>
  </si>
  <si>
    <t>NOVUSTERRA INC.</t>
  </si>
  <si>
    <t>0001410578-24-000934</t>
  </si>
  <si>
    <t>BITE ACQUISITION CORP.</t>
  </si>
  <si>
    <t>0001410578-24-001450</t>
  </si>
  <si>
    <t>JAWS MUSTANG ACQUISITION CORPORATION</t>
  </si>
  <si>
    <t>0000950170-24-090925</t>
  </si>
  <si>
    <t>Terns Pharmaceuticals, Inc.</t>
  </si>
  <si>
    <t>0001831481-24-000007</t>
  </si>
  <si>
    <t>SABLE OFFSHORE CORP.</t>
  </si>
  <si>
    <t>0001831631-24-000112</t>
  </si>
  <si>
    <t>loanDepot, Inc.</t>
  </si>
  <si>
    <t>0001831651-24-000057</t>
  </si>
  <si>
    <t>Shoals Technologies Group, Inc.</t>
  </si>
  <si>
    <t>0000950170-24-094108</t>
  </si>
  <si>
    <t>Vera Therapeutics, Inc.</t>
  </si>
  <si>
    <t>0001628280-24-036496</t>
  </si>
  <si>
    <t>Semrush Holdings, Inc.</t>
  </si>
  <si>
    <t>0000950170-24-096356</t>
  </si>
  <si>
    <t>SEASTAR MEDICAL HOLDING CORPORATION</t>
  </si>
  <si>
    <t>IRIS ACQUISITION CORP</t>
  </si>
  <si>
    <t>0001213900-24-081132</t>
  </si>
  <si>
    <t>NORTHERN REVIVAL ACQUISITION CORPORATION</t>
  </si>
  <si>
    <t>0001410578-24-001060</t>
  </si>
  <si>
    <t>Newbury Street Acquisition Corp</t>
  </si>
  <si>
    <t>0000950170-24-096674</t>
  </si>
  <si>
    <t>Invivyd, Inc.</t>
  </si>
  <si>
    <t>0001410578-24-000931</t>
  </si>
  <si>
    <t>OSIRIS ACQUISITION CORP.</t>
  </si>
  <si>
    <t>0000950170-24-055582</t>
  </si>
  <si>
    <t>SLR HC BDC LLC</t>
  </si>
  <si>
    <t>0000950170-24-089319</t>
  </si>
  <si>
    <t>Longboard Pharmaceuticals, Inc.</t>
  </si>
  <si>
    <t>0000950170-24-056215</t>
  </si>
  <si>
    <t>Aveanna Healthcare Holdings Inc.</t>
  </si>
  <si>
    <t>0001832433-24-000010</t>
  </si>
  <si>
    <t>Ferguson plc</t>
  </si>
  <si>
    <t>0001628280-24-019994</t>
  </si>
  <si>
    <t>ALIGNMENT HEALTHCARE, INC.</t>
  </si>
  <si>
    <t>0001832483-24-000016</t>
  </si>
  <si>
    <t>SERVE ROBOTICS INC.</t>
  </si>
  <si>
    <t>0001437749-24-026159</t>
  </si>
  <si>
    <t>Guerrilla RF, Inc.</t>
  </si>
  <si>
    <t>0001628280-24-021690</t>
  </si>
  <si>
    <t>P3 Health Partners Inc.</t>
  </si>
  <si>
    <t>0001493152-24-019246</t>
  </si>
  <si>
    <t>KERNEL GROUP HOLDINGS, INC.</t>
  </si>
  <si>
    <t>0001558370-24-011205</t>
  </si>
  <si>
    <t>Latham Group, Inc.</t>
  </si>
  <si>
    <t>0000950170-24-094084</t>
  </si>
  <si>
    <t>SAB BIOTHERAPEUTICS, INC.</t>
  </si>
  <si>
    <t>0001213900-24-067651</t>
  </si>
  <si>
    <t>SPECTRAL AI, INC.</t>
  </si>
  <si>
    <t>0001628280-24-019617</t>
  </si>
  <si>
    <t>Leonardo DRS, Inc.</t>
  </si>
  <si>
    <t>0000950170-24-094720</t>
  </si>
  <si>
    <t>Hyperfine, Inc.</t>
  </si>
  <si>
    <t>0000950170-24-059566</t>
  </si>
  <si>
    <t>PAYSAFE LIMITED</t>
  </si>
  <si>
    <t>0001213900-24-068768</t>
  </si>
  <si>
    <t>CONSTELLATION ACQUISITION CORP I</t>
  </si>
  <si>
    <t>0000950170-24-060487</t>
  </si>
  <si>
    <t>Vintage Wine Estates, Inc.</t>
  </si>
  <si>
    <t>0001493152-24-018663</t>
  </si>
  <si>
    <t>Impact     BioMedical, INC.</t>
  </si>
  <si>
    <t>0001834376-24-000022</t>
  </si>
  <si>
    <t>InnovAge Holding Corp.</t>
  </si>
  <si>
    <t>0001834488-24-000060</t>
  </si>
  <si>
    <t>N-able, Inc.</t>
  </si>
  <si>
    <t>0001213900-24-068974</t>
  </si>
  <si>
    <t>GP-Act III Acquisition Corp.</t>
  </si>
  <si>
    <t>0001834584-24-000044</t>
  </si>
  <si>
    <t>COUPANG, INC.</t>
  </si>
  <si>
    <t>Hayward Holdings, Inc.</t>
  </si>
  <si>
    <t>0000950170-24-095075</t>
  </si>
  <si>
    <t>Coya Therapeutics, Inc.</t>
  </si>
  <si>
    <t>0001835256-24-000031</t>
  </si>
  <si>
    <t>The Duckhorn Portfolio, Inc.</t>
  </si>
  <si>
    <t>0001835378-24-000058</t>
  </si>
  <si>
    <t>Innovid Corp.</t>
  </si>
  <si>
    <t>0001558370-24-007973</t>
  </si>
  <si>
    <t>MARATHON BANCORP, INC.</t>
  </si>
  <si>
    <t>0001213900-24-067989</t>
  </si>
  <si>
    <t>MORINGA ACQUISITION CORP</t>
  </si>
  <si>
    <t>0000950170-24-059070</t>
  </si>
  <si>
    <t>TERRAN ORBITAL CORPORATION</t>
  </si>
  <si>
    <t>0000950170-24-093880</t>
  </si>
  <si>
    <t>IKENA ONCOLOGY, INC.</t>
  </si>
  <si>
    <t>0001835591-24-000080</t>
  </si>
  <si>
    <t>VIZIO HOLDING CORP.</t>
  </si>
  <si>
    <t>0000950170-24-093351</t>
  </si>
  <si>
    <t>PEPGEN INC.</t>
  </si>
  <si>
    <t>0001835632-24-000142</t>
  </si>
  <si>
    <t>MARVELL TECHNOLOGY, INC</t>
  </si>
  <si>
    <t>0001835681-24-000069</t>
  </si>
  <si>
    <t>PowerSchool Holdings, Inc.</t>
  </si>
  <si>
    <t>0001835830-24-000055</t>
  </si>
  <si>
    <t>Klaviyo, Inc.</t>
  </si>
  <si>
    <t>0001628280-24-023537</t>
  </si>
  <si>
    <t>Better Home &amp; Finance Holding Company</t>
  </si>
  <si>
    <t>0001213900-24-044397</t>
  </si>
  <si>
    <t>ILEARNINGENGINES, INC.</t>
  </si>
  <si>
    <t>0001493152-24-035867</t>
  </si>
  <si>
    <t>GOAL ACQUISITIONS CORP.</t>
  </si>
  <si>
    <t>0000950170-24-060454</t>
  </si>
  <si>
    <t>Fathom Digital Manufacturing Corporation</t>
  </si>
  <si>
    <t>0001493152-24-033012</t>
  </si>
  <si>
    <t>RETINALGENIX TECHNOLOGIES INC.</t>
  </si>
  <si>
    <t>Planet Labs PBC</t>
  </si>
  <si>
    <t>0001836875-24-000052</t>
  </si>
  <si>
    <t>NUVVE HOLDING CORP.</t>
  </si>
  <si>
    <t>0001628280-24-022622</t>
  </si>
  <si>
    <t>BigBear.ai Holdings, Inc.</t>
  </si>
  <si>
    <t>0000950170-24-092293</t>
  </si>
  <si>
    <t>SMARTRENT, INC.</t>
  </si>
  <si>
    <t>0001837240-24-000111</t>
  </si>
  <si>
    <t>SYMBOTIC INC.</t>
  </si>
  <si>
    <t>0000950170-24-058684</t>
  </si>
  <si>
    <t>APOLLO DEBT SOLUTIONS BDC</t>
  </si>
  <si>
    <t>0001837607-24-000063</t>
  </si>
  <si>
    <t>AEON Biopharma, Inc.</t>
  </si>
  <si>
    <t>0001837671-24-000028</t>
  </si>
  <si>
    <t>Copper Property CTL Pass Through Trust</t>
  </si>
  <si>
    <t>0001837686-24-000049</t>
  </si>
  <si>
    <t>VIMEO, INC.</t>
  </si>
  <si>
    <t>0001213900-24-069011</t>
  </si>
  <si>
    <t>NEW PROVIDENCE ACQUISITION CORP. II</t>
  </si>
  <si>
    <t>0001838126-24-000038</t>
  </si>
  <si>
    <t>HPS Corporate Lending Fund</t>
  </si>
  <si>
    <t>0001654954-24-006255</t>
  </si>
  <si>
    <t>LOWELL FARMS INC.</t>
  </si>
  <si>
    <t>0001213900-24-069017</t>
  </si>
  <si>
    <t>SLAM CORP.</t>
  </si>
  <si>
    <t>0001838163-24-000011</t>
  </si>
  <si>
    <t>Brand Engagement Network Inc.</t>
  </si>
  <si>
    <t>0001213900-24-081149</t>
  </si>
  <si>
    <t>CATCHA INVESTMENT CORP</t>
  </si>
  <si>
    <t>0001558370-24-007606</t>
  </si>
  <si>
    <t>RIGETTI COMPUTING, INC.</t>
  </si>
  <si>
    <t>0001193125-24-195960</t>
  </si>
  <si>
    <t>MARBLEGATE ACQUISITION CORP.</t>
  </si>
  <si>
    <t>0001628280-24-022638</t>
  </si>
  <si>
    <t>AlTi Global, Inc.</t>
  </si>
  <si>
    <t>0000950170-24-052196</t>
  </si>
  <si>
    <t>AdTheorent Holding Company, Inc.</t>
  </si>
  <si>
    <t>0001140361-24-026933</t>
  </si>
  <si>
    <t>ARYA SCIENCES ACQUISITION CORP IV</t>
  </si>
  <si>
    <t>0001683168-24-005650</t>
  </si>
  <si>
    <t>GEOSOLAR TECHNOLOGIES, INC.</t>
  </si>
  <si>
    <t>0001213900-24-043833</t>
  </si>
  <si>
    <t>COMPLETE SOLARIA, INC.</t>
  </si>
  <si>
    <t>0001493152-24-018877</t>
  </si>
  <si>
    <t>IR-Med, Inc.</t>
  </si>
  <si>
    <t>0001213900-24-045251</t>
  </si>
  <si>
    <t>HEALTHCARE TRIANGLE, INC.</t>
  </si>
  <si>
    <t>0001628280-24-021848</t>
  </si>
  <si>
    <t>Core Scientific, Inc./tx</t>
  </si>
  <si>
    <t>0001839439-24-000016</t>
  </si>
  <si>
    <t>PAYCOR HCM, INC.</t>
  </si>
  <si>
    <t>0001213900-24-069043</t>
  </si>
  <si>
    <t>CF ACQUISITION CORP. VII</t>
  </si>
  <si>
    <t>0001558370-24-011812</t>
  </si>
  <si>
    <t>XBP Europe Holdings, Inc.</t>
  </si>
  <si>
    <t>0000950170-24-057835</t>
  </si>
  <si>
    <t>GETAROUND, INC.</t>
  </si>
  <si>
    <t>0001839839-24-000186</t>
  </si>
  <si>
    <t>JANUS INTERNATIONAL GROUP, INC.</t>
  </si>
  <si>
    <t>0001839998-24-000040</t>
  </si>
  <si>
    <t>American Oncology Network, Inc.</t>
  </si>
  <si>
    <t>0000950170-24-096142</t>
  </si>
  <si>
    <t>MiNK Therapeutics, Inc.</t>
  </si>
  <si>
    <t>0001558370-24-008068</t>
  </si>
  <si>
    <t>Xilio Therapeutics, Inc.</t>
  </si>
  <si>
    <t>0001840292-24-000022</t>
  </si>
  <si>
    <t>Heliogen, Inc.</t>
  </si>
  <si>
    <t>0001213900-24-077054</t>
  </si>
  <si>
    <t>PLUM ACQUISITION CORP. I</t>
  </si>
  <si>
    <t>0001193125-24-202828</t>
  </si>
  <si>
    <t>BELLEVUE LIFE SCIENCES ACQUISITION CORP.</t>
  </si>
  <si>
    <t>Biomea Fusion, Inc.</t>
  </si>
  <si>
    <t>0001140361-24-024776</t>
  </si>
  <si>
    <t>TABOOLA.COM LTD.</t>
  </si>
  <si>
    <t>0001213900-24-043568</t>
  </si>
  <si>
    <t>ELEVAI LABS INC.</t>
  </si>
  <si>
    <t>0001628280-24-020461</t>
  </si>
  <si>
    <t>BOWLERO CORP.</t>
  </si>
  <si>
    <t>0000950170-24-093327</t>
  </si>
  <si>
    <t>VERVE THERAPEUTICS, INC.</t>
  </si>
  <si>
    <t>0001840780-24-000024</t>
  </si>
  <si>
    <t>Local Bounti Corporation/DE</t>
  </si>
  <si>
    <t>0001840856-24-000019</t>
  </si>
  <si>
    <t>SOUNDHOUND AI, INC.</t>
  </si>
  <si>
    <t>0001213900-24-067381</t>
  </si>
  <si>
    <t>ENVOY MEDICAL, INC.</t>
  </si>
  <si>
    <t>0000950170-24-060044</t>
  </si>
  <si>
    <t>ATAI LIFE SCIENCES N.V.</t>
  </si>
  <si>
    <t>0001213900-24-066691</t>
  </si>
  <si>
    <t>GOLDEN ARROW MERGER CORP.</t>
  </si>
  <si>
    <t>0000950170-24-094238</t>
  </si>
  <si>
    <t>Paymentus Holdings, Inc.</t>
  </si>
  <si>
    <t>0001999371-24-006073</t>
  </si>
  <si>
    <t>Valkyrie Bitcoin Fund</t>
  </si>
  <si>
    <t>0001213900-24-068297</t>
  </si>
  <si>
    <t>PASITHEA THERAPEUTICS CORP.</t>
  </si>
  <si>
    <t>0000950170-24-059118</t>
  </si>
  <si>
    <t>CANDEL THERAPEUTICS, INC.</t>
  </si>
  <si>
    <t>0000950170-24-054605</t>
  </si>
  <si>
    <t>Dave Inc./DE</t>
  </si>
  <si>
    <t>0001213900-24-042980</t>
  </si>
  <si>
    <t>Verde Clean Fuels, Inc.</t>
  </si>
  <si>
    <t>0000950170-24-057722</t>
  </si>
  <si>
    <t>Commonwealth Credit Partners BDC I, Inc.</t>
  </si>
  <si>
    <t>0001628280-24-023259</t>
  </si>
  <si>
    <t>Grove Collaborative Holdings, Inc.</t>
  </si>
  <si>
    <t>0000950170-24-056913</t>
  </si>
  <si>
    <t>Instructure Holdings, Inc.</t>
  </si>
  <si>
    <t>0001628280-24-022356</t>
  </si>
  <si>
    <t>INDIE SEMICONDUCTOR, INC.</t>
  </si>
  <si>
    <t>0000950170-24-056908</t>
  </si>
  <si>
    <t>P10, Inc.</t>
  </si>
  <si>
    <t>0001842022-24-000007</t>
  </si>
  <si>
    <t>DT Midstream, Inc.</t>
  </si>
  <si>
    <t>0001842356-24-000217</t>
  </si>
  <si>
    <t>Wag! Group Co.</t>
  </si>
  <si>
    <t>0001213900-24-045177</t>
  </si>
  <si>
    <t>HNR ACQUISITION CORP</t>
  </si>
  <si>
    <t>0001842563-24-000020</t>
  </si>
  <si>
    <t>GO GO BUYERS, INC.</t>
  </si>
  <si>
    <t>0001654954-24-010635</t>
  </si>
  <si>
    <t>Airship AI Holdings, Inc.</t>
  </si>
  <si>
    <t>0001842718-24-000048</t>
  </si>
  <si>
    <t>INTEGRAL AD SCIENCE HOLDING CORP.</t>
  </si>
  <si>
    <t>0001213900-24-043548</t>
  </si>
  <si>
    <t>HENNESSY CAPITAL INVESTMENT CORP. VI</t>
  </si>
  <si>
    <t>0000950170-24-060506</t>
  </si>
  <si>
    <t>CARMELL CORPORATION</t>
  </si>
  <si>
    <t>0001842952-24-000065</t>
  </si>
  <si>
    <t>CONTEXT THERAPEUTICS INC.</t>
  </si>
  <si>
    <t>0001140361-24-025238</t>
  </si>
  <si>
    <t>SILVER SPIKE INVESTMENT CORP.</t>
  </si>
  <si>
    <t>0001213900-24-068504</t>
  </si>
  <si>
    <t>LQR House Inc.</t>
  </si>
  <si>
    <t>0001140361-24-026914</t>
  </si>
  <si>
    <t>bleuacacia ltd</t>
  </si>
  <si>
    <t>0001410578-24-001228</t>
  </si>
  <si>
    <t>SPRING VALLEY ACQUISITION CORP. II</t>
  </si>
  <si>
    <t>0001477932-24-004891</t>
  </si>
  <si>
    <t>ROYALTY MANAGEMENT HOLDING CORPORATION</t>
  </si>
  <si>
    <t>0000950170-24-097220</t>
  </si>
  <si>
    <t>Zapata Computing Holdings Inc.</t>
  </si>
  <si>
    <t>0001628280-24-035831</t>
  </si>
  <si>
    <t>LanzaTech Global, Inc.</t>
  </si>
  <si>
    <t>0001628280-24-036817</t>
  </si>
  <si>
    <t>flyExclusive, Inc.</t>
  </si>
  <si>
    <t>0001013762-24-002763</t>
  </si>
  <si>
    <t>THUNDER BRIDGE CAPITAL PARTNERS IV, INC.</t>
  </si>
  <si>
    <t>0001213900-24-070833</t>
  </si>
  <si>
    <t>SPECTAIRE HOLDINGS INC.</t>
  </si>
  <si>
    <t>0000950170-24-056844</t>
  </si>
  <si>
    <t>MARPAI, INC.</t>
  </si>
  <si>
    <t>0001213900-24-043126</t>
  </si>
  <si>
    <t>ESTRELLA IMMUNOPHARMA, INC.</t>
  </si>
  <si>
    <t>MAQUIA CAPITAL ACQUISITION CORPORATION</t>
  </si>
  <si>
    <t>0001844452-24-000070</t>
  </si>
  <si>
    <t>INTUITIVE MACHINES, INC.</t>
  </si>
  <si>
    <t>0001844505-24-000013</t>
  </si>
  <si>
    <t>QT Imaging Holdings, Inc.</t>
  </si>
  <si>
    <t>0001213900-24-068303</t>
  </si>
  <si>
    <t>ACHARI VENTURES HOLDINGS CORP. I</t>
  </si>
  <si>
    <t>0001193125-24-204395</t>
  </si>
  <si>
    <t>Armada Acquisition Corp. I</t>
  </si>
  <si>
    <t>0001558370-24-011190</t>
  </si>
  <si>
    <t>SOLID POWER, INC.</t>
  </si>
  <si>
    <t>0001628280-24-037288</t>
  </si>
  <si>
    <t>Greenidge Generation Holdings Inc.</t>
  </si>
  <si>
    <t>0001845022-24-000072</t>
  </si>
  <si>
    <t>Couchbase, Inc.</t>
  </si>
  <si>
    <t>0001213900-24-073913</t>
  </si>
  <si>
    <t>SWIFTMERGE ACQUISITION CORP.</t>
  </si>
  <si>
    <t>0001410578-24-001498</t>
  </si>
  <si>
    <t>CHAIN BRIDGE I</t>
  </si>
  <si>
    <t>0000950170-24-056989</t>
  </si>
  <si>
    <t>LifeStance Health Group, Inc.</t>
  </si>
  <si>
    <t>DAY ONE BIOPHARMACEUTICALS, INC.</t>
  </si>
  <si>
    <t>0001845437-24-000018</t>
  </si>
  <si>
    <t>NET Power Inc.</t>
  </si>
  <si>
    <t>0001845459-24-000012</t>
  </si>
  <si>
    <t>NKGen Biotech, Inc.</t>
  </si>
  <si>
    <t>0001213900-24-085562</t>
  </si>
  <si>
    <t>Plum Acquisition Corp. III</t>
  </si>
  <si>
    <t>0000950170-24-059158</t>
  </si>
  <si>
    <t>CULLMAN BANCORP, INC.</t>
  </si>
  <si>
    <t>0001558370-24-007336</t>
  </si>
  <si>
    <t>Payoneer Global Inc.</t>
  </si>
  <si>
    <t>0001731122-24-001179</t>
  </si>
  <si>
    <t>BANNIX ACQUISITION CORP.</t>
  </si>
  <si>
    <t>0001628280-24-023238</t>
  </si>
  <si>
    <t>BLUE FOUNDRY BANCORP</t>
  </si>
  <si>
    <t>0001846069-24-000127</t>
  </si>
  <si>
    <t>Nextdoor Holdings, Inc</t>
  </si>
  <si>
    <t>0000950170-24-054348</t>
  </si>
  <si>
    <t>Global Crossing Airlines Group, Inc</t>
  </si>
  <si>
    <t>0001846253-24-000073</t>
  </si>
  <si>
    <t>OMNIAB, INC.</t>
  </si>
  <si>
    <t>0000950170-24-057463</t>
  </si>
  <si>
    <t>Soho House &amp; Co Inc.</t>
  </si>
  <si>
    <t>0001628280-24-036155</t>
  </si>
  <si>
    <t>FIGS, Inc.</t>
  </si>
  <si>
    <t>0001753926-24-001030</t>
  </si>
  <si>
    <t>OceanTech     Acquisitions I Corp.</t>
  </si>
  <si>
    <t>0001829126-24-003544</t>
  </si>
  <si>
    <t>SDCL EDGE Acquisition Corporation</t>
  </si>
  <si>
    <t>0001213900-24-068616</t>
  </si>
  <si>
    <t>PSQ Holdings, Inc.</t>
  </si>
  <si>
    <t>0001193125-24-200628</t>
  </si>
  <si>
    <t>TORTOISEECOFIN ACQUISITION CORP. III</t>
  </si>
  <si>
    <t>0001213900-24-053108</t>
  </si>
  <si>
    <t>PROJECT ENERGY REIMAGINED ACQUISITION CORP.</t>
  </si>
  <si>
    <t>0001493152-24-032815</t>
  </si>
  <si>
    <t>POWERUP ACQUISITION CORP.</t>
  </si>
  <si>
    <t>0001193125-24-203643</t>
  </si>
  <si>
    <t>TARGET GLOBAL ACQUISITION I CORP.</t>
  </si>
  <si>
    <t>0000950170-24-055922</t>
  </si>
  <si>
    <t>1895 Bancorp of Wisconsin, Inc.</t>
  </si>
  <si>
    <t>0001558370-24-012081</t>
  </si>
  <si>
    <t>Alumis Inc.</t>
  </si>
  <si>
    <t>0001558370-24-011687</t>
  </si>
  <si>
    <t>NorthEast Community Bancorp, Inc.</t>
  </si>
  <si>
    <t>0001410578-24-001447</t>
  </si>
  <si>
    <t>Coliseum Acquisition Corp.</t>
  </si>
  <si>
    <t>0001410578-24-001464</t>
  </si>
  <si>
    <t>CORNER GROWTH ACQUISITION CORP. 2</t>
  </si>
  <si>
    <t>0001140361-24-037848</t>
  </si>
  <si>
    <t>LEARN CW INVESTMENT CORP</t>
  </si>
  <si>
    <t>0001628280-24-021187</t>
  </si>
  <si>
    <t>BOWMAN CONSULTING GROUP LTD.</t>
  </si>
  <si>
    <t>0001437749-24-017142</t>
  </si>
  <si>
    <t>MOBILE INFRASTRUCTURE CORPORATION</t>
  </si>
  <si>
    <t>0001847903-24-000081</t>
  </si>
  <si>
    <t>CENTESSA PHARMACEUTICALS PLC</t>
  </si>
  <si>
    <t>0001493152-24-032322</t>
  </si>
  <si>
    <t>DRAGONFLY ENERGY HOLDINGS CORP.</t>
  </si>
  <si>
    <t>0001079973-24-000966</t>
  </si>
  <si>
    <t>OKMIN RESOURCES INC.</t>
  </si>
  <si>
    <t>0001628280-24-021332</t>
  </si>
  <si>
    <t>VERANO HOLDINGS CORP.</t>
  </si>
  <si>
    <t>0001410578-24-001541</t>
  </si>
  <si>
    <t>CARTICA ACQUISITION CORP</t>
  </si>
  <si>
    <t>0001096906-24-001373</t>
  </si>
  <si>
    <t>GLIDELOGIC CORP.</t>
  </si>
  <si>
    <t>0001213900-24-083464</t>
  </si>
  <si>
    <t>PYROPHYTE ACQUISITION CORP.</t>
  </si>
  <si>
    <t>0001477932-24-005453</t>
  </si>
  <si>
    <t>HEALTHCARE AI ACQUISITION CORP.</t>
  </si>
  <si>
    <t>0001213900-24-045168</t>
  </si>
  <si>
    <t>AFRICAN AGRICULTURE HOLDINGS INC.</t>
  </si>
  <si>
    <t>0001410578-24-001386</t>
  </si>
  <si>
    <t>OKLO INC.</t>
  </si>
  <si>
    <t>0001213900-24-069635</t>
  </si>
  <si>
    <t>CLOVER LEAF CAPITAL CORP.</t>
  </si>
  <si>
    <t>0001849089-24-000019</t>
  </si>
  <si>
    <t>LAFAYETTE SQUARE USA, INC.</t>
  </si>
  <si>
    <t>0000950170-24-052483</t>
  </si>
  <si>
    <t>RYAN SPECIALTY HOLDINGS, INC.</t>
  </si>
  <si>
    <t>0001683168-24-005920</t>
  </si>
  <si>
    <t>FORTUNE RISE ACQUISITION CORPORATION</t>
  </si>
  <si>
    <t>0001558370-24-008131</t>
  </si>
  <si>
    <t>Texas Community Bancshares, Inc.</t>
  </si>
  <si>
    <t>0001213900-24-069102</t>
  </si>
  <si>
    <t>ONYX ACQUISITION CO. I</t>
  </si>
  <si>
    <t>0001140361-24-036633</t>
  </si>
  <si>
    <t>Trump Media &amp; Technology Group Corp.</t>
  </si>
  <si>
    <t>0001558370-24-008291</t>
  </si>
  <si>
    <t>PB BANKSHARES, INC</t>
  </si>
  <si>
    <t>0001213900-24-069124</t>
  </si>
  <si>
    <t>PATRIA LATIN AMERICAN OPPORTUNITY ACQUISITION CORP.</t>
  </si>
  <si>
    <t>0001849820-24-000112</t>
  </si>
  <si>
    <t>NAUTICUS ROBOTICS, INC.</t>
  </si>
  <si>
    <t>0001558370-24-008243</t>
  </si>
  <si>
    <t>CATALYST BANCORP, INC.</t>
  </si>
  <si>
    <t>0000950170-24-058054</t>
  </si>
  <si>
    <t>MSD Investment Corp.</t>
  </si>
  <si>
    <t>0001753926-24-001003</t>
  </si>
  <si>
    <t>SEP ACQUISITION CORP.</t>
  </si>
  <si>
    <t>0000950170-24-093244</t>
  </si>
  <si>
    <t>Telesis Bio Inc.</t>
  </si>
  <si>
    <t>0001558370-24-011467</t>
  </si>
  <si>
    <t>Century Therapeutics, Inc.</t>
  </si>
  <si>
    <t>0001193125-24-200626</t>
  </si>
  <si>
    <t>INTEGRAL ACQUISITION CORPORATION 1</t>
  </si>
  <si>
    <t>0000950170-24-059580</t>
  </si>
  <si>
    <t>Akili, Inc.</t>
  </si>
  <si>
    <t>0000950170-24-057785</t>
  </si>
  <si>
    <t>ProKidney Corp.</t>
  </si>
  <si>
    <t>0000950170-24-057775</t>
  </si>
  <si>
    <t>TC Bancshares, Inc.</t>
  </si>
  <si>
    <t>0001140361-24-037682</t>
  </si>
  <si>
    <t>ENPHYS ACQUISITION CORP.</t>
  </si>
  <si>
    <t>0001493152-24-020584</t>
  </si>
  <si>
    <t>ACCUSTEM SCIENCES, INC.</t>
  </si>
  <si>
    <t>0001213900-24-043476</t>
  </si>
  <si>
    <t>Kayne DL 2021, Inc.</t>
  </si>
  <si>
    <t>0000950170-24-091197</t>
  </si>
  <si>
    <t>Omega Therapeutics, Inc.</t>
  </si>
  <si>
    <t>0000950170-24-058827</t>
  </si>
  <si>
    <t>ALPHA TEKNOVA, INC.</t>
  </si>
  <si>
    <t>0000950170-24-096192</t>
  </si>
  <si>
    <t>Singular Genomics Systems, Inc.</t>
  </si>
  <si>
    <t>0001850938-24-000010</t>
  </si>
  <si>
    <t>WTI Fund X, Inc.</t>
  </si>
  <si>
    <t>0000950170-24-088967</t>
  </si>
  <si>
    <t>ZETA GLOBAL HOLDINGS CORP.</t>
  </si>
  <si>
    <t>0000950170-24-098676</t>
  </si>
  <si>
    <t>CYBER APP SOLUTIONS CORP.</t>
  </si>
  <si>
    <t>0000950170-24-057003</t>
  </si>
  <si>
    <t>Ventyx Biosciences, Inc.</t>
  </si>
  <si>
    <t>0001851277-24-000016</t>
  </si>
  <si>
    <t>Carlyle Secured Lending III</t>
  </si>
  <si>
    <t>0001851322-24-000076</t>
  </si>
  <si>
    <t>North Haven Private Income Fund LLC</t>
  </si>
  <si>
    <t>0001493152-24-030991</t>
  </si>
  <si>
    <t>CITIUS ONCOLOGY, INC.</t>
  </si>
  <si>
    <t>0001140361-24-037143</t>
  </si>
  <si>
    <t>Focus Impact BH3 Acquisition Company</t>
  </si>
  <si>
    <t>0001493152-24-032202</t>
  </si>
  <si>
    <t>Compass Digital Acquisition Corp.</t>
  </si>
  <si>
    <t>Concord Acquisition Corp II</t>
  </si>
  <si>
    <t>0001410578-24-001463</t>
  </si>
  <si>
    <t>GCT Semiconductor Holding, Inc.</t>
  </si>
  <si>
    <t>0001193125-24-199474</t>
  </si>
  <si>
    <t>ALTENERGY ACQUISITION CORP.</t>
  </si>
  <si>
    <t>0001410578-24-001534</t>
  </si>
  <si>
    <t>IX ACQUISITION CORP.</t>
  </si>
  <si>
    <t>0000950170-24-096318</t>
  </si>
  <si>
    <t>GENERATION ASIA I ACQUISITION LIMITED</t>
  </si>
  <si>
    <t>0001852244-24-000014</t>
  </si>
  <si>
    <t>GXO Logistics, Inc.</t>
  </si>
  <si>
    <t>0001852633-24-000036</t>
  </si>
  <si>
    <t>Pinstripes Holdings, Inc.</t>
  </si>
  <si>
    <t>0001929980-24-000217</t>
  </si>
  <si>
    <t>TRISTAR ACQUISITION I CORP.</t>
  </si>
  <si>
    <t>0001410578-24-001515</t>
  </si>
  <si>
    <t>EXCELFIN ACQUISITION CORP.</t>
  </si>
  <si>
    <t>0001193125-24-203697</t>
  </si>
  <si>
    <t>INVESTCORP INDIA ACQUISITION CORP</t>
  </si>
  <si>
    <t>0001628280-24-037185</t>
  </si>
  <si>
    <t>Borealis Foods Inc</t>
  </si>
  <si>
    <t>0001213900-24-071490</t>
  </si>
  <si>
    <t>HUDSON ACQUISITION I CORP.</t>
  </si>
  <si>
    <t>0001628280-24-037037</t>
  </si>
  <si>
    <t>VOLATO GROUP, INC.</t>
  </si>
  <si>
    <t>0001628280-24-034757</t>
  </si>
  <si>
    <t>ARES ACQUISITION CORPORATION II</t>
  </si>
  <si>
    <t>0001853145-24-000047</t>
  </si>
  <si>
    <t>EverCommerce Inc.</t>
  </si>
  <si>
    <t>Mister Car Wash, Inc.</t>
  </si>
  <si>
    <t>0001104659-24-070059</t>
  </si>
  <si>
    <t>Atour Lifestyle Holdings Limited</t>
  </si>
  <si>
    <t>0001654954-24-010103</t>
  </si>
  <si>
    <t>DERMATA THERAPEUTICS, INC.</t>
  </si>
  <si>
    <t>0001493152-24-019330</t>
  </si>
  <si>
    <t>Thumzup Media Corporation</t>
  </si>
  <si>
    <t>0000950170-24-096388</t>
  </si>
  <si>
    <t>Agriculture &amp; Natural Solutions Acquisition Corporation</t>
  </si>
  <si>
    <t>0001854270-24-000101</t>
  </si>
  <si>
    <t>Senti Biosciences, Inc.</t>
  </si>
  <si>
    <t>0001854401-24-000050</t>
  </si>
  <si>
    <t>BRIDGE INVESTMENT GROUP HOLDINGS INC.</t>
  </si>
  <si>
    <t>0001493152-24-019832</t>
  </si>
  <si>
    <t>THE GLIMPSE GROUP, INC.</t>
  </si>
  <si>
    <t>0001493152-24-031674</t>
  </si>
  <si>
    <t>WINVEST ACQUISITION CORP.</t>
  </si>
  <si>
    <t>0001140361-24-037795</t>
  </si>
  <si>
    <t>Focus Impact Acquisition Corp.</t>
  </si>
  <si>
    <t>0001477932-24-005142</t>
  </si>
  <si>
    <t>brooqLy, INC.</t>
  </si>
  <si>
    <t>0001213900-24-069119</t>
  </si>
  <si>
    <t>Collective Audience, Inc.</t>
  </si>
  <si>
    <t>0001493152-24-018878</t>
  </si>
  <si>
    <t>SHF Holdings, Inc.</t>
  </si>
  <si>
    <t>0001854964-24-000029</t>
  </si>
  <si>
    <t>NewLake Capital Partners, Inc.</t>
  </si>
  <si>
    <t>0001437749-24-026680</t>
  </si>
  <si>
    <t>Contineum Therapeutics, Inc.</t>
  </si>
  <si>
    <t>0000950170-24-091765</t>
  </si>
  <si>
    <t>Tigo Energy, Inc.</t>
  </si>
  <si>
    <t>0001855457-24-000048</t>
  </si>
  <si>
    <t>KORE Group Holdings, Inc.</t>
  </si>
  <si>
    <t>0001213900-24-068993</t>
  </si>
  <si>
    <t>Mobix Labs, Inc.</t>
  </si>
  <si>
    <t>0001493152-24-031688</t>
  </si>
  <si>
    <t>Calidi Biotherapeutics, Inc.</t>
  </si>
  <si>
    <t>0001731122-24-000812</t>
  </si>
  <si>
    <t>TWIN VEE POWERCATS CO.</t>
  </si>
  <si>
    <t>0001493152-24-021579</t>
  </si>
  <si>
    <t>AERWINS TECHNOLOGIES INC.</t>
  </si>
  <si>
    <t>0001410578-24-000655</t>
  </si>
  <si>
    <t>ZURA BIO LIMITED</t>
  </si>
  <si>
    <t>0001855747-24-000071</t>
  </si>
  <si>
    <t>BLEND LABS, INC.</t>
  </si>
  <si>
    <t>0000950170-24-058997</t>
  </si>
  <si>
    <t>Invesco Galaxy Bitcoin ETF</t>
  </si>
  <si>
    <t>0001628280-24-021273</t>
  </si>
  <si>
    <t>Stronghold Digital Mining, Inc.</t>
  </si>
  <si>
    <t>0000950170-24-053932</t>
  </si>
  <si>
    <t>Vivid Seats Inc.</t>
  </si>
  <si>
    <t>0001829126-24-003551</t>
  </si>
  <si>
    <t>PEARL HOLDINGS ACQUISITION CORP</t>
  </si>
  <si>
    <t>0000950170-24-060142</t>
  </si>
  <si>
    <t>EUROPEAN WAX CENTER, INC.</t>
  </si>
  <si>
    <t>0001856314-24-000060</t>
  </si>
  <si>
    <t>CLEAR SECURE, INC.</t>
  </si>
  <si>
    <t>0001856365-24-000031</t>
  </si>
  <si>
    <t>FINWISE BANCORP</t>
  </si>
  <si>
    <t>0001856430-24-000025</t>
  </si>
  <si>
    <t>SNAP ONE HOLDINGS CORP.</t>
  </si>
  <si>
    <t>0001856437-24-000014</t>
  </si>
  <si>
    <t>VICTORIA'S SECRET &amp; CO.</t>
  </si>
  <si>
    <t>0001856485-24-000015</t>
  </si>
  <si>
    <t>SYLVAMO CORPORATION</t>
  </si>
  <si>
    <t>0001856525-24-000072</t>
  </si>
  <si>
    <t>Core &amp; Main, Inc.</t>
  </si>
  <si>
    <t>0000950170-24-053548</t>
  </si>
  <si>
    <t>RANI THERAPEUTICS HOLDINGS, INC.</t>
  </si>
  <si>
    <t>0001213900-24-070748</t>
  </si>
  <si>
    <t>Blue Ocean Acquisition Corp</t>
  </si>
  <si>
    <t>0001104659-24-103221</t>
  </si>
  <si>
    <t>MOUNTAIN &amp; CO. I ACQUISITION CORP.</t>
  </si>
  <si>
    <t>0001493152-24-031158</t>
  </si>
  <si>
    <t>Indaptus Therapeutics, Inc.</t>
  </si>
  <si>
    <t>0001493152-24-033320</t>
  </si>
  <si>
    <t>TRUGOLF HOLDINGS, INC.</t>
  </si>
  <si>
    <t>0001857154-24-000063</t>
  </si>
  <si>
    <t>Krispy Kreme, Inc.</t>
  </si>
  <si>
    <t>0001193125-24-202887</t>
  </si>
  <si>
    <t>Investcorp Europe Acquisition Corp I</t>
  </si>
  <si>
    <t>0001857475-24-000035</t>
  </si>
  <si>
    <t>Dole plc</t>
  </si>
  <si>
    <t>0001140361-24-037363</t>
  </si>
  <si>
    <t>DP CAP ACQUISITION CORP I</t>
  </si>
  <si>
    <t>0001857816-24-000124</t>
  </si>
  <si>
    <t>GIGACLOUD TECHNOLOGY INC</t>
  </si>
  <si>
    <t>0001857853-24-000049</t>
  </si>
  <si>
    <t>Traeger, Inc</t>
  </si>
  <si>
    <t>0001493152-24-033076</t>
  </si>
  <si>
    <t>FINNOVATE ACQUISITION CORP.</t>
  </si>
  <si>
    <t>0001493152-24-018220</t>
  </si>
  <si>
    <t>NOVA     VISION ACQUISITION CORP.</t>
  </si>
  <si>
    <t>0000950170-24-089959</t>
  </si>
  <si>
    <t>AvidXchange Holdings, Inc.</t>
  </si>
  <si>
    <t>0001858681-24-000048</t>
  </si>
  <si>
    <t>APOLLO GLOBAL MANAGEMENT, INC.</t>
  </si>
  <si>
    <t>0001493152-24-019878</t>
  </si>
  <si>
    <t>Biofrontera Inc.</t>
  </si>
  <si>
    <t>0000950170-24-094059</t>
  </si>
  <si>
    <t>TENAYA THERAPEUTICS, INC.</t>
  </si>
  <si>
    <t>0001493152-24-031002</t>
  </si>
  <si>
    <t>ZYVERSA THERAPEUTICS, INC.</t>
  </si>
  <si>
    <t>0001829126-24-006280</t>
  </si>
  <si>
    <t>MOUNTAIN CREST ACQUISITION CORP. V</t>
  </si>
  <si>
    <t>0001213900-24-034518</t>
  </si>
  <si>
    <t>REALPHA TECH CORP.</t>
  </si>
  <si>
    <t>0001859285-24-000027</t>
  </si>
  <si>
    <t>HireRight Holdings Corp</t>
  </si>
  <si>
    <t>0001410578-24-000696</t>
  </si>
  <si>
    <t>SILVERBOX CORP III</t>
  </si>
  <si>
    <t>0001213900-24-086609</t>
  </si>
  <si>
    <t>NORTHVIEW ACQUISITION CORP.</t>
  </si>
  <si>
    <t>0001859919-24-000034</t>
  </si>
  <si>
    <t>Barings Private Credit Corporation</t>
  </si>
  <si>
    <t>0000950170-24-056730</t>
  </si>
  <si>
    <t>Onex Direct Lending BDC Fund</t>
  </si>
  <si>
    <t>0001829126-24-003337</t>
  </si>
  <si>
    <t>ROTH CH ACQUISITION CO.</t>
  </si>
  <si>
    <t>0001558370-24-011750</t>
  </si>
  <si>
    <t>CADRE HOLDINGS, INC.</t>
  </si>
  <si>
    <t>0001213900-24-065252</t>
  </si>
  <si>
    <t>ALLARITY THERAPEUTICS, INC.</t>
  </si>
  <si>
    <t>0001860742-24-000008</t>
  </si>
  <si>
    <t>Bausch &amp; Lomb Corp</t>
  </si>
  <si>
    <t>0001860782-24-000101</t>
  </si>
  <si>
    <t>2seventy bio, Inc.</t>
  </si>
  <si>
    <t>0001493152-24-032294</t>
  </si>
  <si>
    <t>Tevogen Bio Holdings Inc.</t>
  </si>
  <si>
    <t>0001213900-24-078180</t>
  </si>
  <si>
    <t>AQUARON ACQUISITION CORP.</t>
  </si>
  <si>
    <t>0001493152-24-033085</t>
  </si>
  <si>
    <t>Kidpik Corp.</t>
  </si>
  <si>
    <t>0000950170-24-093285</t>
  </si>
  <si>
    <t>NUVALENT, INC.</t>
  </si>
  <si>
    <t>0001493152-24-032244</t>
  </si>
  <si>
    <t>Jet.AI Inc.</t>
  </si>
  <si>
    <t>0001493152-24-018338</t>
  </si>
  <si>
    <t>THARIMMUNE, INC.</t>
  </si>
  <si>
    <t>0000950170-24-054539</t>
  </si>
  <si>
    <t>Definitive Healthcare Corp.</t>
  </si>
  <si>
    <t>0001829126-24-005700</t>
  </si>
  <si>
    <t>Rubicon Technologies, Inc.</t>
  </si>
  <si>
    <t>0001493152-24-031469</t>
  </si>
  <si>
    <t>Cingulate Inc.</t>
  </si>
  <si>
    <t>0001213900-24-071836</t>
  </si>
  <si>
    <t>Insight Acquisition Corp. /DE</t>
  </si>
  <si>
    <t>0001493152-24-032863</t>
  </si>
  <si>
    <t>INFINT ACQUISITION CORPORATION</t>
  </si>
  <si>
    <t>0001410578-24-000851</t>
  </si>
  <si>
    <t>AP Acquisition Corp</t>
  </si>
  <si>
    <t>0000950170-24-092778</t>
  </si>
  <si>
    <t>TYRA BIOSCIENCES, INC.</t>
  </si>
  <si>
    <t>0001410578-24-001518</t>
  </si>
  <si>
    <t>Everest Consolidator Acquisition Corporation</t>
  </si>
  <si>
    <t>0001410578-24-001434</t>
  </si>
  <si>
    <t>MultiSensor AI Holdings, Inc.</t>
  </si>
  <si>
    <t>0001214659-24-009648</t>
  </si>
  <si>
    <t>AULT DISRUPTIVE TECHNOLOGIES CORPORATION</t>
  </si>
  <si>
    <t>0001558370-24-012936</t>
  </si>
  <si>
    <t>VSee Health, Inc.</t>
  </si>
  <si>
    <t>0001558370-24-007807</t>
  </si>
  <si>
    <t>FGI Industries Ltd.</t>
  </si>
  <si>
    <t>0001865107-24-000045</t>
  </si>
  <si>
    <t>a.k.a. Brands Holding Corp.</t>
  </si>
  <si>
    <t>0001493152-24-032165</t>
  </si>
  <si>
    <t>ALPHA STAR ACQUISITION CORPORATION</t>
  </si>
  <si>
    <t>0001493152-24-033028</t>
  </si>
  <si>
    <t>BROAD CAPITAL ACQUISITION CORP</t>
  </si>
  <si>
    <t>0001558370-24-007225</t>
  </si>
  <si>
    <t>Aris Water Solutions, Inc.</t>
  </si>
  <si>
    <t>0001410578-24-001436</t>
  </si>
  <si>
    <t>Southport Acquisition Corporation</t>
  </si>
  <si>
    <t>0001193125-24-200646</t>
  </si>
  <si>
    <t>KENSINGTON CAPITAL ACQUISITION CORP. V</t>
  </si>
  <si>
    <t>0001493152-24-020672</t>
  </si>
  <si>
    <t>Kairous Acquisition Corp. Limited</t>
  </si>
  <si>
    <t>0000950170-24-059108</t>
  </si>
  <si>
    <t>IO Biotech, Inc.</t>
  </si>
  <si>
    <t>0001213900-24-070714</t>
  </si>
  <si>
    <t>ZEO ENERGY CORP.</t>
  </si>
  <si>
    <t>0001213900-24-066133</t>
  </si>
  <si>
    <t>NextNav Inc.</t>
  </si>
  <si>
    <t>0001213900-24-066269</t>
  </si>
  <si>
    <t>NEUROMIND AI CORP.</t>
  </si>
  <si>
    <t>0000950170-24-051607</t>
  </si>
  <si>
    <t>BrightSpring Health Services, Inc.</t>
  </si>
  <si>
    <t>0001213900-24-046378</t>
  </si>
  <si>
    <t>Keypath Education International, Inc.</t>
  </si>
  <si>
    <t>0001437749-24-017140</t>
  </si>
  <si>
    <t>Cactus Acquisition Corp. 1 Ltd</t>
  </si>
  <si>
    <t>0001213900-24-067055</t>
  </si>
  <si>
    <t>JVSPAC ACQUISITION CORP.</t>
  </si>
  <si>
    <t>0001866175-24-000053</t>
  </si>
  <si>
    <t>Crescent Energy Company</t>
  </si>
  <si>
    <t>0001213900-24-069059</t>
  </si>
  <si>
    <t>Welsbach Technology Metals Acquisition Corp.</t>
  </si>
  <si>
    <t>0001628280-24-020003</t>
  </si>
  <si>
    <t>Clearwater Analytics Holdings, Inc.</t>
  </si>
  <si>
    <t>0001493152-24-033526</t>
  </si>
  <si>
    <t>AETHERIUM ACQUISITION CORP.</t>
  </si>
  <si>
    <t>0001628280-24-035180</t>
  </si>
  <si>
    <t>THOUGHTWORKS HOLDING, INC.</t>
  </si>
  <si>
    <t>0001866581-24-000134</t>
  </si>
  <si>
    <t>DUTCH BROS INC.</t>
  </si>
  <si>
    <t>0001866633-24-000009</t>
  </si>
  <si>
    <t>Consensus Cloud Solutions, Inc.</t>
  </si>
  <si>
    <t>0000950170-24-093925</t>
  </si>
  <si>
    <t>AMPLITUDE, INC.</t>
  </si>
  <si>
    <t>0001866757-24-000073</t>
  </si>
  <si>
    <t>Brilliant Earth Group, Inc.</t>
  </si>
  <si>
    <t>0001493152-24-021132</t>
  </si>
  <si>
    <t>SYNTEC OPTICS HOLDINGS, INC.</t>
  </si>
  <si>
    <t>0001213900-24-068231</t>
  </si>
  <si>
    <t>INCEPTION GROWTH ACQUISITION LIMITED</t>
  </si>
  <si>
    <t>0001410578-24-000817</t>
  </si>
  <si>
    <t>JOURNEY MEDICAL CORPORATION</t>
  </si>
  <si>
    <t>0001867096-24-000162</t>
  </si>
  <si>
    <t>XERIS BIOPHARMA HOLDINGS, INC.</t>
  </si>
  <si>
    <t>0001493152-24-023080</t>
  </si>
  <si>
    <t>Canna-Global Acquisition Corp</t>
  </si>
  <si>
    <t>0000950170-24-053919</t>
  </si>
  <si>
    <t>CHICAGO ATLANTIC REAL ESTATE FINANCE, INC.</t>
  </si>
  <si>
    <t>0001683168-24-002329</t>
  </si>
  <si>
    <t>LINKTORY INC.</t>
  </si>
  <si>
    <t>AL-</t>
  </si>
  <si>
    <t>0001410578-24-001350</t>
  </si>
  <si>
    <t>Chenghe Acquisition I Co.</t>
  </si>
  <si>
    <t>0001868275-24-000026</t>
  </si>
  <si>
    <t>CONSTELLATION ENERGY CORPORATION</t>
  </si>
  <si>
    <t>0001558370-24-012236</t>
  </si>
  <si>
    <t>ARRIVENT BIOPHARMA, INC.</t>
  </si>
  <si>
    <t>0001410578-24-001662</t>
  </si>
  <si>
    <t>Western Acquisition Ventures Corp.</t>
  </si>
  <si>
    <t>0001193125-24-227945</t>
  </si>
  <si>
    <t>APX ACQUISITION CORP. I</t>
  </si>
  <si>
    <t>TN-</t>
  </si>
  <si>
    <t>0001868726-24-000048</t>
  </si>
  <si>
    <t>Olaplex Holdings, Inc.</t>
  </si>
  <si>
    <t>0001868778-24-000021</t>
  </si>
  <si>
    <t>Informatica Inc.</t>
  </si>
  <si>
    <t>0001868878-24-000022</t>
  </si>
  <si>
    <t>Golub Capital Direct Lending Corporation</t>
  </si>
  <si>
    <t>0001558370-24-007617</t>
  </si>
  <si>
    <t>Enfusion, Inc.</t>
  </si>
  <si>
    <t>0001868941-24-000045</t>
  </si>
  <si>
    <t>Fluence Energy, Inc.</t>
  </si>
  <si>
    <t>0001213900-24-068630</t>
  </si>
  <si>
    <t>HELIX ACQUISITION CORP. II</t>
  </si>
  <si>
    <t>0001869198-24-000026</t>
  </si>
  <si>
    <t>Life Time Group Holdings, Inc.</t>
  </si>
  <si>
    <t>0001869453-24-000023</t>
  </si>
  <si>
    <t>BLUE OWL TECHNOLOGY INCOME CORP</t>
  </si>
  <si>
    <t>0001829126-24-005284</t>
  </si>
  <si>
    <t>EMBRACE CHANGE ACQUISITION CORP.</t>
  </si>
  <si>
    <t>0001213900-24-042279</t>
  </si>
  <si>
    <t>ARK 21Shares Bitcoin ETF</t>
  </si>
  <si>
    <t>0001213900-24-077828</t>
  </si>
  <si>
    <t>PERCEPTION CAPITAL CORP IV.</t>
  </si>
  <si>
    <t>0001079973-24-000739</t>
  </si>
  <si>
    <t>Cardio Diagnostics Holdings, Inc.</t>
  </si>
  <si>
    <t>0001558370-24-007870</t>
  </si>
  <si>
    <t>REDWOOD ENHANCED INCOME CORP.</t>
  </si>
  <si>
    <t>0001213900-24-044805</t>
  </si>
  <si>
    <t>CERO THERAPEUTICS HOLDINGS, INC.</t>
  </si>
  <si>
    <t>0001870940-24-000035</t>
  </si>
  <si>
    <t>AirSculpt Technologies, Inc.</t>
  </si>
  <si>
    <t>0001493152-24-031199</t>
  </si>
  <si>
    <t>QUALIS INNOVATIONS, INC.</t>
  </si>
  <si>
    <t>0001871509-24-000076</t>
  </si>
  <si>
    <t>PORTILLO'S INC.</t>
  </si>
  <si>
    <t>0001410578-24-001376</t>
  </si>
  <si>
    <t>BURTECH ACQUISITION CORP.</t>
  </si>
  <si>
    <t>0001193125-24-200664</t>
  </si>
  <si>
    <t>DIRECT SELLING ACQUISITION CORP.</t>
  </si>
  <si>
    <t>0001520138-24-000270</t>
  </si>
  <si>
    <t>MIAMI BREEZE CAR CARE INC.</t>
  </si>
  <si>
    <t>0001493152-24-032015</t>
  </si>
  <si>
    <t>RAINMAKER WORLDWIDE INC.</t>
  </si>
  <si>
    <t>0001872371-24-000008</t>
  </si>
  <si>
    <t>Oaktree Strategic Credit Fund</t>
  </si>
  <si>
    <t>0001872789-24-000019</t>
  </si>
  <si>
    <t>EMBECTA CORP.</t>
  </si>
  <si>
    <t>0001493152-24-022323</t>
  </si>
  <si>
    <t>BIRDIE WIN CORPORATION</t>
  </si>
  <si>
    <t>NZ-</t>
  </si>
  <si>
    <t>0001213900-24-068960</t>
  </si>
  <si>
    <t>BLOCKCHAIN COINVESTORS ACQUISITION CORP. I</t>
  </si>
  <si>
    <t>0001493152-24-031989</t>
  </si>
  <si>
    <t>Bubblr, Inc.</t>
  </si>
  <si>
    <t>0001493152-24-018458</t>
  </si>
  <si>
    <t>IMMIX BIOPHARMA, INC.</t>
  </si>
  <si>
    <t>0001213900-24-043391</t>
  </si>
  <si>
    <t>Incannex Healthcare Inc.</t>
  </si>
  <si>
    <t>0001873923-24-000061</t>
  </si>
  <si>
    <t>Orion Office REIT Inc.</t>
  </si>
  <si>
    <t>0000950170-24-094045</t>
  </si>
  <si>
    <t>Ponce Financial Group, Inc.</t>
  </si>
  <si>
    <t>0001213900-24-041350</t>
  </si>
  <si>
    <t>CYNGN INC.</t>
  </si>
  <si>
    <t>0001874178-24-000057</t>
  </si>
  <si>
    <t>Rivian Automotive, Inc. / DE</t>
  </si>
  <si>
    <t>0001493152-24-017849</t>
  </si>
  <si>
    <t>Hour Loop, Inc.</t>
  </si>
  <si>
    <t>0001874944-24-000047</t>
  </si>
  <si>
    <t>Vacasa, Inc.</t>
  </si>
  <si>
    <t>0001493152-24-019226</t>
  </si>
  <si>
    <t>AG     ACQUISITION GROUP III, INC.</t>
  </si>
  <si>
    <t>0001193125-24-200741</t>
  </si>
  <si>
    <t>CSLM ACQUISITION CORP.</t>
  </si>
  <si>
    <t>0001558370-24-010971</t>
  </si>
  <si>
    <t>NUVECTIS PHARMA, INC.</t>
  </si>
  <si>
    <t>0001193125-24-197734</t>
  </si>
  <si>
    <t>AB COMMERCIAL REAL ESTATE PRIVATE DEBT FUND, LLC</t>
  </si>
  <si>
    <t>0001213900-24-067004</t>
  </si>
  <si>
    <t>ASPAC II Acquisition Corp.</t>
  </si>
  <si>
    <t>0001876945-24-000044</t>
  </si>
  <si>
    <t>Gold Flora Corporation</t>
  </si>
  <si>
    <t>0001877322-24-000088</t>
  </si>
  <si>
    <t>ESAB Corporation</t>
  </si>
  <si>
    <t>0001477932-24-003058</t>
  </si>
  <si>
    <t>1606 Corp.</t>
  </si>
  <si>
    <t>0001410578-24-001540</t>
  </si>
  <si>
    <t>INTEGRATED WELLNESS ACQUISITION CORP</t>
  </si>
  <si>
    <t>0001877939-24-000036</t>
  </si>
  <si>
    <t>CASTELLUM, INC.</t>
  </si>
  <si>
    <t>0001213900-24-043639</t>
  </si>
  <si>
    <t>BLUE WORLD ACQUISITION CORPORATION</t>
  </si>
  <si>
    <t>0001878897-24-000018</t>
  </si>
  <si>
    <t>DOUGLAS ELLIMAN INC.</t>
  </si>
  <si>
    <t>0000950170-24-057881</t>
  </si>
  <si>
    <t>CFSB Bancorp, Inc.</t>
  </si>
  <si>
    <t>0001185185-24-000527</t>
  </si>
  <si>
    <t>The Cannaisseur Group, Inc.</t>
  </si>
  <si>
    <t>0001493152-24-033064</t>
  </si>
  <si>
    <t>MAG MILE CAPITAL, INC.</t>
  </si>
  <si>
    <t>0001213900-24-067679</t>
  </si>
  <si>
    <t>GRAPHJET TECHNOLOGY</t>
  </si>
  <si>
    <t>0001213900-24-043603</t>
  </si>
  <si>
    <t>LA ROSA HOLDINGS CORP.</t>
  </si>
  <si>
    <t>0001493152-24-033082</t>
  </si>
  <si>
    <t>SIDUS SPACE, INC.</t>
  </si>
  <si>
    <t>0001410578-24-001531</t>
  </si>
  <si>
    <t>TLGY Acquisition Corp</t>
  </si>
  <si>
    <t>Phoenix Motor Inc.</t>
  </si>
  <si>
    <t>0001493152-24-033139</t>
  </si>
  <si>
    <t>TMT     Acquisition Corp</t>
  </si>
  <si>
    <t>0001599916-24-000168</t>
  </si>
  <si>
    <t>WeCapital Holdings, Inc.</t>
  </si>
  <si>
    <t>0001880319-24-000062</t>
  </si>
  <si>
    <t>PERIMETER SOLUTIONS, SA</t>
  </si>
  <si>
    <t>LU-</t>
  </si>
  <si>
    <t>0001213900-24-068975</t>
  </si>
  <si>
    <t>Fresh Vine Wine, Inc.</t>
  </si>
  <si>
    <t>0001213900-24-068959</t>
  </si>
  <si>
    <t>VOCODIA HOLDINGS CORP</t>
  </si>
  <si>
    <t>0000950170-24-096243</t>
  </si>
  <si>
    <t>AN2 Therapeutics, Inc.</t>
  </si>
  <si>
    <t>0001929980-24-000194</t>
  </si>
  <si>
    <t>Battery Future Acquisition Corp.</t>
  </si>
  <si>
    <t>0001628280-24-042845</t>
  </si>
  <si>
    <t>DIRECT DIGITAL HOLDINGS, INC.</t>
  </si>
  <si>
    <t>0001880661-24-000032</t>
  </si>
  <si>
    <t>TPG Inc.</t>
  </si>
  <si>
    <t>0001213900-24-062526</t>
  </si>
  <si>
    <t>Spree Acquisition Corp. 1 Limited</t>
  </si>
  <si>
    <t>0000950170-24-057774</t>
  </si>
  <si>
    <t>ProFrac Holding Corp.</t>
  </si>
  <si>
    <t>0001213900-24-067911</t>
  </si>
  <si>
    <t>SOLIDION TECHNOLOGY, INC.</t>
  </si>
  <si>
    <t>0001437749-24-016279</t>
  </si>
  <si>
    <t>NSTS Bancorp, Inc.</t>
  </si>
  <si>
    <t>0001213900-24-067734</t>
  </si>
  <si>
    <t>AROGO CAPITAL ACQUISITION CORP.</t>
  </si>
  <si>
    <t>0001493152-24-036960</t>
  </si>
  <si>
    <t>METAL     SKY STAR ACQUISITION CORPORATION</t>
  </si>
  <si>
    <t>0001599916-24-000128</t>
  </si>
  <si>
    <t>C2 Blockchain,Inc.</t>
  </si>
  <si>
    <t>0000950170-24-057913</t>
  </si>
  <si>
    <t>Apollo Realty Income Solutions, Inc.</t>
  </si>
  <si>
    <t>0001213900-24-046061</t>
  </si>
  <si>
    <t>AIB ACQUISITION CORPORATION</t>
  </si>
  <si>
    <t>0001883085-24-000080</t>
  </si>
  <si>
    <t>Pagaya Technologies Ltd.</t>
  </si>
  <si>
    <t>0001883313-24-000022</t>
  </si>
  <si>
    <t>Savers Value Village, Inc.</t>
  </si>
  <si>
    <t>0001883685-24-000032</t>
  </si>
  <si>
    <t>DRAFTKINGS INC.</t>
  </si>
  <si>
    <t>0001558370-24-007986</t>
  </si>
  <si>
    <t>SOUTHLAND HOLDINGS, INC.</t>
  </si>
  <si>
    <t>0001520138-24-000207</t>
  </si>
  <si>
    <t>ESG INC.</t>
  </si>
  <si>
    <t>0001493152-24-033032</t>
  </si>
  <si>
    <t>Vision Sensing Acquisition Corp.</t>
  </si>
  <si>
    <t>0001213900-24-072312</t>
  </si>
  <si>
    <t>ALTERNUS CLEAN ENERGY, INC.</t>
  </si>
  <si>
    <t>0001410578-24-001393</t>
  </si>
  <si>
    <t>Spark I Acquisition Corp</t>
  </si>
  <si>
    <t>0001683168-24-005328</t>
  </si>
  <si>
    <t>KwikClick, Inc.</t>
  </si>
  <si>
    <t>0000950170-24-094837</t>
  </si>
  <si>
    <t>DRILLING TOOLS INTERNATIONAL CORPORATION</t>
  </si>
  <si>
    <t>0001213900-24-073354</t>
  </si>
  <si>
    <t>SHOULDERUP TECHNOLOGY ACQUISITION CORP.</t>
  </si>
  <si>
    <t>0000950170-24-091737</t>
  </si>
  <si>
    <t>NEUMORA THERAPEUTICS, INC.</t>
  </si>
  <si>
    <t>0001885849-24-000010</t>
  </si>
  <si>
    <t>TOFLA MEGALINE INC.</t>
  </si>
  <si>
    <t>0001885968-24-000022</t>
  </si>
  <si>
    <t>T Series Middle Market Loan Fund LLC</t>
  </si>
  <si>
    <t>0001410578-24-000890</t>
  </si>
  <si>
    <t>ROTH CH ACQUISITION V CO.</t>
  </si>
  <si>
    <t>0001213900-24-045220</t>
  </si>
  <si>
    <t>MOBILE GLOBAL ESPORTS INC.</t>
  </si>
  <si>
    <t>0001493152-24-020671</t>
  </si>
  <si>
    <t>BRIGHT GREEN CORPORATION</t>
  </si>
  <si>
    <t>0001493152-24-019957</t>
  </si>
  <si>
    <t>SNAIL, INC.</t>
  </si>
  <si>
    <t>0001640334-24-001208</t>
  </si>
  <si>
    <t>WELSIS CORP.</t>
  </si>
  <si>
    <t>0000950170-24-062134</t>
  </si>
  <si>
    <t>Shimmick Corporation</t>
  </si>
  <si>
    <t>0000950170-24-056997</t>
  </si>
  <si>
    <t>HILLEVAX, INC.</t>
  </si>
  <si>
    <t>0000950170-24-049412</t>
  </si>
  <si>
    <t>5E ADVANCED MATERIALS, INC.</t>
  </si>
  <si>
    <t>0001493152-24-031608</t>
  </si>
  <si>
    <t>GLOBALINK INVESTMENT INC.</t>
  </si>
  <si>
    <t>0001599916-24-000200</t>
  </si>
  <si>
    <t>Ultimate Holdings GROUP, Inc.</t>
  </si>
  <si>
    <t>0001558370-24-011616</t>
  </si>
  <si>
    <t>Structure Therapeutics Inc.</t>
  </si>
  <si>
    <t>0001493152-24-032306</t>
  </si>
  <si>
    <t>ALPHATIME ACQUISITION CORP</t>
  </si>
  <si>
    <t>0001410578-24-000849</t>
  </si>
  <si>
    <t>CARTESIAN GROWTH CORPORATION II</t>
  </si>
  <si>
    <t>0001213900-24-067164</t>
  </si>
  <si>
    <t>FTAC EMERALD ACQUISITION CORP.</t>
  </si>
  <si>
    <t>0001493152-24-032073</t>
  </si>
  <si>
    <t>FUTURETECH II ACQUISITION CORP.</t>
  </si>
  <si>
    <t>0001889539-24-000022</t>
  </si>
  <si>
    <t>Corebridge Financial, Inc.</t>
  </si>
  <si>
    <t>0001889668-24-000011</t>
  </si>
  <si>
    <t>BLUE OWL TECHNOLOGY FINANCE CORP. II</t>
  </si>
  <si>
    <t>0001013762-24-001178</t>
  </si>
  <si>
    <t>KEEN VISION ACQUISITION CORPORATION</t>
  </si>
  <si>
    <t>0000950170-24-097216</t>
  </si>
  <si>
    <t>First Eagle Private Credit Fund</t>
  </si>
  <si>
    <t>0001493152-24-035069</t>
  </si>
  <si>
    <t>DUET Acquisition Corp.</t>
  </si>
  <si>
    <t>0001891101-24-000016</t>
  </si>
  <si>
    <t>BRC Inc.</t>
  </si>
  <si>
    <t>0000950170-24-059545</t>
  </si>
  <si>
    <t>GEN Restaurant Group, Inc.</t>
  </si>
  <si>
    <t>0001213900-24-066846</t>
  </si>
  <si>
    <t>OPTIMUS HEALTHCARE SERVICES, INC.</t>
  </si>
  <si>
    <t>0001213900-24-041102</t>
  </si>
  <si>
    <t>LONGDUODUO COMPANY LIMITED</t>
  </si>
  <si>
    <t>0001493152-24-019355</t>
  </si>
  <si>
    <t>HeartCore Enterprises, Inc.</t>
  </si>
  <si>
    <t>JP-</t>
  </si>
  <si>
    <t>0001493152-24-032436</t>
  </si>
  <si>
    <t>EIGHTCO HOLDINGS INC.</t>
  </si>
  <si>
    <t>0001493152-24-032331</t>
  </si>
  <si>
    <t>VALUENCE MERGER CORP. I</t>
  </si>
  <si>
    <t>0001410578-24-001427</t>
  </si>
  <si>
    <t>Mars Acquisition Corp.</t>
  </si>
  <si>
    <t>ATLANTIC COASTAL ACQUISITION CORP. II</t>
  </si>
  <si>
    <t>0001829126-24-005693</t>
  </si>
  <si>
    <t>LUXURBAN HOTELS INC.</t>
  </si>
  <si>
    <t>0001193125-24-134310</t>
  </si>
  <si>
    <t>SCREAMING EAGLE ACQUISITION CORP.</t>
  </si>
  <si>
    <t>0001493152-24-032284</t>
  </si>
  <si>
    <t>STRONG GLOBAL ENTERTAINMENT, INC.</t>
  </si>
  <si>
    <t>0001493152-24-019316</t>
  </si>
  <si>
    <t>Rubber Leaf Inc</t>
  </si>
  <si>
    <t>0001410578-24-001444</t>
  </si>
  <si>
    <t>PAPAYA GROWTH OPPORTUNITY CORP. I</t>
  </si>
  <si>
    <t>0001013762-24-001078</t>
  </si>
  <si>
    <t>Qomolangma Acquisition Corp.</t>
  </si>
  <si>
    <t>0001628280-24-035893</t>
  </si>
  <si>
    <t>Prime Medicine, Inc.</t>
  </si>
  <si>
    <t>0000950170-24-060570</t>
  </si>
  <si>
    <t>GORES HOLDINGS IX, INC.</t>
  </si>
  <si>
    <t>0001213900-24-070877</t>
  </si>
  <si>
    <t>GLOBAL BLOCKCHAIN ACQUISITION CORP.</t>
  </si>
  <si>
    <t>0001903596-24-000505</t>
  </si>
  <si>
    <t>EXPION360 INC.</t>
  </si>
  <si>
    <t>0001493152-24-032261</t>
  </si>
  <si>
    <t>GOLDEN STAR ACQUISITION CORPORATION</t>
  </si>
  <si>
    <t>0001410578-24-001462</t>
  </si>
  <si>
    <t>ConnectM Technology Solutions, Inc.</t>
  </si>
  <si>
    <t>0001628280-24-020917</t>
  </si>
  <si>
    <t>Noble Corporation plc</t>
  </si>
  <si>
    <t>0001410578-24-000732</t>
  </si>
  <si>
    <t>BRIGHTWOOD CAPITAL CORPORATION I</t>
  </si>
  <si>
    <t>0000950170-24-091432</t>
  </si>
  <si>
    <t>Pershing Square SPARC Holdings, Ltd./DE</t>
  </si>
  <si>
    <t>0001213900-24-068298</t>
  </si>
  <si>
    <t>GAXOS.AI INC.</t>
  </si>
  <si>
    <t>0001477932-24-004443</t>
  </si>
  <si>
    <t>TANICO INC.</t>
  </si>
  <si>
    <t>0001493152-24-019230</t>
  </si>
  <si>
    <t>CONDUIT PHARMACEUTICALS INC.</t>
  </si>
  <si>
    <t>0001493152-24-019980</t>
  </si>
  <si>
    <t>HWH     INTERNATIONAL INC.</t>
  </si>
  <si>
    <t>0001410578-24-001440</t>
  </si>
  <si>
    <t>GRAF GLOBAL CORP.</t>
  </si>
  <si>
    <t>0001829126-24-004384</t>
  </si>
  <si>
    <t>KB Global Holdings Limited</t>
  </si>
  <si>
    <t>0001410578-24-001275</t>
  </si>
  <si>
    <t>GLOBAL LIGHTS ACQUISITIONCORP</t>
  </si>
  <si>
    <t>0001897982-24-000029</t>
  </si>
  <si>
    <t>ASPEN TECHNOLOGY, INC.</t>
  </si>
  <si>
    <t>0001213900-24-043648</t>
  </si>
  <si>
    <t>SIGNING DAY SPORTS, INC.</t>
  </si>
  <si>
    <t>AZ-</t>
  </si>
  <si>
    <t>0001628280-24-036346</t>
  </si>
  <si>
    <t>GETTY IMAGES HOLDINGS, INC.</t>
  </si>
  <si>
    <t>0001493152-24-032966</t>
  </si>
  <si>
    <t>YOSHIHARU     GLOBAL CO.</t>
  </si>
  <si>
    <t>0001493152-24-023861</t>
  </si>
  <si>
    <t>TRIO PETROLEUM CORP.</t>
  </si>
  <si>
    <t>0001898795-24-000263</t>
  </si>
  <si>
    <t>LiveWire Group, Inc.</t>
  </si>
  <si>
    <t>0000950170-24-060419</t>
  </si>
  <si>
    <t>BAIN CAPITAL PRIVATE CREDIT</t>
  </si>
  <si>
    <t>0001899287-24-000065</t>
  </si>
  <si>
    <t>AMPRIUS TECHNOLOGIES, INC.</t>
  </si>
  <si>
    <t>0001493152-24-040744</t>
  </si>
  <si>
    <t>EVERGREEN CORPORATION</t>
  </si>
  <si>
    <t>Venetian-1 Acquisition Corp.</t>
  </si>
  <si>
    <t>0001493152-24-040488</t>
  </si>
  <si>
    <t>TECHNOLOGY &amp; TELECOMMUNICATION ACQUISITION CORPORATION</t>
  </si>
  <si>
    <t>0001558370-24-007800</t>
  </si>
  <si>
    <t>Stellus Private Credit BDC</t>
  </si>
  <si>
    <t>0001901164-24-000009</t>
  </si>
  <si>
    <t>T. ROWE PRICE OHA SELECT PRIVATE CREDIT FUND</t>
  </si>
  <si>
    <t>0001213900-24-068618</t>
  </si>
  <si>
    <t>IRON HORSE ACQUISITIONS CORP.</t>
  </si>
  <si>
    <t>0001731122-24-000813</t>
  </si>
  <si>
    <t>FORZA X1, INC.</t>
  </si>
  <si>
    <t>0001410578-24-001480</t>
  </si>
  <si>
    <t>ALCHEMY INVESTMENTS ACQUISITION CORP 1</t>
  </si>
  <si>
    <t>0001628280-24-024348</t>
  </si>
  <si>
    <t>UL Solutions Inc.</t>
  </si>
  <si>
    <t>0001901606-24-000033</t>
  </si>
  <si>
    <t>Golub Capital Direct Lending Unlevered Corporation</t>
  </si>
  <si>
    <t>0001901612-24-000038</t>
  </si>
  <si>
    <t>Golub Capital BDC 4, Inc.</t>
  </si>
  <si>
    <t>0001562762-24-000138</t>
  </si>
  <si>
    <t>USCB Financial Holdings, Inc.</t>
  </si>
  <si>
    <t>0000950170-24-060563</t>
  </si>
  <si>
    <t>Bitcoin Depot Inc.</t>
  </si>
  <si>
    <t>0001829126-24-002549</t>
  </si>
  <si>
    <t>AURA FAT PROJECTS ACQUISITION CORP</t>
  </si>
  <si>
    <t>0001437749-24-016652</t>
  </si>
  <si>
    <t>M-tron Industries, Inc.</t>
  </si>
  <si>
    <t>0000950170-24-052326</t>
  </si>
  <si>
    <t>BLACKROCK PRIVATE CREDIT FUND</t>
  </si>
  <si>
    <t>0001185185-24-000826</t>
  </si>
  <si>
    <t>Pioneer Green Farms, Inc.</t>
  </si>
  <si>
    <t>0001902733-24-000115</t>
  </si>
  <si>
    <t>nCino, Inc.</t>
  </si>
  <si>
    <t>0001493152-24-020703</t>
  </si>
  <si>
    <t>MGO GLOBAL INC.</t>
  </si>
  <si>
    <t>0001213900-24-067669</t>
  </si>
  <si>
    <t>CLIMATEROCK</t>
  </si>
  <si>
    <t>AIMFINITY INVESTMENT CORP. I</t>
  </si>
  <si>
    <t>0001493152-24-018908</t>
  </si>
  <si>
    <t>MIRA Pharmaceuticals, Inc.</t>
  </si>
  <si>
    <t>0001193125-24-136060</t>
  </si>
  <si>
    <t>PIMCO Capital Solutions BDC Corp.</t>
  </si>
  <si>
    <t>0001213900-24-042904</t>
  </si>
  <si>
    <t>Treasure Global Inc</t>
  </si>
  <si>
    <t>0001477932-24-003018</t>
  </si>
  <si>
    <t>iCoreConnect Inc.</t>
  </si>
  <si>
    <t>0001906324-24-000045</t>
  </si>
  <si>
    <t>QUIDELORTHO CORP</t>
  </si>
  <si>
    <t>0000950170-24-095057</t>
  </si>
  <si>
    <t>Lexeo Therapeutics, Inc.</t>
  </si>
  <si>
    <t>0001213900-24-046038</t>
  </si>
  <si>
    <t>Redwoods Acquisition Corp.</t>
  </si>
  <si>
    <t>0001493152-24-031090</t>
  </si>
  <si>
    <t>JOCOM HOLDINGS CORP.</t>
  </si>
  <si>
    <t>0001829126-24-003898</t>
  </si>
  <si>
    <t>Yotta Acquisition Corporation</t>
  </si>
  <si>
    <t>0001907982-24-000061</t>
  </si>
  <si>
    <t>D-WAVE QUANTUM INC.</t>
  </si>
  <si>
    <t>0001628280-24-022252</t>
  </si>
  <si>
    <t>JUSHI HOLDINGS INC.</t>
  </si>
  <si>
    <t>0001477932-24-005726</t>
  </si>
  <si>
    <t>KHEOBA CORP.</t>
  </si>
  <si>
    <t>ES-</t>
  </si>
  <si>
    <t>0001410578-24-000632</t>
  </si>
  <si>
    <t>Mobileye Global Inc.</t>
  </si>
  <si>
    <t>0001628280-24-035394</t>
  </si>
  <si>
    <t>R1 RCM Inc. /DE</t>
  </si>
  <si>
    <t>0001683168-24-003606</t>
  </si>
  <si>
    <t>RAPID LINE INC.</t>
  </si>
  <si>
    <t>0001628280-24-022649</t>
  </si>
  <si>
    <t>NUVEEN CHURCHILL PRIVATE CAPITAL INCOME FUND</t>
  </si>
  <si>
    <t>0000950170-24-059590</t>
  </si>
  <si>
    <t>Kennedy Lewis Capital Co</t>
  </si>
  <si>
    <t>0001096906-24-001692</t>
  </si>
  <si>
    <t>Circle Energy, Inc./NV</t>
  </si>
  <si>
    <t>0001213900-24-083272</t>
  </si>
  <si>
    <t>Hanryu Holdings, Inc</t>
  </si>
  <si>
    <t>0001213900-24-068956</t>
  </si>
  <si>
    <t>SK Growth Opportunities Corporation</t>
  </si>
  <si>
    <t>0001213900-24-070799</t>
  </si>
  <si>
    <t>DENALI CAPITAL ACQUISITION CORP.</t>
  </si>
  <si>
    <t>0001913724-24-000043</t>
  </si>
  <si>
    <t>AG Twin Brook Capital Income Fund</t>
  </si>
  <si>
    <t>0001558370-24-008263</t>
  </si>
  <si>
    <t>VWF Bancorp, Inc.</t>
  </si>
  <si>
    <t>0001193125-24-138317</t>
  </si>
  <si>
    <t>PRINCETON BANCORP, INC.</t>
  </si>
  <si>
    <t>0001213900-24-068930</t>
  </si>
  <si>
    <t>Acri Capital Acquisition Corporation</t>
  </si>
  <si>
    <t>0001914496-24-000066</t>
  </si>
  <si>
    <t>Sculptor Diversified Real Estate Income Trust, Inc.</t>
  </si>
  <si>
    <t>0000950170-24-057540</t>
  </si>
  <si>
    <t>ECB Bancorp, Inc.</t>
  </si>
  <si>
    <t>0001410578-24-001452</t>
  </si>
  <si>
    <t>ISRAEL ACQUISITIONS CORP</t>
  </si>
  <si>
    <t>0001193125-24-200662</t>
  </si>
  <si>
    <t>DMY SQUARED TECHNOLOGY GROUP, INC.</t>
  </si>
  <si>
    <t>0001915657-24-000063</t>
  </si>
  <si>
    <t>HF SINCLAIR CORPORATION</t>
  </si>
  <si>
    <t>0000950170-24-058570</t>
  </si>
  <si>
    <t>Diameter Credit Company</t>
  </si>
  <si>
    <t>0001079973-24-001233</t>
  </si>
  <si>
    <t>Tradewinds Universal</t>
  </si>
  <si>
    <t>0000950170-24-057069</t>
  </si>
  <si>
    <t>TCW STAR DIRECT LENDING LLC</t>
  </si>
  <si>
    <t>0001213900-24-068356</t>
  </si>
  <si>
    <t>Aspen-1 Acquisition Inc.</t>
  </si>
  <si>
    <t>0001213900-24-068372</t>
  </si>
  <si>
    <t>Surfside Acquisition Inc.</t>
  </si>
  <si>
    <t>0001213900-24-068333</t>
  </si>
  <si>
    <t>ESH ACQUISITION CORP.</t>
  </si>
  <si>
    <t>0001918712-24-000069</t>
  </si>
  <si>
    <t>ARES STRATEGIC INCOME FUND</t>
  </si>
  <si>
    <t>0001753926-24-001423</t>
  </si>
  <si>
    <t>Chromocell Therapeutics Corporation</t>
  </si>
  <si>
    <t>0001628280-24-020226</t>
  </si>
  <si>
    <t>VISTA CREDIT STRATEGIC LENDING CORP.</t>
  </si>
  <si>
    <t>0001213900-24-069032</t>
  </si>
  <si>
    <t>ASSET ENTITIES INC.</t>
  </si>
  <si>
    <t>0001477932-24-005128</t>
  </si>
  <si>
    <t>ASP Isotopes Inc.</t>
  </si>
  <si>
    <t>0001921963-24-000074</t>
  </si>
  <si>
    <t>Atmus Filtration Technologies Inc.</t>
  </si>
  <si>
    <t>0001829126-24-003545</t>
  </si>
  <si>
    <t>GLOBAL STAR ACQUISITION INC.</t>
  </si>
  <si>
    <t>SYRA HEALTH CORP.</t>
  </si>
  <si>
    <t>0001493152-24-041667</t>
  </si>
  <si>
    <t>Permex Petroleum Corporation</t>
  </si>
  <si>
    <t>0001213900-24-070695</t>
  </si>
  <si>
    <t>ECD AUTOMOTIVE DESIGN, INC.</t>
  </si>
  <si>
    <t>0001410578-24-000758</t>
  </si>
  <si>
    <t>PGIM Private Credit Fund</t>
  </si>
  <si>
    <t>0001575872-24-000547</t>
  </si>
  <si>
    <t>NORTHANN CORP.</t>
  </si>
  <si>
    <t>0000950170-24-093344</t>
  </si>
  <si>
    <t>THIRD HARMONIC BIO, INC.</t>
  </si>
  <si>
    <t>0001493152-24-024530</t>
  </si>
  <si>
    <t>Nano Nuclear Energy, Inc.</t>
  </si>
  <si>
    <t>0000950170-24-052859</t>
  </si>
  <si>
    <t>Sixth Street Lending Partners</t>
  </si>
  <si>
    <t>0001925531-24-000008</t>
  </si>
  <si>
    <t>New Mountain Guardian IV BDC, L.L.C.</t>
  </si>
  <si>
    <t>0001928446-24-000023</t>
  </si>
  <si>
    <t>GRANITE RIDGE RESOURCES, INC.</t>
  </si>
  <si>
    <t>0001213900-24-048435</t>
  </si>
  <si>
    <t>PLUTONIAN ACQUISITION CORP.</t>
  </si>
  <si>
    <t>0001929561-24-000082</t>
  </si>
  <si>
    <t>RXO, INC.</t>
  </si>
  <si>
    <t>0001929589-24-000034</t>
  </si>
  <si>
    <t>MariaDB plc</t>
  </si>
  <si>
    <t>0001213900-24-034689</t>
  </si>
  <si>
    <t>NEW HORIZON AIRCRAFT LTD.</t>
  </si>
  <si>
    <t>0001193125-24-138195</t>
  </si>
  <si>
    <t>Blackstone Private Equity Strategies Fund L.P.</t>
  </si>
  <si>
    <t>0001930087-24-000027</t>
  </si>
  <si>
    <t>Golub Capital Private Credit Fund</t>
  </si>
  <si>
    <t>0001213900-24-070251</t>
  </si>
  <si>
    <t>PONO CAPITAL TWO, INC.</t>
  </si>
  <si>
    <t>0001628280-24-023529</t>
  </si>
  <si>
    <t>KKR FS Income Trust</t>
  </si>
  <si>
    <t>0001493152-24-016824</t>
  </si>
  <si>
    <t>BLUE     CHIP CAPITAL GROUP, INC.</t>
  </si>
  <si>
    <t>0001493152-24-033428</t>
  </si>
  <si>
    <t>AI UNLIMITED GROUP, INC.</t>
  </si>
  <si>
    <t>0001932393-24-000034</t>
  </si>
  <si>
    <t>GE HEALTHCARE TECHNOLOGIES INC.</t>
  </si>
  <si>
    <t>0000950170-24-055580</t>
  </si>
  <si>
    <t>SLR Private Credit BDC II LLC</t>
  </si>
  <si>
    <t>0001683168-24-005952</t>
  </si>
  <si>
    <t>NATICS CORP.</t>
  </si>
  <si>
    <t>0001933414-24-000039</t>
  </si>
  <si>
    <t>MINERALYS THERAPEUTICS, INC.</t>
  </si>
  <si>
    <t>0001493152-24-030875</t>
  </si>
  <si>
    <t>NEURAXIS, INC.</t>
  </si>
  <si>
    <t>0001558370-24-008480</t>
  </si>
  <si>
    <t>PROSOMNUS, INC.</t>
  </si>
  <si>
    <t>0001493152-24-017176</t>
  </si>
  <si>
    <t>SACKS PARENTE GOLF, INC.</t>
  </si>
  <si>
    <t>0001493152-24-018807</t>
  </si>
  <si>
    <t>MDB CAPITAL HOLDINGS, LLC</t>
  </si>
  <si>
    <t>0001934850-24-000027</t>
  </si>
  <si>
    <t>F&amp;G Annuities &amp; Life, Inc.</t>
  </si>
  <si>
    <t>0001493152-24-023399</t>
  </si>
  <si>
    <t>KEEMO FASHION GROUP LIMITED</t>
  </si>
  <si>
    <t>0001079973-24-000798</t>
  </si>
  <si>
    <t>Cyber Enviro-Tech, Inc.</t>
  </si>
  <si>
    <t>0001935979-24-000046</t>
  </si>
  <si>
    <t>Biohaven Ltd.</t>
  </si>
  <si>
    <t>0000950170-24-060529</t>
  </si>
  <si>
    <t>Surf Air Mobility Inc.</t>
  </si>
  <si>
    <t>0001193125-24-200695</t>
  </si>
  <si>
    <t>Four Leaf Acquisition Corporation</t>
  </si>
  <si>
    <t>0000950170-24-055767</t>
  </si>
  <si>
    <t>NewAmsterdam Pharma Company N.V.</t>
  </si>
  <si>
    <t>0001493152-24-020765</t>
  </si>
  <si>
    <t>CETUS CAPITAL ACQUISITION CORP.</t>
  </si>
  <si>
    <t>0001199835-24-000337</t>
  </si>
  <si>
    <t>NEXT BRIDGE HYDROCARBONS, INC.</t>
  </si>
  <si>
    <t>ZYMEWORKS INC.</t>
  </si>
  <si>
    <t>0001493152-24-033092</t>
  </si>
  <si>
    <t>ALPHAVEST ACQUISITION CORP</t>
  </si>
  <si>
    <t>0001213900-24-041014</t>
  </si>
  <si>
    <t>CADRENAL THERAPEUTICS, INC.</t>
  </si>
  <si>
    <t>0001493152-24-019960</t>
  </si>
  <si>
    <t>Mangoceuticals, Inc.</t>
  </si>
  <si>
    <t>0001493152-24-014615</t>
  </si>
  <si>
    <t>PINEAPPLE FINANCIAL INC.</t>
  </si>
  <si>
    <t>0001477932-24-002902</t>
  </si>
  <si>
    <t>GLOBALTECH CORPORATION</t>
  </si>
  <si>
    <t>0001213900-24-068823</t>
  </si>
  <si>
    <t>Unite Acquisition 3 Corp.</t>
  </si>
  <si>
    <t>0001213900-24-068822</t>
  </si>
  <si>
    <t>Unite Acquisition 2 Corp.</t>
  </si>
  <si>
    <t>0001213900-24-068816</t>
  </si>
  <si>
    <t>Unite Acquisition 1 Corp.</t>
  </si>
  <si>
    <t>0001213900-24-068966</t>
  </si>
  <si>
    <t>Inspire Veterinary Partners, Inc.</t>
  </si>
  <si>
    <t>0001939433-24-000048</t>
  </si>
  <si>
    <t>Cohen &amp; Steers Income Opportunities REIT, Inc.</t>
  </si>
  <si>
    <t>0001683168-24-002398</t>
  </si>
  <si>
    <t>L A M Y</t>
  </si>
  <si>
    <t>0001683168-24-003671</t>
  </si>
  <si>
    <t>NEOLARA CORP.</t>
  </si>
  <si>
    <t>0001941365-24-000071</t>
  </si>
  <si>
    <t>MasterBrand, Inc.</t>
  </si>
  <si>
    <t>0001628280-24-036974</t>
  </si>
  <si>
    <t>BRIDGER AEROSPACE GROUP HOLDINGS, INC.</t>
  </si>
  <si>
    <t>0001558370-24-007810</t>
  </si>
  <si>
    <t>BGO Industrial Real Estate Income Trust, Inc.</t>
  </si>
  <si>
    <t>0001628280-24-029005</t>
  </si>
  <si>
    <t>Silvaco Group, Inc.</t>
  </si>
  <si>
    <t>0000950170-24-057471</t>
  </si>
  <si>
    <t>First Seacoast Bancorp, Inc.</t>
  </si>
  <si>
    <t>0001943896-24-000009</t>
  </si>
  <si>
    <t>RUBRIK, INC.</t>
  </si>
  <si>
    <t>0001628280-24-019638</t>
  </si>
  <si>
    <t>CRANE COMPANY</t>
  </si>
  <si>
    <t>0001944048-24-000100</t>
  </si>
  <si>
    <t>Kenvue Inc.</t>
  </si>
  <si>
    <t>0001493152-24-029597</t>
  </si>
  <si>
    <t>DT Cloud Acquisition Corporation</t>
  </si>
  <si>
    <t>0001944366-24-000053</t>
  </si>
  <si>
    <t>Blue Owl Real Estate Net Lease Trust</t>
  </si>
  <si>
    <t>0001944558-24-000085</t>
  </si>
  <si>
    <t>Vitesse Energy, Inc.</t>
  </si>
  <si>
    <t>0001213900-24-043483</t>
  </si>
  <si>
    <t>OAK WOODS ACQUISITION CORPORATION</t>
  </si>
  <si>
    <t>0001683168-24-005863</t>
  </si>
  <si>
    <t>KINETIC SEAS INCORPORATED</t>
  </si>
  <si>
    <t>0001929980-24-000341</t>
  </si>
  <si>
    <t>HORIZON SPACE ACQUISITION I CORP.</t>
  </si>
  <si>
    <t>0001213900-24-043323</t>
  </si>
  <si>
    <t>60 DEGREES PHARMACEUTICALS, INC.</t>
  </si>
  <si>
    <t>0001493152-24-031760</t>
  </si>
  <si>
    <t>KINDLY     MD, INC.</t>
  </si>
  <si>
    <t>0001946997-24-000061</t>
  </si>
  <si>
    <t>EQT Exeter Real Estate Income Trust, Inc.</t>
  </si>
  <si>
    <t>0001493152-24-031694</t>
  </si>
  <si>
    <t>U.S. GOLDMINING INC.</t>
  </si>
  <si>
    <t>0001213900-24-069099</t>
  </si>
  <si>
    <t>NATURE’S MIRACLE HOLDING INC.</t>
  </si>
  <si>
    <t>0001948056-24-000021</t>
  </si>
  <si>
    <t>KKR Infrastructure Conglomerate LLC</t>
  </si>
  <si>
    <t>0001213900-24-082378</t>
  </si>
  <si>
    <t>Ispire Technology Inc.</t>
  </si>
  <si>
    <t>0001161697-24-000350</t>
  </si>
  <si>
    <t>GAMER PAKISTAN INC.</t>
  </si>
  <si>
    <t>0000950170-24-055811</t>
  </si>
  <si>
    <t>Sitio Royalties Corp.</t>
  </si>
  <si>
    <t>0001213900-24-045344</t>
  </si>
  <si>
    <t>99 Acquisition Group Inc.</t>
  </si>
  <si>
    <t>0001193125-24-138529</t>
  </si>
  <si>
    <t>StepStone Private Credit Fund LLC</t>
  </si>
  <si>
    <t>0001193125-24-135945</t>
  </si>
  <si>
    <t>26North BDC, Inc.</t>
  </si>
  <si>
    <t>0001640334-24-000771</t>
  </si>
  <si>
    <t>JAAG ENTERPRISES LTD.</t>
  </si>
  <si>
    <t>0000950170-24-060398</t>
  </si>
  <si>
    <t>SR Bancorp, Inc.</t>
  </si>
  <si>
    <t>0001410578-24-001372</t>
  </si>
  <si>
    <t>Cheetah Net Supply Chain Service Inc.</t>
  </si>
  <si>
    <t>0001952073-24-000015</t>
  </si>
  <si>
    <t>MADISON SQUARE GARDEN ENTERTAINMENT CORP.</t>
  </si>
  <si>
    <t>0001493152-24-018997</t>
  </si>
  <si>
    <t>Massimo Group</t>
  </si>
  <si>
    <t>0001952976-24-000034</t>
  </si>
  <si>
    <t>Net Lease Office Properties</t>
  </si>
  <si>
    <t>0001953366-24-000014</t>
  </si>
  <si>
    <t>Star Holdings</t>
  </si>
  <si>
    <t>0001410578-24-001477</t>
  </si>
  <si>
    <t>Binah Capital Group, Inc.</t>
  </si>
  <si>
    <t>0000950170-24-058631</t>
  </si>
  <si>
    <t>Crescent Private Credit Income Corp.</t>
  </si>
  <si>
    <t>0001955010-24-000010</t>
  </si>
  <si>
    <t>OHA SENIOR PRIVATE LENDING FUND (U) LLC</t>
  </si>
  <si>
    <t>0001955520-24-000040</t>
  </si>
  <si>
    <t>Knife River Corporation</t>
  </si>
  <si>
    <t>0001929980-24-000358</t>
  </si>
  <si>
    <t>BUKIT JALIL GLOBAL ACQUISITION 1 LTD.</t>
  </si>
  <si>
    <t>0001213900-24-051214</t>
  </si>
  <si>
    <t>CleanCore Solutions, Inc.</t>
  </si>
  <si>
    <t>NE-</t>
  </si>
  <si>
    <t>0001493152-24-031263</t>
  </si>
  <si>
    <t>SRM ENTERTAINMENT, INC.</t>
  </si>
  <si>
    <t>0001683168-24-005688</t>
  </si>
  <si>
    <t>Unusual Machines, Inc.</t>
  </si>
  <si>
    <t>0001957845-24-000030</t>
  </si>
  <si>
    <t>KKR Private Equity Conglomerate LLC</t>
  </si>
  <si>
    <t>0000950170-24-048414</t>
  </si>
  <si>
    <t>CORE LABORATORIES INC.</t>
  </si>
  <si>
    <t>0001558370-24-007307</t>
  </si>
  <si>
    <t>ATLANTA BRAVES HOLDINGS, INC.</t>
  </si>
  <si>
    <t>0001493152-24-030603</t>
  </si>
  <si>
    <t>FibroBiologics, Inc.</t>
  </si>
  <si>
    <t>0001213900-24-068958</t>
  </si>
  <si>
    <t>SAFE AND GREEN DEVELOPMENT CORPORATION</t>
  </si>
  <si>
    <t>0001628280-24-021074</t>
  </si>
  <si>
    <t>WK Kellogg Co</t>
  </si>
  <si>
    <t>0000950170-24-058828</t>
  </si>
  <si>
    <t>Senior Credit Investments, LLC</t>
  </si>
  <si>
    <t>0001829126-24-003330</t>
  </si>
  <si>
    <t>Protopia Global Holdings Inc.</t>
  </si>
  <si>
    <t>0000950170-24-058817</t>
  </si>
  <si>
    <t>Jefferies Credit Partners BDC Inc.</t>
  </si>
  <si>
    <t>0000950170-24-060331</t>
  </si>
  <si>
    <t>IPC Alternative Real Estate Income Trust, Inc.</t>
  </si>
  <si>
    <t>0001903596-24-000339</t>
  </si>
  <si>
    <t>Ludwig Enterprises, Inc.</t>
  </si>
  <si>
    <t>0001493152-24-018936</t>
  </si>
  <si>
    <t>INNO HOLDINGS INC.</t>
  </si>
  <si>
    <t>0001493152-24-019106</t>
  </si>
  <si>
    <t>BRANCHOUT FOOD INC.</t>
  </si>
  <si>
    <t>0001962918-24-000106</t>
  </si>
  <si>
    <t>ACELYRIN, INC.</t>
  </si>
  <si>
    <t>0001410578-24-000969</t>
  </si>
  <si>
    <t>AtlasClear Holdings, Inc</t>
  </si>
  <si>
    <t>0001213900-24-043063</t>
  </si>
  <si>
    <t>RICHTECH ROBOTICS INC.</t>
  </si>
  <si>
    <t>0001964333-24-000219</t>
  </si>
  <si>
    <t>Burke &amp; Herbert Financial Services Corp.</t>
  </si>
  <si>
    <t>0001964738-24-000013</t>
  </si>
  <si>
    <t>SOLVENTUM CORPORATION</t>
  </si>
  <si>
    <t>0001558370-24-011968</t>
  </si>
  <si>
    <t>Hut 8 Corp.</t>
  </si>
  <si>
    <t>0000950170-24-097089</t>
  </si>
  <si>
    <t>Allurion Technologies, Inc.</t>
  </si>
  <si>
    <t>0001965040-24-000054</t>
  </si>
  <si>
    <t>FORTREA HOLDINGS INC.</t>
  </si>
  <si>
    <t>0001140361-24-026177</t>
  </si>
  <si>
    <t>Fortress Net Lease REIT</t>
  </si>
  <si>
    <t>0000950170-24-095427</t>
  </si>
  <si>
    <t>CARGO Therapeutics, Inc.</t>
  </si>
  <si>
    <t>0001493152-24-031983</t>
  </si>
  <si>
    <t>AI Transportation Acquisition Corp</t>
  </si>
  <si>
    <t>0001558370-24-008476</t>
  </si>
  <si>
    <t>Mercer Bancorp, Inc.</t>
  </si>
  <si>
    <t>0001967649-24-000043</t>
  </si>
  <si>
    <t>Vestis Corp</t>
  </si>
  <si>
    <t>0001558370-24-007747</t>
  </si>
  <si>
    <t>PFS Bancorp, Inc.</t>
  </si>
  <si>
    <t>0001967680-24-000059</t>
  </si>
  <si>
    <t>VERALTO CORPORATION</t>
  </si>
  <si>
    <t>0000950170-24-043883</t>
  </si>
  <si>
    <t>WORTHINGTON STEEL, INC.</t>
  </si>
  <si>
    <t>0001968915-24-000014</t>
  </si>
  <si>
    <t>PHINIA INC.</t>
  </si>
  <si>
    <t>0001493152-24-032268</t>
  </si>
  <si>
    <t>BAYVIEW ACQUISITION CORP</t>
  </si>
  <si>
    <t>0001640334-24-000914</t>
  </si>
  <si>
    <t>LEGEND SPICES, INC.</t>
  </si>
  <si>
    <t>AM-</t>
  </si>
  <si>
    <t>0001410578-24-001373</t>
  </si>
  <si>
    <t>HAYMAKER ACQUISITION CORP. 4</t>
  </si>
  <si>
    <t>0001213900-24-069007</t>
  </si>
  <si>
    <t>INFLECTION POINT ACQUISITION CORP. II</t>
  </si>
  <si>
    <t>0001971213-24-000037</t>
  </si>
  <si>
    <t>Sinclair, Inc.</t>
  </si>
  <si>
    <t>0001193125-24-139353</t>
  </si>
  <si>
    <t>Apollo Infrastructure Company LLC</t>
  </si>
  <si>
    <t>0001493152-24-018909</t>
  </si>
  <si>
    <t>Telomir Pharmaceuticals, Inc.</t>
  </si>
  <si>
    <t>0000950170-24-095752</t>
  </si>
  <si>
    <t>Mural Oncology plc</t>
  </si>
  <si>
    <t>0001213900-24-051743</t>
  </si>
  <si>
    <t>Armlogi Holding Corp.</t>
  </si>
  <si>
    <t>0001973047-24-000018</t>
  </si>
  <si>
    <t>MARKY CORP.</t>
  </si>
  <si>
    <t>0001493152-24-031633</t>
  </si>
  <si>
    <t>Bowen Acquisition Corp</t>
  </si>
  <si>
    <t>0001973266-24-000013</t>
  </si>
  <si>
    <t>TKO GROUP HOLDINGS, INC.</t>
  </si>
  <si>
    <t>0001973476-24-000044</t>
  </si>
  <si>
    <t>North Haven Private Income Fund A LLC</t>
  </si>
  <si>
    <t>0001974138-24-000029</t>
  </si>
  <si>
    <t>NCR ATLEOS CORPORATION</t>
  </si>
  <si>
    <t>0000950170-24-095053</t>
  </si>
  <si>
    <t>Apogee Therapeutics, Inc.</t>
  </si>
  <si>
    <t>0001974793-24-000011</t>
  </si>
  <si>
    <t>Oaktree Gardens OLP, LLC</t>
  </si>
  <si>
    <t>0001410578-24-001403</t>
  </si>
  <si>
    <t>NABORS ENERGY TRANSITION CORP. II</t>
  </si>
  <si>
    <t>0001628280-24-023526</t>
  </si>
  <si>
    <t>KKR FS Income Trust Select</t>
  </si>
  <si>
    <t>0001213900-24-068986</t>
  </si>
  <si>
    <t>Bloom HoldCo LLC</t>
  </si>
  <si>
    <t>0001477932-24-002970</t>
  </si>
  <si>
    <t>NEXSCIENT, INC.</t>
  </si>
  <si>
    <t>0001976719-24-000010</t>
  </si>
  <si>
    <t>New Mountain Guardian IV Income Fund, L.L.C.</t>
  </si>
  <si>
    <t>0001493152-24-018746</t>
  </si>
  <si>
    <t>DFP HOLDINGS LIMITED</t>
  </si>
  <si>
    <t>0001976927-24-000034</t>
  </si>
  <si>
    <t>Invesco Commercial Real Estate Finance Trust, Inc.</t>
  </si>
  <si>
    <t>0001977303-24-000026</t>
  </si>
  <si>
    <t>ARCADIUM LITHIUM PLC</t>
  </si>
  <si>
    <t>0001683168-24-003656</t>
  </si>
  <si>
    <t>NAPLOY CORP.</t>
  </si>
  <si>
    <t>NG-</t>
  </si>
  <si>
    <t>0001493152-24-034618</t>
  </si>
  <si>
    <t>YERBAE BRANDS CORP.</t>
  </si>
  <si>
    <t>0001829126-24-003032</t>
  </si>
  <si>
    <t>Quetta Acquisition Corporation</t>
  </si>
  <si>
    <t>0001558370-24-007793</t>
  </si>
  <si>
    <t>Gouverneur Bancorp, Inc.</t>
  </si>
  <si>
    <t>0001493152-24-030872</t>
  </si>
  <si>
    <t>AIMEI HEALTH TECHNOLOGY CO., LTD</t>
  </si>
  <si>
    <t>0001410578-24-000652</t>
  </si>
  <si>
    <t>ANDALUSIAN CREDIT COMPANY, LLC</t>
  </si>
  <si>
    <t>0001558370-24-007722</t>
  </si>
  <si>
    <t>NB Bancorp, Inc.</t>
  </si>
  <si>
    <t>0001628280-24-036971</t>
  </si>
  <si>
    <t>Mach Natural Resources LP</t>
  </si>
  <si>
    <t>0000950170-24-105180</t>
  </si>
  <si>
    <t>enGene Holdings Inc.</t>
  </si>
  <si>
    <t>0001437749-24-025406</t>
  </si>
  <si>
    <t>iShares Bitcoin Trust ETF</t>
  </si>
  <si>
    <t>0001437749-24-026906</t>
  </si>
  <si>
    <t>SharpLink Gaming, Inc.</t>
  </si>
  <si>
    <t>0001981599-24-000030</t>
  </si>
  <si>
    <t>Centuri Holdings, Inc.</t>
  </si>
  <si>
    <t>0001140361-24-026259</t>
  </si>
  <si>
    <t>Smith Douglas Homes Corp.</t>
  </si>
  <si>
    <t>0001983514-24-000037</t>
  </si>
  <si>
    <t>LGAM Private Credit LLC</t>
  </si>
  <si>
    <t>0001493152-24-020383</t>
  </si>
  <si>
    <t>EVA LIVE INC.</t>
  </si>
  <si>
    <t>0000950170-24-055827</t>
  </si>
  <si>
    <t>Atlas Energy Solutions Inc.</t>
  </si>
  <si>
    <t>0001213900-24-042789</t>
  </si>
  <si>
    <t>Muzinich Corporate Lending Income Fund, Inc.</t>
  </si>
  <si>
    <t>0001683168-24-002075</t>
  </si>
  <si>
    <t>LONDAX CORP.</t>
  </si>
  <si>
    <t>LV-</t>
  </si>
  <si>
    <t>0001999371-24-006171</t>
  </si>
  <si>
    <t>Tidal     Commodities Trust I</t>
  </si>
  <si>
    <t>0000950170-24-059781</t>
  </si>
  <si>
    <t>AMG Comvest Senior Lending Fund</t>
  </si>
  <si>
    <t>0001987731-24-000008</t>
  </si>
  <si>
    <t>WTI Fund XI, Inc.</t>
  </si>
  <si>
    <t>0001477932-24-003714</t>
  </si>
  <si>
    <t>GURU APP FACTORY CORP.</t>
  </si>
  <si>
    <t>0001989817-24-000007</t>
  </si>
  <si>
    <t>HPS Corporate Capital Solutions Fund</t>
  </si>
  <si>
    <t>0001683168-24-005875</t>
  </si>
  <si>
    <t>TRANS AMERICAN AQUACULTURE, INC.</t>
  </si>
  <si>
    <t>0000950170-24-093238</t>
  </si>
  <si>
    <t>CG Oncology, Inc.</t>
  </si>
  <si>
    <t>0001992243-24-000100</t>
  </si>
  <si>
    <t>FREYR Battery, Inc.</t>
  </si>
  <si>
    <t>0001193125-24-173040</t>
  </si>
  <si>
    <t>FRANKLIN TEMPLETON DIGITAL HOLDINGS TRUST</t>
  </si>
  <si>
    <t>0001993004-24-000035</t>
  </si>
  <si>
    <t>NORTHWESTERN ENERGY GROUP, INC.</t>
  </si>
  <si>
    <t>0001493152-24-035714</t>
  </si>
  <si>
    <t>ACEZTECH CORPORATION</t>
  </si>
  <si>
    <t>0001477932-24-004151</t>
  </si>
  <si>
    <t>OYOCAR GROUP INC.</t>
  </si>
  <si>
    <t>DO-</t>
  </si>
  <si>
    <t>0000950170-24-095462</t>
  </si>
  <si>
    <t>Kyverna Therapeutics, Inc.</t>
  </si>
  <si>
    <t>0001213900-24-068428</t>
  </si>
  <si>
    <t>COLOMBIER ACQUISITION CORP. II</t>
  </si>
  <si>
    <t>0001493152-24-037745</t>
  </si>
  <si>
    <t>AFB LIMITED</t>
  </si>
  <si>
    <t>0000950170-24-093065</t>
  </si>
  <si>
    <t>LandBridge Company LLC</t>
  </si>
  <si>
    <t>0001995920-24-000012</t>
  </si>
  <si>
    <t>E-SMART CORP.</t>
  </si>
  <si>
    <t>0001437749-24-016719</t>
  </si>
  <si>
    <t>BLUM HOLDINGS, INC.</t>
  </si>
  <si>
    <t>0001996810-24-000008</t>
  </si>
  <si>
    <t>GE Vernova Inc.</t>
  </si>
  <si>
    <t>0001996862-24-000094</t>
  </si>
  <si>
    <t>BUNGE GLOBAL SA</t>
  </si>
  <si>
    <t>0001213900-24-054367</t>
  </si>
  <si>
    <t>PROFICIENT AUTO LOGISTICS, INC.</t>
  </si>
  <si>
    <t>0001493152-24-032208</t>
  </si>
  <si>
    <t>IB ACQUISITION CORP.</t>
  </si>
  <si>
    <t>0001999480-24-000035</t>
  </si>
  <si>
    <t>Alto Neuroscience, Inc.</t>
  </si>
  <si>
    <t>0001999784-24-000008</t>
  </si>
  <si>
    <t>North Haven Net REIT</t>
  </si>
  <si>
    <t>0000950170-24-059554</t>
  </si>
  <si>
    <t>Loar Holdings Inc.</t>
  </si>
  <si>
    <t>0000950170-24-058934</t>
  </si>
  <si>
    <t>Apollo Asset Backed Credit Company LLC</t>
  </si>
  <si>
    <t>0001683168-24-006420</t>
  </si>
  <si>
    <t>GMTECH INC.</t>
  </si>
  <si>
    <t>0001829126-24-002656</t>
  </si>
  <si>
    <t>Black Hawk Acquisition Corporation</t>
  </si>
  <si>
    <t>0002001184-24-000035</t>
  </si>
  <si>
    <t>PACS Group, Inc.</t>
  </si>
  <si>
    <t>0001829126-24-002409</t>
  </si>
  <si>
    <t>LEGATO MERGER CORP. III</t>
  </si>
  <si>
    <t>0001628280-24-036134</t>
  </si>
  <si>
    <t>Bowhead Specialty Holdings Inc.</t>
  </si>
  <si>
    <t>0001213900-24-067900</t>
  </si>
  <si>
    <t>MAITONG SUNSHINE CULTURAL DEVELOPMENT CO., LIMITED</t>
  </si>
  <si>
    <t>0002003881-24-000032</t>
  </si>
  <si>
    <t>STIRLING HOTELS &amp; RESORTS, INC.</t>
  </si>
  <si>
    <t>0001193125-24-199774</t>
  </si>
  <si>
    <t>Churchill Capital Corp IX/Cayman</t>
  </si>
  <si>
    <t>0001410578-24-001560</t>
  </si>
  <si>
    <t>ADAGIO MEDICAL HOLDINGS, INC.</t>
  </si>
  <si>
    <t>0002007596-24-000008</t>
  </si>
  <si>
    <t>TWFG, Inc.</t>
  </si>
  <si>
    <t>0002007919-24-000029</t>
  </si>
  <si>
    <t>INHIBRX BIOSCIENCES, INC.</t>
  </si>
  <si>
    <t>0001213900-24-068252</t>
  </si>
  <si>
    <t>CENTURION ACQUISITION CORP.</t>
  </si>
  <si>
    <t>0000950170-24-093334</t>
  </si>
  <si>
    <t>Rapport Therapeutics, Inc.</t>
  </si>
  <si>
    <t>0001558370-24-009435</t>
  </si>
  <si>
    <t>Fifth District Bancorp, Inc.</t>
  </si>
  <si>
    <t>RF ACQUISITION CORP II</t>
  </si>
  <si>
    <t>0001213900-24-078254</t>
  </si>
  <si>
    <t>AA Mission Acquisition Corp.</t>
  </si>
  <si>
    <t>0000950170-24-112280</t>
  </si>
  <si>
    <t>FB Bancorp, Inc.</t>
  </si>
  <si>
    <t>0001558370-24-011642</t>
  </si>
  <si>
    <t>EWSB BANCORP, INC</t>
  </si>
  <si>
    <t>0001628280-24-038538</t>
  </si>
  <si>
    <t>CONCENTRA GROUP HOLDINGS PARENT, INC.</t>
  </si>
  <si>
    <t>0001213900-24-069041</t>
  </si>
  <si>
    <t>CHENGHE ACQUISITION II CO.</t>
  </si>
  <si>
    <t>0001493152-24-035319</t>
  </si>
  <si>
    <t>DT Cloud Star Acquisition Corporation</t>
  </si>
  <si>
    <t>tag</t>
  </si>
  <si>
    <t>AccumulatedOtherComprehensiveIncomeLossNetOfTax</t>
  </si>
  <si>
    <t>filed</t>
  </si>
  <si>
    <t>form</t>
  </si>
  <si>
    <t>fp</t>
  </si>
  <si>
    <t>fy</t>
  </si>
  <si>
    <t>0001193125-09-153165</t>
  </si>
  <si>
    <t>10-Q</t>
  </si>
  <si>
    <t>Q3</t>
  </si>
  <si>
    <t>0001193125-09-214859</t>
  </si>
  <si>
    <t>10-K</t>
  </si>
  <si>
    <t>FY</t>
  </si>
  <si>
    <t>0001193125-10-012091</t>
  </si>
  <si>
    <t>10-K/A</t>
  </si>
  <si>
    <t>0001193125-10-238044</t>
  </si>
  <si>
    <t>0001193125-10-012085</t>
  </si>
  <si>
    <t>Q1</t>
  </si>
  <si>
    <t>0001193125-10-088957</t>
  </si>
  <si>
    <t>Q2</t>
  </si>
  <si>
    <t>0001193125-10-162840</t>
  </si>
  <si>
    <t>0001193125-11-282113</t>
  </si>
  <si>
    <t>0001193125-11-010144</t>
  </si>
  <si>
    <t>0001193125-11-104388</t>
  </si>
  <si>
    <t>0001193125-11-192493</t>
  </si>
  <si>
    <t>0001193125-12-023398</t>
  </si>
  <si>
    <t>0001193125-12-182321</t>
  </si>
  <si>
    <t>0001193125-12-314552</t>
  </si>
  <si>
    <t>0001193125-12-444068</t>
  </si>
  <si>
    <t>0001193125-13-170623</t>
  </si>
  <si>
    <t>8-K</t>
  </si>
  <si>
    <t>0001193125-13-022339</t>
  </si>
  <si>
    <t>0001193125-13-168288</t>
  </si>
  <si>
    <t>0001193125-13-300670</t>
  </si>
  <si>
    <t>0001193125-13-416534</t>
  </si>
  <si>
    <t>0001193125-14-024487</t>
  </si>
  <si>
    <t>0001193125-14-157311</t>
  </si>
  <si>
    <t>0001193125-14-277160</t>
  </si>
  <si>
    <t>0001193125-14-383437</t>
  </si>
  <si>
    <t>0001193125-15-023732</t>
  </si>
  <si>
    <t>0001193125-15-356351</t>
  </si>
  <si>
    <t>0001193125-15-023697</t>
  </si>
  <si>
    <t>0001193125-15-153166</t>
  </si>
  <si>
    <t>0001193125-15-259935</t>
  </si>
  <si>
    <t>0001193125-16-439878</t>
  </si>
  <si>
    <t>0001193125-16-559625</t>
  </si>
  <si>
    <t>0001628280-16-017809</t>
  </si>
  <si>
    <t>0001628280-16-020309</t>
  </si>
  <si>
    <t>0001628280-17-000717</t>
  </si>
  <si>
    <t>0001628280-17-004790</t>
  </si>
  <si>
    <t>0000320193-17-000009</t>
  </si>
  <si>
    <t>0000320193-17-000070</t>
  </si>
  <si>
    <t>0000320193-18-000007</t>
  </si>
  <si>
    <t>0000320193-18-000070</t>
  </si>
  <si>
    <t>0000320193-18-000100</t>
  </si>
  <si>
    <t>0000320193-18-000145</t>
  </si>
  <si>
    <t>0000320193-19-000010</t>
  </si>
  <si>
    <t>0000320193-19-000066</t>
  </si>
  <si>
    <t>0000320193-19-000076</t>
  </si>
  <si>
    <t>0000320193-19-000119</t>
  </si>
  <si>
    <t>0000320193-20-000010</t>
  </si>
  <si>
    <t>0000320193-20-000052</t>
  </si>
  <si>
    <t>0000320193-20-000062</t>
  </si>
  <si>
    <t>0000320193-20-000096</t>
  </si>
  <si>
    <t>0000320193-21-000010</t>
  </si>
  <si>
    <t>0000320193-21-000056</t>
  </si>
  <si>
    <t>0000320193-21-000065</t>
  </si>
  <si>
    <t>0000320193-21-000105</t>
  </si>
  <si>
    <t>0000320193-22-000007</t>
  </si>
  <si>
    <t>0000320193-22-000059</t>
  </si>
  <si>
    <t>0000320193-22-000070</t>
  </si>
  <si>
    <t>0000320193-22-000108</t>
  </si>
  <si>
    <t>0000320193-23-000006</t>
  </si>
  <si>
    <t>0000320193-23-000064</t>
  </si>
  <si>
    <t>0000320193-23-000077</t>
  </si>
  <si>
    <t>0000320193-23-000106</t>
  </si>
  <si>
    <t>0000320193-24-000006</t>
  </si>
  <si>
    <t>0000320193-24-000081</t>
  </si>
  <si>
    <t>0001558370-24-013996</t>
  </si>
  <si>
    <t>0000004977-24-000167</t>
  </si>
  <si>
    <t>0000006201-24-000060</t>
  </si>
  <si>
    <t>0000007789-24-000075</t>
  </si>
  <si>
    <t>0001628280-24-043795</t>
  </si>
  <si>
    <t>0000012208-24-000063</t>
  </si>
  <si>
    <t>0000014930-24-000157</t>
  </si>
  <si>
    <t>0001562762-24-000215</t>
  </si>
  <si>
    <t>0000020212-24-000116</t>
  </si>
  <si>
    <t>0000950170-24-118192</t>
  </si>
  <si>
    <t>0000027419-24-000152</t>
  </si>
  <si>
    <t>Target Corporation</t>
  </si>
  <si>
    <t>0000030697-24-000018</t>
  </si>
  <si>
    <t>0000037996-24-000185</t>
  </si>
  <si>
    <t>0001437749-24-032214</t>
  </si>
  <si>
    <t>0000046080-24-000167</t>
  </si>
  <si>
    <t>0000047217-24-000070</t>
  </si>
  <si>
    <t>HP Inc.</t>
  </si>
  <si>
    <t>0000059527-24-000036</t>
  </si>
  <si>
    <t>0000950170-24-118995</t>
  </si>
  <si>
    <t>0001628280-24-044151</t>
  </si>
  <si>
    <t>0001174947-24-001201</t>
  </si>
  <si>
    <t>0000073124-24-000257</t>
  </si>
  <si>
    <t>0001558370-24-014049</t>
  </si>
  <si>
    <t>0001558370-24-013506</t>
  </si>
  <si>
    <t>0000093556-24-000181</t>
  </si>
  <si>
    <t>0000093751-24-000909</t>
  </si>
  <si>
    <t>0000096943-24-000148</t>
  </si>
  <si>
    <t>0000950170-24-100146</t>
  </si>
  <si>
    <t>0000102729-24-000054</t>
  </si>
  <si>
    <t>0000105770-24-000081</t>
  </si>
  <si>
    <t>0000315213-24-000099</t>
  </si>
  <si>
    <t>0000318154-24-000044</t>
  </si>
  <si>
    <t>0001437749-24-032692</t>
  </si>
  <si>
    <t>0000350698-24-000111</t>
  </si>
  <si>
    <t>0001079973-24-001458</t>
  </si>
  <si>
    <t>0000700923-24-000052</t>
  </si>
  <si>
    <t>0000701347-24-000039</t>
  </si>
  <si>
    <t>0000703604-24-000093</t>
  </si>
  <si>
    <t>0000705432-24-000225</t>
  </si>
  <si>
    <t>0000707179-24-000021</t>
  </si>
  <si>
    <t>0001628280-24-038362</t>
  </si>
  <si>
    <t>Williams-Sonoma, Inc.</t>
  </si>
  <si>
    <t>0001437749-24-032429</t>
  </si>
  <si>
    <t>0000731012-24-000142</t>
  </si>
  <si>
    <t>0001437749-24-032202</t>
  </si>
  <si>
    <t>0001558370-24-013600</t>
  </si>
  <si>
    <t>0001079973-24-001453</t>
  </si>
  <si>
    <t>0000950170-24-117031</t>
  </si>
  <si>
    <t>0000766829-24-000102</t>
  </si>
  <si>
    <t>0000787250-24-000024</t>
  </si>
  <si>
    <t>0000789933-24-000055</t>
  </si>
  <si>
    <t>0000950170-24-117104</t>
  </si>
  <si>
    <t>0001437749-24-032155</t>
  </si>
  <si>
    <t>0000950170-24-101685</t>
  </si>
  <si>
    <t>0000822818-24-000045</t>
  </si>
  <si>
    <t>0000833079-24-000121</t>
  </si>
  <si>
    <t>0001493152-24-034864</t>
  </si>
  <si>
    <t>0000840489-24-000127</t>
  </si>
  <si>
    <t>0001477932-24-006748</t>
  </si>
  <si>
    <t>TOTALIGENT, INC.</t>
  </si>
  <si>
    <t>0000856982-24-000096</t>
  </si>
  <si>
    <t>0001804220-24-000040</t>
  </si>
  <si>
    <t>0000874716-24-000139</t>
  </si>
  <si>
    <t>0000877212-24-000164</t>
  </si>
  <si>
    <t>0000879169-24-000172</t>
  </si>
  <si>
    <t>0000879526-24-000049</t>
  </si>
  <si>
    <t>0000884144-24-000064</t>
  </si>
  <si>
    <t>Asure Software, Inc.</t>
  </si>
  <si>
    <t>0000887936-24-000141</t>
  </si>
  <si>
    <t>0000889331-24-000191</t>
  </si>
  <si>
    <t>0000891166-24-000094</t>
  </si>
  <si>
    <t>0000893538-24-000136</t>
  </si>
  <si>
    <t>0000950170-24-119796</t>
  </si>
  <si>
    <t>0000895126-24-000135</t>
  </si>
  <si>
    <t>EXPAND ENERGY CORPORATION</t>
  </si>
  <si>
    <t>0000895417-24-000102</t>
  </si>
  <si>
    <t>0000950170-24-118990</t>
  </si>
  <si>
    <t>0001437749-24-032790</t>
  </si>
  <si>
    <t>0000911177-24-000090</t>
  </si>
  <si>
    <t>0001437749-24-032546</t>
  </si>
  <si>
    <t>0000920148-24-000118</t>
  </si>
  <si>
    <t>0000922621-24-000023</t>
  </si>
  <si>
    <t>0001437749-24-032908</t>
  </si>
  <si>
    <t>0000929008-24-000029</t>
  </si>
  <si>
    <t>0000930420-24-000210</t>
  </si>
  <si>
    <t>0001437749-24-032576</t>
  </si>
  <si>
    <t>0000933036-24-000181</t>
  </si>
  <si>
    <t>0000945114-24-000055</t>
  </si>
  <si>
    <t>0000945841-24-000160</t>
  </si>
  <si>
    <t>0000950170-24-117090</t>
  </si>
  <si>
    <t>0001683168-24-007491</t>
  </si>
  <si>
    <t>0001013857-24-000226</t>
  </si>
  <si>
    <t>0001014739-24-000052</t>
  </si>
  <si>
    <t>0001043337-24-000121</t>
  </si>
  <si>
    <t>0001628280-24-044353</t>
  </si>
  <si>
    <t>0000950170-24-119263</t>
  </si>
  <si>
    <t>0001053706-24-000026</t>
  </si>
  <si>
    <t>0000950170-24-103969</t>
  </si>
  <si>
    <t>Kirkland's, Inc.</t>
  </si>
  <si>
    <t>0001057352-24-000125</t>
  </si>
  <si>
    <t>0001058090-24-000050</t>
  </si>
  <si>
    <t>0001058290-24-000327</t>
  </si>
  <si>
    <t>0001058623-24-000106</t>
  </si>
  <si>
    <t>0001060955-24-000090</t>
  </si>
  <si>
    <t>0001065059-24-000089</t>
  </si>
  <si>
    <t>0000950170-24-117783</t>
  </si>
  <si>
    <t>0001628280-24-044322</t>
  </si>
  <si>
    <t>0001094285-24-000104</t>
  </si>
  <si>
    <t>0001437749-24-032036</t>
  </si>
  <si>
    <t>0001096056-24-000058</t>
  </si>
  <si>
    <t>0001108524-24-000022</t>
  </si>
  <si>
    <t>0000950170-24-116665</t>
  </si>
  <si>
    <t>0001125376-24-000171</t>
  </si>
  <si>
    <t>0001558370-24-013601</t>
  </si>
  <si>
    <t>0001144980-24-000148</t>
  </si>
  <si>
    <t>0001628280-24-044445</t>
  </si>
  <si>
    <t>0001163370-24-000037</t>
  </si>
  <si>
    <t>0001493152-24-034525</t>
  </si>
  <si>
    <t>0001177609-24-000026</t>
  </si>
  <si>
    <t>FIVE BELOW, INC</t>
  </si>
  <si>
    <t>0000950170-24-117401</t>
  </si>
  <si>
    <t>0001178670-24-000053</t>
  </si>
  <si>
    <t>0001179929-24-000151</t>
  </si>
  <si>
    <t>0001227654-24-000212</t>
  </si>
  <si>
    <t>0001493152-24-035116</t>
  </si>
  <si>
    <t>0001410578-24-001708</t>
  </si>
  <si>
    <t>0001280058-24-000065</t>
  </si>
  <si>
    <t>0000950170-24-103199</t>
  </si>
  <si>
    <t>0001286043-24-000111</t>
  </si>
  <si>
    <t>0001288469-24-000128</t>
  </si>
  <si>
    <t>0001289945-24-000061</t>
  </si>
  <si>
    <t>0001301787-24-000032</t>
  </si>
  <si>
    <t>0001307748-24-000101</t>
  </si>
  <si>
    <t>0001477932-24-005261</t>
  </si>
  <si>
    <t>CAMBER ENERGY, INC.</t>
  </si>
  <si>
    <t>0001309108-24-000201</t>
  </si>
  <si>
    <t>0001628280-24-044570</t>
  </si>
  <si>
    <t>0001321732-24-000118</t>
  </si>
  <si>
    <t>0001558370-24-014056</t>
  </si>
  <si>
    <t>0001558370-24-013697</t>
  </si>
  <si>
    <t>PRIMIS FINANCIAL CORP.</t>
  </si>
  <si>
    <t>0001326380-24-000160</t>
  </si>
  <si>
    <t>0000950170-24-118217</t>
  </si>
  <si>
    <t>0000950170-24-119083</t>
  </si>
  <si>
    <t>0001628280-24-044561</t>
  </si>
  <si>
    <t>0000950170-24-119787</t>
  </si>
  <si>
    <t>0001558370-24-014072</t>
  </si>
  <si>
    <t>0000950170-24-119100</t>
  </si>
  <si>
    <t>0001378950-24-000126</t>
  </si>
  <si>
    <t>0001213900-24-091822</t>
  </si>
  <si>
    <t>Bowmo, inc.</t>
  </si>
  <si>
    <t>0001383650-24-000058</t>
  </si>
  <si>
    <t>0001385849-24-000052</t>
  </si>
  <si>
    <t>0001388658-24-000167</t>
  </si>
  <si>
    <t>0001731122-24-001317</t>
  </si>
  <si>
    <t>0001402829-24-000076</t>
  </si>
  <si>
    <t>0001405495-24-000117</t>
  </si>
  <si>
    <t>0001407623-24-000089</t>
  </si>
  <si>
    <t>0001408198-24-000170</t>
  </si>
  <si>
    <t>0001410636-24-000187</t>
  </si>
  <si>
    <t>0001412408-24-000139</t>
  </si>
  <si>
    <t>0001477932-24-006809</t>
  </si>
  <si>
    <t>0001418135-24-000090</t>
  </si>
  <si>
    <t>0001683168-24-007452</t>
  </si>
  <si>
    <t>0001424929-24-000128</t>
  </si>
  <si>
    <t>0001425292-24-000021</t>
  </si>
  <si>
    <t>0001433195-24-000127</t>
  </si>
  <si>
    <t>0001439222-24-000138</t>
  </si>
  <si>
    <t>0000950170-24-119792</t>
  </si>
  <si>
    <t>0001477932-24-005360</t>
  </si>
  <si>
    <t>SinglePoint Inc.</t>
  </si>
  <si>
    <t>0001493152-24-042763</t>
  </si>
  <si>
    <t>0001452477-24-000042</t>
  </si>
  <si>
    <t>0001456772-24-000052</t>
  </si>
  <si>
    <t>0001477932-24-005218</t>
  </si>
  <si>
    <t>0001465740-24-000196</t>
  </si>
  <si>
    <t>0000950170-24-119007</t>
  </si>
  <si>
    <t>0001481792-24-000044</t>
  </si>
  <si>
    <t>0001477932-24-006770</t>
  </si>
  <si>
    <t>ECO SCIENCE SOLUTIONS INC.</t>
  </si>
  <si>
    <t>0001493152-24-034940</t>
  </si>
  <si>
    <t>0001499200-24-000014</t>
  </si>
  <si>
    <t>0001507079-24-000037</t>
  </si>
  <si>
    <t>0001683168-24-006035</t>
  </si>
  <si>
    <t>0001514416-24-000173</t>
  </si>
  <si>
    <t>0001517175-24-000015</t>
  </si>
  <si>
    <t>0000950170-24-116872</t>
  </si>
  <si>
    <t>0000950170-24-119044</t>
  </si>
  <si>
    <t>0000950170-24-117408</t>
  </si>
  <si>
    <t>0001531048-24-000060</t>
  </si>
  <si>
    <t>0001531152-24-000135</t>
  </si>
  <si>
    <t>0001493152-24-043245</t>
  </si>
  <si>
    <t>0001493152-24-043058</t>
  </si>
  <si>
    <t>0001062993-24-015637</t>
  </si>
  <si>
    <t>HAMMER FIBER OPTICS HOLDINGS CORP.</t>
  </si>
  <si>
    <t>0001437749-24-032291</t>
  </si>
  <si>
    <t>0001628280-24-044196</t>
  </si>
  <si>
    <t>0001573516-24-000054</t>
  </si>
  <si>
    <t>0001437749-24-032019</t>
  </si>
  <si>
    <t>0000950170-24-101847</t>
  </si>
  <si>
    <t>0001588978-24-000030</t>
  </si>
  <si>
    <t>0000950170-24-119531</t>
  </si>
  <si>
    <t>0001477932-24-006633</t>
  </si>
  <si>
    <t>0001558370-24-013960</t>
  </si>
  <si>
    <t>0000950170-24-118256</t>
  </si>
  <si>
    <t>0001601712-24-000336</t>
  </si>
  <si>
    <t>0001640334-24-001561</t>
  </si>
  <si>
    <t>0001625278-24-000162</t>
  </si>
  <si>
    <t>0001630472-24-000028</t>
  </si>
  <si>
    <t>0001633917-24-000110</t>
  </si>
  <si>
    <t>0001636222-24-000132</t>
  </si>
  <si>
    <t>0001645113-24-000031</t>
  </si>
  <si>
    <t>0001647088-24-000159</t>
  </si>
  <si>
    <t>0001650729-24-000018</t>
  </si>
  <si>
    <t>0000950170-24-119251</t>
  </si>
  <si>
    <t>0001653477-24-000100</t>
  </si>
  <si>
    <t>0001660134-24-000138</t>
  </si>
  <si>
    <t>0001628280-24-044411</t>
  </si>
  <si>
    <t>0001669162-24-000041</t>
  </si>
  <si>
    <t>0001670076-24-000155</t>
  </si>
  <si>
    <t>0001628280-24-043698</t>
  </si>
  <si>
    <t>0001680247-24-000119</t>
  </si>
  <si>
    <t>0000950170-24-119627</t>
  </si>
  <si>
    <t>0000950170-24-103118</t>
  </si>
  <si>
    <t>0001691421-24-000133</t>
  </si>
  <si>
    <t>0001693317-24-000014</t>
  </si>
  <si>
    <t>0001640334-24-001582</t>
  </si>
  <si>
    <t>0001698991-24-000042</t>
  </si>
  <si>
    <t>0000950170-24-119474</t>
  </si>
  <si>
    <t>0001704715-24-000136</t>
  </si>
  <si>
    <t>0001709164-24-000041</t>
  </si>
  <si>
    <t>0001709682-24-000073</t>
  </si>
  <si>
    <t>0001213900-24-092861</t>
  </si>
  <si>
    <t>0001628280-24-044469</t>
  </si>
  <si>
    <t>0001722684-24-000021</t>
  </si>
  <si>
    <t>0001213900-24-091885</t>
  </si>
  <si>
    <t>0000950170-24-118595</t>
  </si>
  <si>
    <t>0001558370-24-013840</t>
  </si>
  <si>
    <t>0001735707-24-000057</t>
  </si>
  <si>
    <t>0001738827-24-000076</t>
  </si>
  <si>
    <t>0001628280-24-044572</t>
  </si>
  <si>
    <t>0001743907-24-000020</t>
  </si>
  <si>
    <t>0000950170-24-118260</t>
  </si>
  <si>
    <t>0001757073-24-000078</t>
  </si>
  <si>
    <t>0001760965-24-000051</t>
  </si>
  <si>
    <t>0001558370-24-014004</t>
  </si>
  <si>
    <t>0001770787-24-000073</t>
  </si>
  <si>
    <t>0001493152-24-033600</t>
  </si>
  <si>
    <t>POWERFLEET, INC.</t>
  </si>
  <si>
    <t>0001213900-24-073545</t>
  </si>
  <si>
    <t>0001782170-24-000223</t>
  </si>
  <si>
    <t>0001185185-24-001038</t>
  </si>
  <si>
    <t>0001628280-24-044208</t>
  </si>
  <si>
    <t>0001628280-24-044312</t>
  </si>
  <si>
    <t>0001493152-24-033708</t>
  </si>
  <si>
    <t>0001628280-24-044499</t>
  </si>
  <si>
    <t>0001808834-24-000113</t>
  </si>
  <si>
    <t>0001628280-24-044398</t>
  </si>
  <si>
    <t>0001819142-24-000046</t>
  </si>
  <si>
    <t>0001410578-24-001556</t>
  </si>
  <si>
    <t>0001493152-24-033771</t>
  </si>
  <si>
    <t>VIP Play, Inc.</t>
  </si>
  <si>
    <t>0001834622-24-000131</t>
  </si>
  <si>
    <t>0000950170-24-100213</t>
  </si>
  <si>
    <t>Peak Bio, Inc.</t>
  </si>
  <si>
    <t>0001836833-24-000102</t>
  </si>
  <si>
    <t>0001731122-24-001352</t>
  </si>
  <si>
    <t>GLOBAL INNOVATIVE PLATFORMS, INC.</t>
  </si>
  <si>
    <t>0000950170-24-118366</t>
  </si>
  <si>
    <t>0001410578-24-001546</t>
  </si>
  <si>
    <t>0000950170-24-118958</t>
  </si>
  <si>
    <t>0001410578-24-001549</t>
  </si>
  <si>
    <t>RF ACQUISITION CORP.</t>
  </si>
  <si>
    <t>0001410578-24-001719</t>
  </si>
  <si>
    <t>0000950170-24-119789</t>
  </si>
  <si>
    <t>0001213900-24-092984</t>
  </si>
  <si>
    <t>INTEGRATED RAIL AND RESOURCES ACQUISITION CORP.</t>
  </si>
  <si>
    <t>0001213900-24-072000</t>
  </si>
  <si>
    <t>Montana Technologies Corporation</t>
  </si>
  <si>
    <t>0001493152-24-043192</t>
  </si>
  <si>
    <t>0001199835-24-000460</t>
  </si>
  <si>
    <t>ADAMAS ONE CORP.</t>
  </si>
  <si>
    <t>0001193125-24-206165</t>
  </si>
  <si>
    <t>0001213900-24-091191</t>
  </si>
  <si>
    <t>0001213900-24-093186</t>
  </si>
  <si>
    <t>0001213900-24-075596</t>
  </si>
  <si>
    <t>Thunder Power Holdings, Inc.</t>
  </si>
  <si>
    <t>0001493152-24-042875</t>
  </si>
  <si>
    <t>0001937653-24-000050</t>
  </si>
  <si>
    <t>0002008861-24-000009</t>
  </si>
  <si>
    <t>Endo, Inc.</t>
  </si>
  <si>
    <t>0001683168-24-007522</t>
  </si>
  <si>
    <t>PALISADES VENTURE, INC.</t>
  </si>
  <si>
    <t>0001829126-24-006989</t>
  </si>
  <si>
    <t>0001213900-24-072238</t>
  </si>
  <si>
    <t>SIM Acquisition Corp. I</t>
  </si>
  <si>
    <t>0000320193-24-000123</t>
  </si>
  <si>
    <t>ticker</t>
  </si>
  <si>
    <t>AAPL</t>
  </si>
  <si>
    <t>current</t>
  </si>
  <si>
    <t>high</t>
  </si>
  <si>
    <t>low</t>
  </si>
  <si>
    <t>mean</t>
  </si>
  <si>
    <t>median</t>
  </si>
  <si>
    <t>0000950170-24-119895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</si>
</sst>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551E-2D51-47CA-A095-8BE473380796}">
  <sheetPr codeName="Sheet2"/>
  <dimension ref="D4:AD5215"/>
  <sheetViews>
    <sheetView tabSelected="1" workbookViewId="0">
      <selection activeCell="AD15" sqref="AD15"/>
    </sheetView>
  </sheetViews>
  <sheetFormatPr defaultRowHeight="15" x14ac:dyDescent="0.25"/>
  <cols>
    <col min="5" max="5" width="20.7109375" bestFit="1" customWidth="1"/>
    <col min="7" max="7" width="10.42578125" bestFit="1" customWidth="1"/>
    <col min="10" max="10" width="10.42578125" bestFit="1" customWidth="1"/>
    <col min="16" max="16" width="66.140625" bestFit="1" customWidth="1"/>
    <col min="17" max="17" width="51" bestFit="1" customWidth="1"/>
    <col min="18" max="18" width="10.42578125" bestFit="1" customWidth="1"/>
    <col min="19" max="19" width="12.5703125" customWidth="1"/>
    <col min="20" max="20" width="29.42578125" customWidth="1"/>
    <col min="21" max="21" width="5" bestFit="1" customWidth="1"/>
    <col min="22" max="22" width="12.7109375" bestFit="1" customWidth="1"/>
  </cols>
  <sheetData>
    <row r="4" spans="4:30" x14ac:dyDescent="0.25">
      <c r="D4" t="s">
        <v>0</v>
      </c>
      <c r="E4" t="s">
        <v>5</v>
      </c>
    </row>
    <row r="5" spans="4:30" x14ac:dyDescent="0.25">
      <c r="D5" t="s">
        <v>1</v>
      </c>
      <c r="E5" t="s">
        <v>6</v>
      </c>
      <c r="P5" t="s">
        <v>11</v>
      </c>
      <c r="Q5">
        <v>320193</v>
      </c>
    </row>
    <row r="6" spans="4:30" x14ac:dyDescent="0.25">
      <c r="D6" t="s">
        <v>2</v>
      </c>
      <c r="E6" t="s">
        <v>7</v>
      </c>
      <c r="P6" t="s">
        <v>10232</v>
      </c>
      <c r="Q6" t="s">
        <v>10233</v>
      </c>
      <c r="Z6" t="s">
        <v>10607</v>
      </c>
      <c r="AA6" t="s">
        <v>10608</v>
      </c>
    </row>
    <row r="7" spans="4:30" x14ac:dyDescent="0.25">
      <c r="D7" t="s">
        <v>3</v>
      </c>
      <c r="E7" t="s">
        <v>8</v>
      </c>
      <c r="P7" t="s">
        <v>3</v>
      </c>
      <c r="Q7" t="s">
        <v>8</v>
      </c>
      <c r="Z7" t="s">
        <v>4</v>
      </c>
      <c r="AA7" t="s">
        <v>9</v>
      </c>
    </row>
    <row r="8" spans="4:30" x14ac:dyDescent="0.25">
      <c r="D8" t="s">
        <v>4</v>
      </c>
      <c r="E8" t="s">
        <v>9</v>
      </c>
      <c r="R8" s="1"/>
      <c r="S8" s="1"/>
    </row>
    <row r="9" spans="4:30" x14ac:dyDescent="0.25">
      <c r="R9" s="1"/>
      <c r="S9" s="1"/>
    </row>
    <row r="10" spans="4:30" x14ac:dyDescent="0.25">
      <c r="R10" s="1"/>
      <c r="S10" s="1"/>
    </row>
    <row r="11" spans="4:30" x14ac:dyDescent="0.25">
      <c r="E11" t="str" cm="1">
        <f t="array" ref="E11">AlpGet_Account(E4,E5,E6,E7,E8)</f>
        <v>USD-NetIncomeLoss-CY2024Q1-us-gaap</v>
      </c>
      <c r="G11" s="1"/>
      <c r="J11" s="1"/>
      <c r="P11" t="str" cm="1">
        <f t="array" ref="P11">AlpGet_CompanyConcept(Q5,Q6,Q7,E8)</f>
        <v>320193-AccumulatedOtherComprehensiveIncomeLossNetOfTax-us-gaap</v>
      </c>
      <c r="R11" s="1"/>
      <c r="S11" s="1"/>
      <c r="Z11" t="str" cm="1">
        <f t="array" ref="Z11">AlpGet_AnalystPriceTargets(AA6,AA7)</f>
        <v>AAPL-t3stt@ken</v>
      </c>
    </row>
    <row r="12" spans="4:30" x14ac:dyDescent="0.25">
      <c r="E12" t="s">
        <v>10</v>
      </c>
      <c r="F12" t="s">
        <v>11</v>
      </c>
      <c r="G12" s="1" t="s">
        <v>12</v>
      </c>
      <c r="H12" t="s">
        <v>13</v>
      </c>
      <c r="I12" t="s">
        <v>14</v>
      </c>
      <c r="J12" s="1" t="s">
        <v>15</v>
      </c>
      <c r="K12" t="s">
        <v>16</v>
      </c>
      <c r="P12" t="s">
        <v>10</v>
      </c>
      <c r="Q12" t="s">
        <v>12</v>
      </c>
      <c r="R12" s="1" t="s">
        <v>10234</v>
      </c>
      <c r="S12" s="1" t="s">
        <v>10235</v>
      </c>
      <c r="T12" t="s">
        <v>10236</v>
      </c>
      <c r="U12" t="s">
        <v>10237</v>
      </c>
      <c r="V12" t="s">
        <v>16</v>
      </c>
      <c r="Z12" t="s">
        <v>10609</v>
      </c>
      <c r="AA12" t="s">
        <v>10610</v>
      </c>
      <c r="AB12" t="s">
        <v>10611</v>
      </c>
      <c r="AC12" t="s">
        <v>10612</v>
      </c>
      <c r="AD12" t="s">
        <v>10613</v>
      </c>
    </row>
    <row r="13" spans="4:30" x14ac:dyDescent="0.25">
      <c r="E13" t="s">
        <v>17</v>
      </c>
      <c r="F13">
        <v>1750</v>
      </c>
      <c r="G13" s="1">
        <v>45351</v>
      </c>
      <c r="H13" t="s">
        <v>18</v>
      </c>
      <c r="I13" t="s">
        <v>19</v>
      </c>
      <c r="J13" s="1">
        <v>45261</v>
      </c>
      <c r="K13">
        <v>14000000</v>
      </c>
      <c r="P13" t="s">
        <v>10238</v>
      </c>
      <c r="Q13" s="1">
        <v>39718</v>
      </c>
      <c r="R13" s="1">
        <v>40016</v>
      </c>
      <c r="S13" s="1" t="s">
        <v>10239</v>
      </c>
      <c r="T13" t="s">
        <v>10240</v>
      </c>
      <c r="U13">
        <v>2009</v>
      </c>
      <c r="V13">
        <v>8000000</v>
      </c>
      <c r="Z13">
        <v>222.13</v>
      </c>
      <c r="AA13">
        <v>300</v>
      </c>
      <c r="AB13">
        <v>183.86</v>
      </c>
      <c r="AC13">
        <v>239.76</v>
      </c>
      <c r="AD13">
        <v>241</v>
      </c>
    </row>
    <row r="14" spans="4:30" x14ac:dyDescent="0.25">
      <c r="E14" t="s">
        <v>20</v>
      </c>
      <c r="F14">
        <v>1800</v>
      </c>
      <c r="G14" s="1">
        <v>45382</v>
      </c>
      <c r="H14" t="s">
        <v>21</v>
      </c>
      <c r="I14" t="s">
        <v>19</v>
      </c>
      <c r="J14" s="1">
        <v>45292</v>
      </c>
      <c r="K14">
        <v>1225000000</v>
      </c>
      <c r="P14" t="s">
        <v>10241</v>
      </c>
      <c r="Q14" s="1">
        <v>39718</v>
      </c>
      <c r="R14" s="1">
        <v>40113</v>
      </c>
      <c r="S14" s="1" t="s">
        <v>10242</v>
      </c>
      <c r="T14" t="s">
        <v>10243</v>
      </c>
      <c r="U14">
        <v>2009</v>
      </c>
      <c r="V14">
        <v>8000000</v>
      </c>
    </row>
    <row r="15" spans="4:30" x14ac:dyDescent="0.25">
      <c r="E15" t="s">
        <v>22</v>
      </c>
      <c r="F15">
        <v>1961</v>
      </c>
      <c r="G15" s="1">
        <v>45382</v>
      </c>
      <c r="H15" t="s">
        <v>23</v>
      </c>
      <c r="I15" t="s">
        <v>24</v>
      </c>
      <c r="J15" s="1">
        <v>45292</v>
      </c>
      <c r="K15">
        <v>-105862</v>
      </c>
      <c r="P15" t="s">
        <v>10244</v>
      </c>
      <c r="Q15" s="1">
        <v>39718</v>
      </c>
      <c r="R15" s="1">
        <v>40203</v>
      </c>
      <c r="S15" s="1" t="s">
        <v>10245</v>
      </c>
      <c r="T15" t="s">
        <v>10243</v>
      </c>
      <c r="U15">
        <v>2009</v>
      </c>
      <c r="V15">
        <v>-9000000</v>
      </c>
    </row>
    <row r="16" spans="4:30" x14ac:dyDescent="0.25">
      <c r="E16" t="s">
        <v>25</v>
      </c>
      <c r="F16">
        <v>2098</v>
      </c>
      <c r="G16" s="1">
        <v>45382</v>
      </c>
      <c r="H16" t="s">
        <v>26</v>
      </c>
      <c r="I16" t="s">
        <v>27</v>
      </c>
      <c r="J16" s="1">
        <v>45292</v>
      </c>
      <c r="K16">
        <v>1636000</v>
      </c>
      <c r="P16" t="s">
        <v>10246</v>
      </c>
      <c r="Q16" s="1">
        <v>39718</v>
      </c>
      <c r="R16" s="1">
        <v>40478</v>
      </c>
      <c r="S16" s="1" t="s">
        <v>10242</v>
      </c>
      <c r="T16" t="s">
        <v>10243</v>
      </c>
      <c r="U16">
        <v>2010</v>
      </c>
      <c r="V16">
        <v>-9000000</v>
      </c>
    </row>
    <row r="17" spans="5:22" x14ac:dyDescent="0.25">
      <c r="E17" t="s">
        <v>28</v>
      </c>
      <c r="F17">
        <v>2178</v>
      </c>
      <c r="G17" s="1">
        <v>45382</v>
      </c>
      <c r="H17" t="s">
        <v>29</v>
      </c>
      <c r="I17" t="s">
        <v>30</v>
      </c>
      <c r="J17" s="1">
        <v>45292</v>
      </c>
      <c r="K17">
        <v>-498000</v>
      </c>
      <c r="P17" t="s">
        <v>10238</v>
      </c>
      <c r="Q17" s="1">
        <v>39991</v>
      </c>
      <c r="R17" s="1">
        <v>40016</v>
      </c>
      <c r="S17" s="1" t="s">
        <v>10239</v>
      </c>
      <c r="T17" t="s">
        <v>10240</v>
      </c>
      <c r="U17">
        <v>2009</v>
      </c>
      <c r="V17">
        <v>53000000</v>
      </c>
    </row>
    <row r="18" spans="5:22" x14ac:dyDescent="0.25">
      <c r="E18" t="s">
        <v>31</v>
      </c>
      <c r="F18">
        <v>2186</v>
      </c>
      <c r="G18" s="1">
        <v>45382</v>
      </c>
      <c r="H18" t="s">
        <v>32</v>
      </c>
      <c r="I18" t="s">
        <v>33</v>
      </c>
      <c r="J18" s="1">
        <v>45292</v>
      </c>
      <c r="K18">
        <v>681</v>
      </c>
      <c r="P18" t="s">
        <v>10241</v>
      </c>
      <c r="Q18" s="1">
        <v>40082</v>
      </c>
      <c r="R18" s="1">
        <v>40113</v>
      </c>
      <c r="S18" s="1" t="s">
        <v>10242</v>
      </c>
      <c r="T18" t="s">
        <v>10243</v>
      </c>
      <c r="U18">
        <v>2009</v>
      </c>
      <c r="V18">
        <v>84000000</v>
      </c>
    </row>
    <row r="19" spans="5:22" x14ac:dyDescent="0.25">
      <c r="E19" t="s">
        <v>34</v>
      </c>
      <c r="F19">
        <v>2488</v>
      </c>
      <c r="G19" s="1">
        <v>45381</v>
      </c>
      <c r="H19" t="s">
        <v>35</v>
      </c>
      <c r="I19" t="s">
        <v>36</v>
      </c>
      <c r="J19" s="1">
        <v>45291</v>
      </c>
      <c r="K19">
        <v>123000000</v>
      </c>
      <c r="P19" t="s">
        <v>10247</v>
      </c>
      <c r="Q19" s="1">
        <v>40082</v>
      </c>
      <c r="R19" s="1">
        <v>40203</v>
      </c>
      <c r="S19" s="1" t="s">
        <v>10239</v>
      </c>
      <c r="T19" t="s">
        <v>10248</v>
      </c>
      <c r="U19">
        <v>2010</v>
      </c>
      <c r="V19">
        <v>77000000</v>
      </c>
    </row>
    <row r="20" spans="5:22" x14ac:dyDescent="0.25">
      <c r="E20" t="s">
        <v>37</v>
      </c>
      <c r="F20">
        <v>2969</v>
      </c>
      <c r="G20" s="1">
        <v>45382</v>
      </c>
      <c r="H20" t="s">
        <v>38</v>
      </c>
      <c r="I20" t="s">
        <v>39</v>
      </c>
      <c r="J20" s="1">
        <v>45292</v>
      </c>
      <c r="K20">
        <v>572400000</v>
      </c>
      <c r="P20" t="s">
        <v>10244</v>
      </c>
      <c r="Q20" s="1">
        <v>40082</v>
      </c>
      <c r="R20" s="1">
        <v>40203</v>
      </c>
      <c r="S20" s="1" t="s">
        <v>10245</v>
      </c>
      <c r="T20" t="s">
        <v>10243</v>
      </c>
      <c r="U20">
        <v>2009</v>
      </c>
      <c r="V20">
        <v>77000000</v>
      </c>
    </row>
    <row r="21" spans="5:22" x14ac:dyDescent="0.25">
      <c r="E21" t="s">
        <v>40</v>
      </c>
      <c r="F21">
        <v>3197</v>
      </c>
      <c r="G21" s="1">
        <v>45382</v>
      </c>
      <c r="H21" t="s">
        <v>41</v>
      </c>
      <c r="I21" t="s">
        <v>30</v>
      </c>
      <c r="J21" s="1">
        <v>45292</v>
      </c>
      <c r="K21">
        <v>1508000</v>
      </c>
      <c r="P21" t="s">
        <v>10249</v>
      </c>
      <c r="Q21" s="1">
        <v>40082</v>
      </c>
      <c r="R21" s="1">
        <v>40289</v>
      </c>
      <c r="S21" s="1" t="s">
        <v>10239</v>
      </c>
      <c r="T21" t="s">
        <v>10250</v>
      </c>
      <c r="U21">
        <v>2010</v>
      </c>
      <c r="V21">
        <v>77000000</v>
      </c>
    </row>
    <row r="22" spans="5:22" x14ac:dyDescent="0.25">
      <c r="E22" t="s">
        <v>10309</v>
      </c>
      <c r="F22">
        <v>3453</v>
      </c>
      <c r="G22" s="1">
        <v>45382</v>
      </c>
      <c r="H22" t="s">
        <v>42</v>
      </c>
      <c r="I22" t="s">
        <v>43</v>
      </c>
      <c r="J22" s="1">
        <v>45292</v>
      </c>
      <c r="K22">
        <v>36100000</v>
      </c>
      <c r="P22" t="s">
        <v>10251</v>
      </c>
      <c r="Q22" s="1">
        <v>40082</v>
      </c>
      <c r="R22" s="1">
        <v>40380</v>
      </c>
      <c r="S22" s="1" t="s">
        <v>10239</v>
      </c>
      <c r="T22" t="s">
        <v>10240</v>
      </c>
      <c r="U22">
        <v>2010</v>
      </c>
      <c r="V22">
        <v>77000000</v>
      </c>
    </row>
    <row r="23" spans="5:22" x14ac:dyDescent="0.25">
      <c r="E23" t="s">
        <v>44</v>
      </c>
      <c r="F23">
        <v>3499</v>
      </c>
      <c r="G23" s="1">
        <v>45382</v>
      </c>
      <c r="H23" t="s">
        <v>45</v>
      </c>
      <c r="I23" t="s">
        <v>46</v>
      </c>
      <c r="J23" s="1">
        <v>45292</v>
      </c>
      <c r="K23">
        <v>16109000</v>
      </c>
      <c r="P23" t="s">
        <v>10246</v>
      </c>
      <c r="Q23" s="1">
        <v>40082</v>
      </c>
      <c r="R23" s="1">
        <v>40478</v>
      </c>
      <c r="S23" s="1" t="s">
        <v>10242</v>
      </c>
      <c r="T23" t="s">
        <v>10243</v>
      </c>
      <c r="U23">
        <v>2010</v>
      </c>
      <c r="V23">
        <v>77000000</v>
      </c>
    </row>
    <row r="24" spans="5:22" x14ac:dyDescent="0.25">
      <c r="E24" t="s">
        <v>47</v>
      </c>
      <c r="F24">
        <v>3545</v>
      </c>
      <c r="G24" s="1">
        <v>45382</v>
      </c>
      <c r="H24" t="s">
        <v>48</v>
      </c>
      <c r="I24" t="s">
        <v>33</v>
      </c>
      <c r="J24" s="1">
        <v>45292</v>
      </c>
      <c r="K24">
        <v>-15804000</v>
      </c>
      <c r="P24" t="s">
        <v>10252</v>
      </c>
      <c r="Q24" s="1">
        <v>40082</v>
      </c>
      <c r="R24" s="1">
        <v>40842</v>
      </c>
      <c r="S24" s="1" t="s">
        <v>10242</v>
      </c>
      <c r="T24" t="s">
        <v>10243</v>
      </c>
      <c r="U24">
        <v>2011</v>
      </c>
      <c r="V24">
        <v>77000000</v>
      </c>
    </row>
    <row r="25" spans="5:22" x14ac:dyDescent="0.25">
      <c r="E25" t="s">
        <v>49</v>
      </c>
      <c r="F25">
        <v>3570</v>
      </c>
      <c r="G25" s="1">
        <v>45382</v>
      </c>
      <c r="H25" t="s">
        <v>50</v>
      </c>
      <c r="I25" t="s">
        <v>30</v>
      </c>
      <c r="J25" s="1">
        <v>45292</v>
      </c>
      <c r="K25">
        <v>502000000</v>
      </c>
      <c r="P25" t="s">
        <v>10247</v>
      </c>
      <c r="Q25" s="1">
        <v>40173</v>
      </c>
      <c r="R25" s="1">
        <v>40203</v>
      </c>
      <c r="S25" s="1" t="s">
        <v>10239</v>
      </c>
      <c r="T25" t="s">
        <v>10248</v>
      </c>
      <c r="U25">
        <v>2010</v>
      </c>
      <c r="V25">
        <v>111000000</v>
      </c>
    </row>
    <row r="26" spans="5:22" x14ac:dyDescent="0.25">
      <c r="E26" t="s">
        <v>51</v>
      </c>
      <c r="F26">
        <v>4127</v>
      </c>
      <c r="G26" s="1">
        <v>45380</v>
      </c>
      <c r="H26" t="s">
        <v>52</v>
      </c>
      <c r="I26" t="s">
        <v>36</v>
      </c>
      <c r="J26" s="1">
        <v>45290</v>
      </c>
      <c r="K26">
        <v>183300000</v>
      </c>
      <c r="P26" t="s">
        <v>10249</v>
      </c>
      <c r="Q26" s="1">
        <v>40264</v>
      </c>
      <c r="R26" s="1">
        <v>40289</v>
      </c>
      <c r="S26" s="1" t="s">
        <v>10239</v>
      </c>
      <c r="T26" t="s">
        <v>10250</v>
      </c>
      <c r="U26">
        <v>2010</v>
      </c>
      <c r="V26">
        <v>125000000</v>
      </c>
    </row>
    <row r="27" spans="5:22" x14ac:dyDescent="0.25">
      <c r="E27" t="s">
        <v>53</v>
      </c>
      <c r="F27">
        <v>4281</v>
      </c>
      <c r="G27" s="1">
        <v>45382</v>
      </c>
      <c r="H27" t="s">
        <v>54</v>
      </c>
      <c r="I27" t="s">
        <v>39</v>
      </c>
      <c r="J27" s="1">
        <v>45292</v>
      </c>
      <c r="K27">
        <v>243000000</v>
      </c>
      <c r="P27" t="s">
        <v>10251</v>
      </c>
      <c r="Q27" s="1">
        <v>40355</v>
      </c>
      <c r="R27" s="1">
        <v>40380</v>
      </c>
      <c r="S27" s="1" t="s">
        <v>10239</v>
      </c>
      <c r="T27" t="s">
        <v>10240</v>
      </c>
      <c r="U27">
        <v>2010</v>
      </c>
      <c r="V27">
        <v>108000000</v>
      </c>
    </row>
    <row r="28" spans="5:22" x14ac:dyDescent="0.25">
      <c r="E28" t="s">
        <v>55</v>
      </c>
      <c r="F28">
        <v>4447</v>
      </c>
      <c r="G28" s="1">
        <v>45382</v>
      </c>
      <c r="H28" t="s">
        <v>56</v>
      </c>
      <c r="I28" t="s">
        <v>57</v>
      </c>
      <c r="J28" s="1">
        <v>45292</v>
      </c>
      <c r="K28">
        <v>972000000</v>
      </c>
      <c r="P28" t="s">
        <v>10246</v>
      </c>
      <c r="Q28" s="1">
        <v>40446</v>
      </c>
      <c r="R28" s="1">
        <v>40478</v>
      </c>
      <c r="S28" s="1" t="s">
        <v>10242</v>
      </c>
      <c r="T28" t="s">
        <v>10243</v>
      </c>
      <c r="U28">
        <v>2010</v>
      </c>
      <c r="V28">
        <v>-46000000</v>
      </c>
    </row>
    <row r="29" spans="5:22" x14ac:dyDescent="0.25">
      <c r="E29" t="s">
        <v>58</v>
      </c>
      <c r="F29">
        <v>4904</v>
      </c>
      <c r="G29" s="1">
        <v>45382</v>
      </c>
      <c r="H29" t="s">
        <v>59</v>
      </c>
      <c r="I29" t="s">
        <v>60</v>
      </c>
      <c r="J29" s="1">
        <v>45292</v>
      </c>
      <c r="K29">
        <v>1005700000</v>
      </c>
      <c r="P29" t="s">
        <v>10253</v>
      </c>
      <c r="Q29" s="1">
        <v>40446</v>
      </c>
      <c r="R29" s="1">
        <v>40562</v>
      </c>
      <c r="S29" s="1" t="s">
        <v>10239</v>
      </c>
      <c r="T29" t="s">
        <v>10248</v>
      </c>
      <c r="U29">
        <v>2011</v>
      </c>
      <c r="V29">
        <v>-46000000</v>
      </c>
    </row>
    <row r="30" spans="5:22" x14ac:dyDescent="0.25">
      <c r="E30" t="s">
        <v>61</v>
      </c>
      <c r="F30">
        <v>4962</v>
      </c>
      <c r="G30" s="1">
        <v>45382</v>
      </c>
      <c r="H30" t="s">
        <v>62</v>
      </c>
      <c r="I30" t="s">
        <v>57</v>
      </c>
      <c r="J30" s="1">
        <v>45292</v>
      </c>
      <c r="K30">
        <v>2437000000</v>
      </c>
      <c r="P30" t="s">
        <v>10254</v>
      </c>
      <c r="Q30" s="1">
        <v>40446</v>
      </c>
      <c r="R30" s="1">
        <v>40654</v>
      </c>
      <c r="S30" s="1" t="s">
        <v>10239</v>
      </c>
      <c r="T30" t="s">
        <v>10250</v>
      </c>
      <c r="U30">
        <v>2011</v>
      </c>
      <c r="V30">
        <v>-46000000</v>
      </c>
    </row>
    <row r="31" spans="5:22" x14ac:dyDescent="0.25">
      <c r="E31" t="s">
        <v>10310</v>
      </c>
      <c r="F31">
        <v>4977</v>
      </c>
      <c r="G31" s="1">
        <v>45382</v>
      </c>
      <c r="H31" t="s">
        <v>63</v>
      </c>
      <c r="I31" t="s">
        <v>64</v>
      </c>
      <c r="J31" s="1">
        <v>45292</v>
      </c>
      <c r="K31">
        <v>1879000000</v>
      </c>
      <c r="P31" t="s">
        <v>10255</v>
      </c>
      <c r="Q31" s="1">
        <v>40446</v>
      </c>
      <c r="R31" s="1">
        <v>40744</v>
      </c>
      <c r="S31" s="1" t="s">
        <v>10239</v>
      </c>
      <c r="T31" t="s">
        <v>10240</v>
      </c>
      <c r="U31">
        <v>2011</v>
      </c>
      <c r="V31">
        <v>-46000000</v>
      </c>
    </row>
    <row r="32" spans="5:22" x14ac:dyDescent="0.25">
      <c r="E32" t="s">
        <v>65</v>
      </c>
      <c r="F32">
        <v>5272</v>
      </c>
      <c r="G32" s="1">
        <v>45382</v>
      </c>
      <c r="H32" t="s">
        <v>66</v>
      </c>
      <c r="I32" t="s">
        <v>57</v>
      </c>
      <c r="J32" s="1">
        <v>45292</v>
      </c>
      <c r="K32">
        <v>1216000000</v>
      </c>
      <c r="P32" t="s">
        <v>10252</v>
      </c>
      <c r="Q32" s="1">
        <v>40446</v>
      </c>
      <c r="R32" s="1">
        <v>40842</v>
      </c>
      <c r="S32" s="1" t="s">
        <v>10242</v>
      </c>
      <c r="T32" t="s">
        <v>10243</v>
      </c>
      <c r="U32">
        <v>2011</v>
      </c>
      <c r="V32">
        <v>-46000000</v>
      </c>
    </row>
    <row r="33" spans="5:22" x14ac:dyDescent="0.25">
      <c r="E33" t="s">
        <v>67</v>
      </c>
      <c r="F33">
        <v>5513</v>
      </c>
      <c r="G33" s="1">
        <v>45382</v>
      </c>
      <c r="H33" t="s">
        <v>68</v>
      </c>
      <c r="I33" t="s">
        <v>69</v>
      </c>
      <c r="J33" s="1">
        <v>45292</v>
      </c>
      <c r="K33">
        <v>395200000</v>
      </c>
      <c r="P33" t="s">
        <v>10253</v>
      </c>
      <c r="Q33" s="1">
        <v>40537</v>
      </c>
      <c r="R33" s="1">
        <v>40562</v>
      </c>
      <c r="S33" s="1" t="s">
        <v>10239</v>
      </c>
      <c r="T33" t="s">
        <v>10248</v>
      </c>
      <c r="U33">
        <v>2011</v>
      </c>
      <c r="V33">
        <v>114000000</v>
      </c>
    </row>
    <row r="34" spans="5:22" x14ac:dyDescent="0.25">
      <c r="E34" t="s">
        <v>70</v>
      </c>
      <c r="F34">
        <v>5981</v>
      </c>
      <c r="G34" s="1">
        <v>45382</v>
      </c>
      <c r="H34" t="s">
        <v>71</v>
      </c>
      <c r="I34" t="s">
        <v>36</v>
      </c>
      <c r="J34" s="1">
        <v>45292</v>
      </c>
      <c r="K34">
        <v>1552000</v>
      </c>
      <c r="P34" t="s">
        <v>10254</v>
      </c>
      <c r="Q34" s="1">
        <v>40628</v>
      </c>
      <c r="R34" s="1">
        <v>40654</v>
      </c>
      <c r="S34" s="1" t="s">
        <v>10239</v>
      </c>
      <c r="T34" t="s">
        <v>10250</v>
      </c>
      <c r="U34">
        <v>2011</v>
      </c>
      <c r="V34">
        <v>126000000</v>
      </c>
    </row>
    <row r="35" spans="5:22" x14ac:dyDescent="0.25">
      <c r="E35" t="s">
        <v>72</v>
      </c>
      <c r="F35">
        <v>6176</v>
      </c>
      <c r="G35" s="1">
        <v>45382</v>
      </c>
      <c r="H35" t="s">
        <v>73</v>
      </c>
      <c r="I35" t="s">
        <v>39</v>
      </c>
      <c r="J35" s="1">
        <v>45292</v>
      </c>
      <c r="K35">
        <v>-2717000</v>
      </c>
      <c r="P35" t="s">
        <v>10255</v>
      </c>
      <c r="Q35" s="1">
        <v>40719</v>
      </c>
      <c r="R35" s="1">
        <v>40744</v>
      </c>
      <c r="S35" s="1" t="s">
        <v>10239</v>
      </c>
      <c r="T35" t="s">
        <v>10240</v>
      </c>
      <c r="U35">
        <v>2011</v>
      </c>
      <c r="V35">
        <v>389000000</v>
      </c>
    </row>
    <row r="36" spans="5:22" x14ac:dyDescent="0.25">
      <c r="E36" t="s">
        <v>10311</v>
      </c>
      <c r="F36">
        <v>6201</v>
      </c>
      <c r="G36" s="1">
        <v>45382</v>
      </c>
      <c r="H36" t="s">
        <v>74</v>
      </c>
      <c r="I36" t="s">
        <v>30</v>
      </c>
      <c r="J36" s="1">
        <v>45292</v>
      </c>
      <c r="K36">
        <v>-312000000</v>
      </c>
      <c r="P36" t="s">
        <v>10252</v>
      </c>
      <c r="Q36" s="1">
        <v>40810</v>
      </c>
      <c r="R36" s="1">
        <v>40842</v>
      </c>
      <c r="S36" s="1" t="s">
        <v>10242</v>
      </c>
      <c r="T36" t="s">
        <v>10243</v>
      </c>
      <c r="U36">
        <v>2011</v>
      </c>
      <c r="V36">
        <v>443000000</v>
      </c>
    </row>
    <row r="37" spans="5:22" x14ac:dyDescent="0.25">
      <c r="E37" t="s">
        <v>75</v>
      </c>
      <c r="F37">
        <v>6281</v>
      </c>
      <c r="G37" s="1">
        <v>45416</v>
      </c>
      <c r="H37" t="s">
        <v>76</v>
      </c>
      <c r="I37" t="s">
        <v>24</v>
      </c>
      <c r="J37" s="1">
        <v>45326</v>
      </c>
      <c r="K37">
        <v>302242000</v>
      </c>
      <c r="P37" t="s">
        <v>10256</v>
      </c>
      <c r="Q37" s="1">
        <v>40810</v>
      </c>
      <c r="R37" s="1">
        <v>40933</v>
      </c>
      <c r="S37" s="1" t="s">
        <v>10239</v>
      </c>
      <c r="T37" t="s">
        <v>10248</v>
      </c>
      <c r="U37">
        <v>2012</v>
      </c>
      <c r="V37">
        <v>443000000</v>
      </c>
    </row>
    <row r="38" spans="5:22" x14ac:dyDescent="0.25">
      <c r="E38" t="s">
        <v>77</v>
      </c>
      <c r="F38">
        <v>6769</v>
      </c>
      <c r="G38" s="1">
        <v>45382</v>
      </c>
      <c r="H38" t="s">
        <v>78</v>
      </c>
      <c r="I38" t="s">
        <v>30</v>
      </c>
      <c r="J38" s="1">
        <v>45292</v>
      </c>
      <c r="K38">
        <v>136000000</v>
      </c>
      <c r="P38" t="s">
        <v>10257</v>
      </c>
      <c r="Q38" s="1">
        <v>40810</v>
      </c>
      <c r="R38" s="1">
        <v>41024</v>
      </c>
      <c r="S38" s="1" t="s">
        <v>10239</v>
      </c>
      <c r="T38" t="s">
        <v>10250</v>
      </c>
      <c r="U38">
        <v>2012</v>
      </c>
      <c r="V38">
        <v>443000000</v>
      </c>
    </row>
    <row r="39" spans="5:22" x14ac:dyDescent="0.25">
      <c r="E39" t="s">
        <v>79</v>
      </c>
      <c r="F39">
        <v>6951</v>
      </c>
      <c r="G39" s="1">
        <v>45410</v>
      </c>
      <c r="H39" t="s">
        <v>80</v>
      </c>
      <c r="I39" t="s">
        <v>36</v>
      </c>
      <c r="J39" s="1">
        <v>45320</v>
      </c>
      <c r="K39">
        <v>1722000000</v>
      </c>
      <c r="P39" t="s">
        <v>10258</v>
      </c>
      <c r="Q39" s="1">
        <v>40810</v>
      </c>
      <c r="R39" s="1">
        <v>41115</v>
      </c>
      <c r="S39" s="1" t="s">
        <v>10239</v>
      </c>
      <c r="T39" t="s">
        <v>10240</v>
      </c>
      <c r="U39">
        <v>2012</v>
      </c>
      <c r="V39">
        <v>443000000</v>
      </c>
    </row>
    <row r="40" spans="5:22" x14ac:dyDescent="0.25">
      <c r="E40" t="s">
        <v>81</v>
      </c>
      <c r="F40">
        <v>6955</v>
      </c>
      <c r="G40" s="1">
        <v>45351</v>
      </c>
      <c r="H40" t="s">
        <v>82</v>
      </c>
      <c r="I40" t="s">
        <v>83</v>
      </c>
      <c r="J40" s="1">
        <v>45261</v>
      </c>
      <c r="K40">
        <v>17817000</v>
      </c>
      <c r="P40" t="s">
        <v>10259</v>
      </c>
      <c r="Q40" s="1">
        <v>40810</v>
      </c>
      <c r="R40" s="1">
        <v>41213</v>
      </c>
      <c r="S40" s="1" t="s">
        <v>10242</v>
      </c>
      <c r="T40" t="s">
        <v>10243</v>
      </c>
      <c r="U40">
        <v>2012</v>
      </c>
      <c r="V40">
        <v>443000000</v>
      </c>
    </row>
    <row r="41" spans="5:22" x14ac:dyDescent="0.25">
      <c r="E41" t="s">
        <v>84</v>
      </c>
      <c r="F41">
        <v>7084</v>
      </c>
      <c r="G41" s="1">
        <v>45382</v>
      </c>
      <c r="H41" t="s">
        <v>85</v>
      </c>
      <c r="I41" t="s">
        <v>19</v>
      </c>
      <c r="J41" s="1">
        <v>45292</v>
      </c>
      <c r="K41">
        <v>729000000</v>
      </c>
      <c r="P41" t="s">
        <v>10260</v>
      </c>
      <c r="Q41" s="1">
        <v>40810</v>
      </c>
      <c r="R41" s="1">
        <v>41388</v>
      </c>
      <c r="S41" s="1" t="s">
        <v>10261</v>
      </c>
      <c r="T41" t="s">
        <v>10243</v>
      </c>
      <c r="U41">
        <v>2012</v>
      </c>
      <c r="V41">
        <v>443000000</v>
      </c>
    </row>
    <row r="42" spans="5:22" x14ac:dyDescent="0.25">
      <c r="E42" t="s">
        <v>86</v>
      </c>
      <c r="F42">
        <v>7332</v>
      </c>
      <c r="G42" s="1">
        <v>45382</v>
      </c>
      <c r="H42" t="s">
        <v>87</v>
      </c>
      <c r="I42" t="s">
        <v>30</v>
      </c>
      <c r="J42" s="1">
        <v>45292</v>
      </c>
      <c r="K42">
        <v>-1535000000</v>
      </c>
      <c r="P42" t="s">
        <v>10256</v>
      </c>
      <c r="Q42" s="1">
        <v>40908</v>
      </c>
      <c r="R42" s="1">
        <v>40933</v>
      </c>
      <c r="S42" s="1" t="s">
        <v>10239</v>
      </c>
      <c r="T42" t="s">
        <v>10248</v>
      </c>
      <c r="U42">
        <v>2012</v>
      </c>
      <c r="V42">
        <v>384000000</v>
      </c>
    </row>
    <row r="43" spans="5:22" x14ac:dyDescent="0.25">
      <c r="E43" t="s">
        <v>88</v>
      </c>
      <c r="F43">
        <v>7431</v>
      </c>
      <c r="G43" s="1">
        <v>45382</v>
      </c>
      <c r="H43" t="s">
        <v>89</v>
      </c>
      <c r="I43" t="s">
        <v>39</v>
      </c>
      <c r="J43" s="1">
        <v>45292</v>
      </c>
      <c r="K43">
        <v>59900000</v>
      </c>
      <c r="P43" t="s">
        <v>10257</v>
      </c>
      <c r="Q43" s="1">
        <v>40999</v>
      </c>
      <c r="R43" s="1">
        <v>41024</v>
      </c>
      <c r="S43" s="1" t="s">
        <v>10239</v>
      </c>
      <c r="T43" t="s">
        <v>10250</v>
      </c>
      <c r="U43">
        <v>2012</v>
      </c>
      <c r="V43">
        <v>524000000</v>
      </c>
    </row>
    <row r="44" spans="5:22" x14ac:dyDescent="0.25">
      <c r="E44" t="s">
        <v>90</v>
      </c>
      <c r="F44">
        <v>7536</v>
      </c>
      <c r="G44" s="1">
        <v>45381</v>
      </c>
      <c r="H44" t="s">
        <v>91</v>
      </c>
      <c r="I44" t="s">
        <v>92</v>
      </c>
      <c r="J44" s="1">
        <v>45292</v>
      </c>
      <c r="K44">
        <v>83601000</v>
      </c>
      <c r="P44" t="s">
        <v>10258</v>
      </c>
      <c r="Q44" s="1">
        <v>41090</v>
      </c>
      <c r="R44" s="1">
        <v>41115</v>
      </c>
      <c r="S44" s="1" t="s">
        <v>10239</v>
      </c>
      <c r="T44" t="s">
        <v>10240</v>
      </c>
      <c r="U44">
        <v>2012</v>
      </c>
      <c r="V44">
        <v>532000000</v>
      </c>
    </row>
    <row r="45" spans="5:22" x14ac:dyDescent="0.25">
      <c r="E45" t="s">
        <v>93</v>
      </c>
      <c r="F45">
        <v>7623</v>
      </c>
      <c r="G45" s="1">
        <v>45351</v>
      </c>
      <c r="H45" t="s">
        <v>94</v>
      </c>
      <c r="I45" t="s">
        <v>95</v>
      </c>
      <c r="J45" s="1">
        <v>45261</v>
      </c>
      <c r="K45">
        <v>-465040</v>
      </c>
      <c r="P45" t="s">
        <v>10259</v>
      </c>
      <c r="Q45" s="1">
        <v>41181</v>
      </c>
      <c r="R45" s="1">
        <v>41213</v>
      </c>
      <c r="S45" s="1" t="s">
        <v>10242</v>
      </c>
      <c r="T45" t="s">
        <v>10243</v>
      </c>
      <c r="U45">
        <v>2012</v>
      </c>
      <c r="V45">
        <v>499000000</v>
      </c>
    </row>
    <row r="46" spans="5:22" x14ac:dyDescent="0.25">
      <c r="E46" t="s">
        <v>10312</v>
      </c>
      <c r="F46">
        <v>7789</v>
      </c>
      <c r="G46" s="1">
        <v>45382</v>
      </c>
      <c r="H46" t="s">
        <v>96</v>
      </c>
      <c r="I46" t="s">
        <v>83</v>
      </c>
      <c r="J46" s="1">
        <v>45292</v>
      </c>
      <c r="K46">
        <v>81169000</v>
      </c>
      <c r="P46" t="s">
        <v>10262</v>
      </c>
      <c r="Q46" s="1">
        <v>41181</v>
      </c>
      <c r="R46" s="1">
        <v>41298</v>
      </c>
      <c r="S46" s="1" t="s">
        <v>10239</v>
      </c>
      <c r="T46" t="s">
        <v>10248</v>
      </c>
      <c r="U46">
        <v>2013</v>
      </c>
      <c r="V46">
        <v>499000000</v>
      </c>
    </row>
    <row r="47" spans="5:22" x14ac:dyDescent="0.25">
      <c r="E47" t="s">
        <v>97</v>
      </c>
      <c r="F47">
        <v>8063</v>
      </c>
      <c r="G47" s="1">
        <v>45381</v>
      </c>
      <c r="H47" t="s">
        <v>98</v>
      </c>
      <c r="I47" t="s">
        <v>57</v>
      </c>
      <c r="J47" s="1">
        <v>45292</v>
      </c>
      <c r="K47">
        <v>-3178000</v>
      </c>
      <c r="P47" t="s">
        <v>10263</v>
      </c>
      <c r="Q47" s="1">
        <v>41181</v>
      </c>
      <c r="R47" s="1">
        <v>41388</v>
      </c>
      <c r="S47" s="1" t="s">
        <v>10239</v>
      </c>
      <c r="T47" t="s">
        <v>10250</v>
      </c>
      <c r="U47">
        <v>2013</v>
      </c>
      <c r="V47">
        <v>499000000</v>
      </c>
    </row>
    <row r="48" spans="5:22" x14ac:dyDescent="0.25">
      <c r="E48" t="s">
        <v>99</v>
      </c>
      <c r="F48">
        <v>8146</v>
      </c>
      <c r="G48" s="1">
        <v>45409</v>
      </c>
      <c r="H48" t="s">
        <v>100</v>
      </c>
      <c r="I48" t="s">
        <v>101</v>
      </c>
      <c r="J48" s="1">
        <v>45323</v>
      </c>
      <c r="K48">
        <v>1181000</v>
      </c>
      <c r="P48" t="s">
        <v>10260</v>
      </c>
      <c r="Q48" s="1">
        <v>41181</v>
      </c>
      <c r="R48" s="1">
        <v>41388</v>
      </c>
      <c r="S48" s="1" t="s">
        <v>10261</v>
      </c>
      <c r="T48" t="s">
        <v>10243</v>
      </c>
      <c r="U48">
        <v>2012</v>
      </c>
      <c r="V48">
        <v>499000000</v>
      </c>
    </row>
    <row r="49" spans="5:22" x14ac:dyDescent="0.25">
      <c r="E49" t="s">
        <v>102</v>
      </c>
      <c r="F49">
        <v>8177</v>
      </c>
      <c r="G49" s="1">
        <v>45382</v>
      </c>
      <c r="H49" t="s">
        <v>103</v>
      </c>
      <c r="I49" t="s">
        <v>64</v>
      </c>
      <c r="J49" s="1">
        <v>45292</v>
      </c>
      <c r="K49">
        <v>-1998000</v>
      </c>
      <c r="P49" t="s">
        <v>10264</v>
      </c>
      <c r="Q49" s="1">
        <v>41181</v>
      </c>
      <c r="R49" s="1">
        <v>41479</v>
      </c>
      <c r="S49" s="1" t="s">
        <v>10239</v>
      </c>
      <c r="T49" t="s">
        <v>10240</v>
      </c>
      <c r="U49">
        <v>2013</v>
      </c>
      <c r="V49">
        <v>499000000</v>
      </c>
    </row>
    <row r="50" spans="5:22" x14ac:dyDescent="0.25">
      <c r="E50" t="s">
        <v>104</v>
      </c>
      <c r="F50">
        <v>8504</v>
      </c>
      <c r="G50" s="1">
        <v>45382</v>
      </c>
      <c r="H50" t="s">
        <v>105</v>
      </c>
      <c r="I50" t="s">
        <v>106</v>
      </c>
      <c r="J50" s="1">
        <v>45292</v>
      </c>
      <c r="K50">
        <v>-6315587</v>
      </c>
      <c r="P50" t="s">
        <v>10265</v>
      </c>
      <c r="Q50" s="1">
        <v>41181</v>
      </c>
      <c r="R50" s="1">
        <v>41577</v>
      </c>
      <c r="S50" s="1" t="s">
        <v>10242</v>
      </c>
      <c r="T50" t="s">
        <v>10243</v>
      </c>
      <c r="U50">
        <v>2013</v>
      </c>
      <c r="V50">
        <v>499000000</v>
      </c>
    </row>
    <row r="51" spans="5:22" x14ac:dyDescent="0.25">
      <c r="E51" t="s">
        <v>107</v>
      </c>
      <c r="F51">
        <v>8670</v>
      </c>
      <c r="G51" s="1">
        <v>45382</v>
      </c>
      <c r="H51" t="s">
        <v>108</v>
      </c>
      <c r="I51" t="s">
        <v>46</v>
      </c>
      <c r="J51" s="1">
        <v>45292</v>
      </c>
      <c r="K51">
        <v>1184900000</v>
      </c>
      <c r="P51" t="s">
        <v>10262</v>
      </c>
      <c r="Q51" s="1">
        <v>41272</v>
      </c>
      <c r="R51" s="1">
        <v>41298</v>
      </c>
      <c r="S51" s="1" t="s">
        <v>10239</v>
      </c>
      <c r="T51" t="s">
        <v>10248</v>
      </c>
      <c r="U51">
        <v>2013</v>
      </c>
      <c r="V51">
        <v>612000000</v>
      </c>
    </row>
    <row r="52" spans="5:22" x14ac:dyDescent="0.25">
      <c r="E52" t="s">
        <v>109</v>
      </c>
      <c r="F52">
        <v>8818</v>
      </c>
      <c r="G52" s="1">
        <v>45381</v>
      </c>
      <c r="H52" t="s">
        <v>110</v>
      </c>
      <c r="I52" t="s">
        <v>60</v>
      </c>
      <c r="J52" s="1">
        <v>45291</v>
      </c>
      <c r="K52">
        <v>172400000</v>
      </c>
      <c r="P52" t="s">
        <v>10263</v>
      </c>
      <c r="Q52" s="1">
        <v>41363</v>
      </c>
      <c r="R52" s="1">
        <v>41388</v>
      </c>
      <c r="S52" s="1" t="s">
        <v>10239</v>
      </c>
      <c r="T52" t="s">
        <v>10250</v>
      </c>
      <c r="U52">
        <v>2013</v>
      </c>
      <c r="V52">
        <v>964000000</v>
      </c>
    </row>
    <row r="53" spans="5:22" x14ac:dyDescent="0.25">
      <c r="E53" t="s">
        <v>111</v>
      </c>
      <c r="F53">
        <v>8858</v>
      </c>
      <c r="G53" s="1">
        <v>45381</v>
      </c>
      <c r="H53" t="s">
        <v>112</v>
      </c>
      <c r="I53" t="s">
        <v>113</v>
      </c>
      <c r="J53" s="1">
        <v>45291</v>
      </c>
      <c r="K53">
        <v>88834000</v>
      </c>
      <c r="P53" t="s">
        <v>10264</v>
      </c>
      <c r="Q53" s="1">
        <v>41454</v>
      </c>
      <c r="R53" s="1">
        <v>41479</v>
      </c>
      <c r="S53" s="1" t="s">
        <v>10239</v>
      </c>
      <c r="T53" t="s">
        <v>10240</v>
      </c>
      <c r="U53">
        <v>2013</v>
      </c>
      <c r="V53">
        <v>-234000000</v>
      </c>
    </row>
    <row r="54" spans="5:22" x14ac:dyDescent="0.25">
      <c r="E54" t="s">
        <v>114</v>
      </c>
      <c r="F54">
        <v>9092</v>
      </c>
      <c r="G54" s="1">
        <v>45382</v>
      </c>
      <c r="H54" t="s">
        <v>115</v>
      </c>
      <c r="I54" t="s">
        <v>83</v>
      </c>
      <c r="J54" s="1">
        <v>45292</v>
      </c>
      <c r="K54">
        <v>29131000</v>
      </c>
      <c r="P54" t="s">
        <v>10265</v>
      </c>
      <c r="Q54" s="1">
        <v>41545</v>
      </c>
      <c r="R54" s="1">
        <v>41577</v>
      </c>
      <c r="S54" s="1" t="s">
        <v>10242</v>
      </c>
      <c r="T54" t="s">
        <v>10243</v>
      </c>
      <c r="U54">
        <v>2013</v>
      </c>
      <c r="V54">
        <v>-471000000</v>
      </c>
    </row>
    <row r="55" spans="5:22" x14ac:dyDescent="0.25">
      <c r="E55" t="s">
        <v>10313</v>
      </c>
      <c r="F55">
        <v>9326</v>
      </c>
      <c r="G55" s="1">
        <v>45382</v>
      </c>
      <c r="H55" t="s">
        <v>116</v>
      </c>
      <c r="I55" t="s">
        <v>46</v>
      </c>
      <c r="J55" s="1">
        <v>45292</v>
      </c>
      <c r="K55">
        <v>28986000</v>
      </c>
      <c r="P55" t="s">
        <v>10266</v>
      </c>
      <c r="Q55" s="1">
        <v>41545</v>
      </c>
      <c r="R55" s="1">
        <v>41667</v>
      </c>
      <c r="S55" s="1" t="s">
        <v>10239</v>
      </c>
      <c r="T55" t="s">
        <v>10248</v>
      </c>
      <c r="U55">
        <v>2014</v>
      </c>
      <c r="V55">
        <v>-471000000</v>
      </c>
    </row>
    <row r="56" spans="5:22" x14ac:dyDescent="0.25">
      <c r="E56" t="s">
        <v>117</v>
      </c>
      <c r="F56">
        <v>9984</v>
      </c>
      <c r="G56" s="1">
        <v>45382</v>
      </c>
      <c r="H56" t="s">
        <v>118</v>
      </c>
      <c r="I56" t="s">
        <v>27</v>
      </c>
      <c r="J56" s="1">
        <v>45292</v>
      </c>
      <c r="K56">
        <v>1947000</v>
      </c>
      <c r="P56" t="s">
        <v>10267</v>
      </c>
      <c r="Q56" s="1">
        <v>41545</v>
      </c>
      <c r="R56" s="1">
        <v>41753</v>
      </c>
      <c r="S56" s="1" t="s">
        <v>10239</v>
      </c>
      <c r="T56" t="s">
        <v>10250</v>
      </c>
      <c r="U56">
        <v>2014</v>
      </c>
      <c r="V56">
        <v>-471000000</v>
      </c>
    </row>
    <row r="57" spans="5:22" x14ac:dyDescent="0.25">
      <c r="E57" t="s">
        <v>119</v>
      </c>
      <c r="F57">
        <v>10048</v>
      </c>
      <c r="G57" s="1">
        <v>45382</v>
      </c>
      <c r="H57" t="s">
        <v>120</v>
      </c>
      <c r="I57" t="s">
        <v>43</v>
      </c>
      <c r="J57" s="1">
        <v>45292</v>
      </c>
      <c r="K57">
        <v>-1772000</v>
      </c>
      <c r="P57" t="s">
        <v>10268</v>
      </c>
      <c r="Q57" s="1">
        <v>41545</v>
      </c>
      <c r="R57" s="1">
        <v>41843</v>
      </c>
      <c r="S57" s="1" t="s">
        <v>10239</v>
      </c>
      <c r="T57" t="s">
        <v>10240</v>
      </c>
      <c r="U57">
        <v>2014</v>
      </c>
      <c r="V57">
        <v>-471000000</v>
      </c>
    </row>
    <row r="58" spans="5:22" x14ac:dyDescent="0.25">
      <c r="E58" t="s">
        <v>121</v>
      </c>
      <c r="F58">
        <v>10329</v>
      </c>
      <c r="G58" s="1">
        <v>45353</v>
      </c>
      <c r="H58" t="s">
        <v>122</v>
      </c>
      <c r="I58" t="s">
        <v>123</v>
      </c>
      <c r="J58" s="1">
        <v>45256</v>
      </c>
      <c r="K58">
        <v>-1193000</v>
      </c>
      <c r="P58" t="s">
        <v>10269</v>
      </c>
      <c r="Q58" s="1">
        <v>41545</v>
      </c>
      <c r="R58" s="1">
        <v>41939</v>
      </c>
      <c r="S58" s="1" t="s">
        <v>10242</v>
      </c>
      <c r="T58" t="s">
        <v>10243</v>
      </c>
      <c r="U58">
        <v>2014</v>
      </c>
      <c r="V58">
        <v>-471000000</v>
      </c>
    </row>
    <row r="59" spans="5:22" x14ac:dyDescent="0.25">
      <c r="E59" t="s">
        <v>124</v>
      </c>
      <c r="F59">
        <v>10456</v>
      </c>
      <c r="G59" s="1">
        <v>45382</v>
      </c>
      <c r="H59" t="s">
        <v>125</v>
      </c>
      <c r="I59" t="s">
        <v>19</v>
      </c>
      <c r="J59" s="1">
        <v>45292</v>
      </c>
      <c r="K59">
        <v>37000000</v>
      </c>
      <c r="P59" t="s">
        <v>10270</v>
      </c>
      <c r="Q59" s="1">
        <v>41545</v>
      </c>
      <c r="R59" s="1">
        <v>42032</v>
      </c>
      <c r="S59" s="1" t="s">
        <v>10261</v>
      </c>
      <c r="T59" t="s">
        <v>10243</v>
      </c>
      <c r="U59">
        <v>2014</v>
      </c>
      <c r="V59">
        <v>-471000000</v>
      </c>
    </row>
    <row r="60" spans="5:22" x14ac:dyDescent="0.25">
      <c r="E60" t="s">
        <v>126</v>
      </c>
      <c r="F60">
        <v>10795</v>
      </c>
      <c r="G60" s="1">
        <v>45382</v>
      </c>
      <c r="H60" t="s">
        <v>127</v>
      </c>
      <c r="I60" t="s">
        <v>46</v>
      </c>
      <c r="J60" s="1">
        <v>45292</v>
      </c>
      <c r="K60">
        <v>537000000</v>
      </c>
      <c r="P60" t="s">
        <v>10271</v>
      </c>
      <c r="Q60" s="1">
        <v>41545</v>
      </c>
      <c r="R60" s="1">
        <v>42305</v>
      </c>
      <c r="S60" s="1" t="s">
        <v>10242</v>
      </c>
      <c r="T60" t="s">
        <v>10243</v>
      </c>
      <c r="U60">
        <v>2015</v>
      </c>
      <c r="V60">
        <v>-471000000</v>
      </c>
    </row>
    <row r="61" spans="5:22" x14ac:dyDescent="0.25">
      <c r="E61" t="s">
        <v>128</v>
      </c>
      <c r="F61">
        <v>11544</v>
      </c>
      <c r="G61" s="1">
        <v>45382</v>
      </c>
      <c r="H61" t="s">
        <v>129</v>
      </c>
      <c r="I61" t="s">
        <v>27</v>
      </c>
      <c r="J61" s="1">
        <v>45292</v>
      </c>
      <c r="K61">
        <v>442471000</v>
      </c>
      <c r="P61" t="s">
        <v>10266</v>
      </c>
      <c r="Q61" s="1">
        <v>41636</v>
      </c>
      <c r="R61" s="1">
        <v>41667</v>
      </c>
      <c r="S61" s="1" t="s">
        <v>10239</v>
      </c>
      <c r="T61" t="s">
        <v>10248</v>
      </c>
      <c r="U61">
        <v>2014</v>
      </c>
      <c r="V61">
        <v>-306000000</v>
      </c>
    </row>
    <row r="62" spans="5:22" x14ac:dyDescent="0.25">
      <c r="E62" t="s">
        <v>130</v>
      </c>
      <c r="F62">
        <v>12040</v>
      </c>
      <c r="G62" s="1">
        <v>45381</v>
      </c>
      <c r="H62" t="s">
        <v>131</v>
      </c>
      <c r="I62" t="s">
        <v>33</v>
      </c>
      <c r="J62" s="1">
        <v>45291</v>
      </c>
      <c r="K62">
        <v>1942000</v>
      </c>
      <c r="P62" t="s">
        <v>10267</v>
      </c>
      <c r="Q62" s="1">
        <v>41727</v>
      </c>
      <c r="R62" s="1">
        <v>41753</v>
      </c>
      <c r="S62" s="1" t="s">
        <v>10239</v>
      </c>
      <c r="T62" t="s">
        <v>10250</v>
      </c>
      <c r="U62">
        <v>2014</v>
      </c>
      <c r="V62">
        <v>-251000000</v>
      </c>
    </row>
    <row r="63" spans="5:22" x14ac:dyDescent="0.25">
      <c r="E63" t="s">
        <v>10314</v>
      </c>
      <c r="F63">
        <v>12208</v>
      </c>
      <c r="G63" s="1">
        <v>45382</v>
      </c>
      <c r="H63" t="s">
        <v>132</v>
      </c>
      <c r="I63" t="s">
        <v>36</v>
      </c>
      <c r="J63" s="1">
        <v>45292</v>
      </c>
      <c r="K63">
        <v>383916000</v>
      </c>
      <c r="P63" t="s">
        <v>10268</v>
      </c>
      <c r="Q63" s="1">
        <v>41818</v>
      </c>
      <c r="R63" s="1">
        <v>41843</v>
      </c>
      <c r="S63" s="1" t="s">
        <v>10239</v>
      </c>
      <c r="T63" t="s">
        <v>10240</v>
      </c>
      <c r="U63">
        <v>2014</v>
      </c>
      <c r="V63">
        <v>86000000</v>
      </c>
    </row>
    <row r="64" spans="5:22" x14ac:dyDescent="0.25">
      <c r="E64" t="s">
        <v>133</v>
      </c>
      <c r="F64">
        <v>12239</v>
      </c>
      <c r="G64" s="1">
        <v>45382</v>
      </c>
      <c r="H64" t="s">
        <v>134</v>
      </c>
      <c r="I64" t="s">
        <v>57</v>
      </c>
      <c r="J64" s="1">
        <v>45292</v>
      </c>
      <c r="K64">
        <v>-5441000</v>
      </c>
      <c r="P64" t="s">
        <v>10269</v>
      </c>
      <c r="Q64" s="1">
        <v>41909</v>
      </c>
      <c r="R64" s="1">
        <v>41939</v>
      </c>
      <c r="S64" s="1" t="s">
        <v>10242</v>
      </c>
      <c r="T64" t="s">
        <v>10243</v>
      </c>
      <c r="U64">
        <v>2014</v>
      </c>
      <c r="V64">
        <v>1082000000</v>
      </c>
    </row>
    <row r="65" spans="5:22" x14ac:dyDescent="0.25">
      <c r="E65" t="s">
        <v>135</v>
      </c>
      <c r="F65">
        <v>12659</v>
      </c>
      <c r="G65" s="1">
        <v>45382</v>
      </c>
      <c r="H65" t="s">
        <v>136</v>
      </c>
      <c r="I65" t="s">
        <v>137</v>
      </c>
      <c r="J65" s="1">
        <v>45292</v>
      </c>
      <c r="K65">
        <v>690737000</v>
      </c>
      <c r="P65" t="s">
        <v>10272</v>
      </c>
      <c r="Q65" s="1">
        <v>41909</v>
      </c>
      <c r="R65" s="1">
        <v>42032</v>
      </c>
      <c r="S65" s="1" t="s">
        <v>10239</v>
      </c>
      <c r="T65" t="s">
        <v>10248</v>
      </c>
      <c r="U65">
        <v>2015</v>
      </c>
      <c r="V65">
        <v>1082000000</v>
      </c>
    </row>
    <row r="66" spans="5:22" x14ac:dyDescent="0.25">
      <c r="E66" t="s">
        <v>138</v>
      </c>
      <c r="F66">
        <v>12927</v>
      </c>
      <c r="G66" s="1">
        <v>45382</v>
      </c>
      <c r="H66" t="s">
        <v>139</v>
      </c>
      <c r="I66" t="s">
        <v>123</v>
      </c>
      <c r="J66" s="1">
        <v>45292</v>
      </c>
      <c r="K66">
        <v>-343000000</v>
      </c>
      <c r="P66" t="s">
        <v>10270</v>
      </c>
      <c r="Q66" s="1">
        <v>41909</v>
      </c>
      <c r="R66" s="1">
        <v>42032</v>
      </c>
      <c r="S66" s="1" t="s">
        <v>10261</v>
      </c>
      <c r="T66" t="s">
        <v>10243</v>
      </c>
      <c r="U66">
        <v>2014</v>
      </c>
      <c r="V66">
        <v>1082000000</v>
      </c>
    </row>
    <row r="67" spans="5:22" x14ac:dyDescent="0.25">
      <c r="E67" t="s">
        <v>140</v>
      </c>
      <c r="F67">
        <v>13156</v>
      </c>
      <c r="G67" s="1">
        <v>45382</v>
      </c>
      <c r="H67" t="s">
        <v>141</v>
      </c>
      <c r="I67" t="s">
        <v>142</v>
      </c>
      <c r="J67" s="1">
        <v>45292</v>
      </c>
      <c r="K67">
        <v>208908</v>
      </c>
      <c r="P67" t="s">
        <v>10273</v>
      </c>
      <c r="Q67" s="1">
        <v>41909</v>
      </c>
      <c r="R67" s="1">
        <v>42122</v>
      </c>
      <c r="S67" s="1" t="s">
        <v>10239</v>
      </c>
      <c r="T67" t="s">
        <v>10250</v>
      </c>
      <c r="U67">
        <v>2015</v>
      </c>
      <c r="V67">
        <v>1082000000</v>
      </c>
    </row>
    <row r="68" spans="5:22" x14ac:dyDescent="0.25">
      <c r="E68" t="s">
        <v>143</v>
      </c>
      <c r="F68">
        <v>14177</v>
      </c>
      <c r="G68" s="1">
        <v>45401</v>
      </c>
      <c r="H68" t="s">
        <v>144</v>
      </c>
      <c r="I68" t="s">
        <v>30</v>
      </c>
      <c r="J68" s="1">
        <v>45318</v>
      </c>
      <c r="K68">
        <v>-2195000</v>
      </c>
      <c r="P68" t="s">
        <v>10274</v>
      </c>
      <c r="Q68" s="1">
        <v>41909</v>
      </c>
      <c r="R68" s="1">
        <v>42207</v>
      </c>
      <c r="S68" s="1" t="s">
        <v>10239</v>
      </c>
      <c r="T68" t="s">
        <v>10240</v>
      </c>
      <c r="U68">
        <v>2015</v>
      </c>
      <c r="V68">
        <v>1082000000</v>
      </c>
    </row>
    <row r="69" spans="5:22" x14ac:dyDescent="0.25">
      <c r="E69" t="s">
        <v>145</v>
      </c>
      <c r="F69">
        <v>14272</v>
      </c>
      <c r="G69" s="1">
        <v>45382</v>
      </c>
      <c r="H69" t="s">
        <v>146</v>
      </c>
      <c r="I69" t="s">
        <v>46</v>
      </c>
      <c r="J69" s="1">
        <v>45292</v>
      </c>
      <c r="K69">
        <v>-11911000000</v>
      </c>
      <c r="P69" t="s">
        <v>10271</v>
      </c>
      <c r="Q69" s="1">
        <v>41909</v>
      </c>
      <c r="R69" s="1">
        <v>42305</v>
      </c>
      <c r="S69" s="1" t="s">
        <v>10242</v>
      </c>
      <c r="T69" t="s">
        <v>10243</v>
      </c>
      <c r="U69">
        <v>2015</v>
      </c>
      <c r="V69">
        <v>1082000000</v>
      </c>
    </row>
    <row r="70" spans="5:22" x14ac:dyDescent="0.25">
      <c r="E70" t="s">
        <v>147</v>
      </c>
      <c r="F70">
        <v>14707</v>
      </c>
      <c r="G70" s="1">
        <v>45416</v>
      </c>
      <c r="H70" t="s">
        <v>148</v>
      </c>
      <c r="I70" t="s">
        <v>137</v>
      </c>
      <c r="J70" s="1">
        <v>45326</v>
      </c>
      <c r="K70">
        <v>30939000</v>
      </c>
      <c r="P70" t="s">
        <v>10272</v>
      </c>
      <c r="Q70" s="1">
        <v>42000</v>
      </c>
      <c r="R70" s="1">
        <v>42032</v>
      </c>
      <c r="S70" s="1" t="s">
        <v>10239</v>
      </c>
      <c r="T70" t="s">
        <v>10248</v>
      </c>
      <c r="U70">
        <v>2015</v>
      </c>
      <c r="V70">
        <v>1963000000</v>
      </c>
    </row>
    <row r="71" spans="5:22" x14ac:dyDescent="0.25">
      <c r="E71" t="s">
        <v>149</v>
      </c>
      <c r="F71">
        <v>14846</v>
      </c>
      <c r="G71" s="1">
        <v>45382</v>
      </c>
      <c r="H71" t="s">
        <v>150</v>
      </c>
      <c r="I71" t="s">
        <v>57</v>
      </c>
      <c r="J71" s="1">
        <v>45292</v>
      </c>
      <c r="K71">
        <v>-3171000</v>
      </c>
      <c r="P71" t="s">
        <v>10273</v>
      </c>
      <c r="Q71" s="1">
        <v>42091</v>
      </c>
      <c r="R71" s="1">
        <v>42122</v>
      </c>
      <c r="S71" s="1" t="s">
        <v>10239</v>
      </c>
      <c r="T71" t="s">
        <v>10250</v>
      </c>
      <c r="U71">
        <v>2015</v>
      </c>
      <c r="V71">
        <v>2710000000</v>
      </c>
    </row>
    <row r="72" spans="5:22" x14ac:dyDescent="0.25">
      <c r="E72" t="s">
        <v>10315</v>
      </c>
      <c r="F72">
        <v>14930</v>
      </c>
      <c r="G72" s="1">
        <v>45381</v>
      </c>
      <c r="H72" t="s">
        <v>151</v>
      </c>
      <c r="I72" t="s">
        <v>19</v>
      </c>
      <c r="J72" s="1">
        <v>45292</v>
      </c>
      <c r="K72">
        <v>68000000</v>
      </c>
      <c r="P72" t="s">
        <v>10274</v>
      </c>
      <c r="Q72" s="1">
        <v>42182</v>
      </c>
      <c r="R72" s="1">
        <v>42207</v>
      </c>
      <c r="S72" s="1" t="s">
        <v>10239</v>
      </c>
      <c r="T72" t="s">
        <v>10240</v>
      </c>
      <c r="U72">
        <v>2015</v>
      </c>
      <c r="V72">
        <v>1098000000</v>
      </c>
    </row>
    <row r="73" spans="5:22" x14ac:dyDescent="0.25">
      <c r="E73" t="s">
        <v>152</v>
      </c>
      <c r="F73">
        <v>15357</v>
      </c>
      <c r="G73" s="1">
        <v>45382</v>
      </c>
      <c r="H73" t="s">
        <v>153</v>
      </c>
      <c r="I73" t="s">
        <v>137</v>
      </c>
      <c r="J73" s="1">
        <v>45292</v>
      </c>
      <c r="K73">
        <v>-105897</v>
      </c>
      <c r="P73" t="s">
        <v>10271</v>
      </c>
      <c r="Q73" s="1">
        <v>42273</v>
      </c>
      <c r="R73" s="1">
        <v>42305</v>
      </c>
      <c r="S73" s="1" t="s">
        <v>10242</v>
      </c>
      <c r="T73" t="s">
        <v>10243</v>
      </c>
      <c r="U73">
        <v>2015</v>
      </c>
      <c r="V73">
        <v>-345000000</v>
      </c>
    </row>
    <row r="74" spans="5:22" x14ac:dyDescent="0.25">
      <c r="E74" t="s">
        <v>154</v>
      </c>
      <c r="F74">
        <v>15615</v>
      </c>
      <c r="G74" s="1">
        <v>45382</v>
      </c>
      <c r="H74" t="s">
        <v>155</v>
      </c>
      <c r="I74" t="s">
        <v>33</v>
      </c>
      <c r="J74" s="1">
        <v>45292</v>
      </c>
      <c r="K74">
        <v>-41180000</v>
      </c>
      <c r="P74" t="s">
        <v>10275</v>
      </c>
      <c r="Q74" s="1">
        <v>42273</v>
      </c>
      <c r="R74" s="1">
        <v>42396</v>
      </c>
      <c r="S74" s="1" t="s">
        <v>10239</v>
      </c>
      <c r="T74" t="s">
        <v>10248</v>
      </c>
      <c r="U74">
        <v>2016</v>
      </c>
      <c r="V74">
        <v>-345000000</v>
      </c>
    </row>
    <row r="75" spans="5:22" x14ac:dyDescent="0.25">
      <c r="E75" t="s">
        <v>156</v>
      </c>
      <c r="F75">
        <v>16040</v>
      </c>
      <c r="G75" s="1">
        <v>45382</v>
      </c>
      <c r="H75" t="s">
        <v>157</v>
      </c>
      <c r="I75" t="s">
        <v>24</v>
      </c>
      <c r="J75" s="1">
        <v>45292</v>
      </c>
      <c r="K75">
        <v>84000000</v>
      </c>
      <c r="P75" t="s">
        <v>10276</v>
      </c>
      <c r="Q75" s="1">
        <v>42273</v>
      </c>
      <c r="R75" s="1">
        <v>42487</v>
      </c>
      <c r="S75" s="1" t="s">
        <v>10239</v>
      </c>
      <c r="T75" t="s">
        <v>10250</v>
      </c>
      <c r="U75">
        <v>2016</v>
      </c>
      <c r="V75">
        <v>-345000000</v>
      </c>
    </row>
    <row r="76" spans="5:22" x14ac:dyDescent="0.25">
      <c r="E76" t="s">
        <v>158</v>
      </c>
      <c r="F76">
        <v>16058</v>
      </c>
      <c r="G76" s="1">
        <v>45382</v>
      </c>
      <c r="H76" t="s">
        <v>159</v>
      </c>
      <c r="I76" t="s">
        <v>123</v>
      </c>
      <c r="J76" s="1">
        <v>45292</v>
      </c>
      <c r="K76">
        <v>115350000</v>
      </c>
      <c r="P76" t="s">
        <v>10277</v>
      </c>
      <c r="Q76" s="1">
        <v>42273</v>
      </c>
      <c r="R76" s="1">
        <v>42578</v>
      </c>
      <c r="S76" s="1" t="s">
        <v>10239</v>
      </c>
      <c r="T76" t="s">
        <v>10240</v>
      </c>
      <c r="U76">
        <v>2016</v>
      </c>
      <c r="V76">
        <v>-345000000</v>
      </c>
    </row>
    <row r="77" spans="5:22" x14ac:dyDescent="0.25">
      <c r="E77" t="s">
        <v>160</v>
      </c>
      <c r="F77">
        <v>16160</v>
      </c>
      <c r="G77" s="1">
        <v>45353</v>
      </c>
      <c r="H77" t="s">
        <v>161</v>
      </c>
      <c r="I77" t="s">
        <v>162</v>
      </c>
      <c r="J77" s="1">
        <v>45263</v>
      </c>
      <c r="K77">
        <v>146712000</v>
      </c>
      <c r="P77" t="s">
        <v>10278</v>
      </c>
      <c r="Q77" s="1">
        <v>42273</v>
      </c>
      <c r="R77" s="1">
        <v>42669</v>
      </c>
      <c r="S77" s="1" t="s">
        <v>10242</v>
      </c>
      <c r="T77" t="s">
        <v>10243</v>
      </c>
      <c r="U77">
        <v>2016</v>
      </c>
      <c r="V77">
        <v>-345000000</v>
      </c>
    </row>
    <row r="78" spans="5:22" x14ac:dyDescent="0.25">
      <c r="E78" t="s">
        <v>163</v>
      </c>
      <c r="F78">
        <v>16732</v>
      </c>
      <c r="G78" s="1">
        <v>45410</v>
      </c>
      <c r="H78" t="s">
        <v>164</v>
      </c>
      <c r="I78" t="s">
        <v>46</v>
      </c>
      <c r="J78" s="1">
        <v>45320</v>
      </c>
      <c r="K78">
        <v>133000000</v>
      </c>
      <c r="P78" t="s">
        <v>10275</v>
      </c>
      <c r="Q78" s="1">
        <v>42364</v>
      </c>
      <c r="R78" s="1">
        <v>42396</v>
      </c>
      <c r="S78" s="1" t="s">
        <v>10239</v>
      </c>
      <c r="T78" t="s">
        <v>10248</v>
      </c>
      <c r="U78">
        <v>2016</v>
      </c>
      <c r="V78">
        <v>-1480000000</v>
      </c>
    </row>
    <row r="79" spans="5:22" x14ac:dyDescent="0.25">
      <c r="E79" t="s">
        <v>165</v>
      </c>
      <c r="F79">
        <v>16918</v>
      </c>
      <c r="G79" s="1">
        <v>45351</v>
      </c>
      <c r="H79" t="s">
        <v>166</v>
      </c>
      <c r="I79" t="s">
        <v>57</v>
      </c>
      <c r="J79" s="1">
        <v>45261</v>
      </c>
      <c r="K79">
        <v>392400000</v>
      </c>
      <c r="P79" t="s">
        <v>10276</v>
      </c>
      <c r="Q79" s="1">
        <v>42455</v>
      </c>
      <c r="R79" s="1">
        <v>42487</v>
      </c>
      <c r="S79" s="1" t="s">
        <v>10239</v>
      </c>
      <c r="T79" t="s">
        <v>10250</v>
      </c>
      <c r="U79">
        <v>2016</v>
      </c>
      <c r="V79">
        <v>-1048000000</v>
      </c>
    </row>
    <row r="80" spans="5:22" x14ac:dyDescent="0.25">
      <c r="E80" t="s">
        <v>167</v>
      </c>
      <c r="F80">
        <v>17313</v>
      </c>
      <c r="G80" s="1">
        <v>45382</v>
      </c>
      <c r="H80" t="s">
        <v>168</v>
      </c>
      <c r="I80" t="s">
        <v>30</v>
      </c>
      <c r="J80" s="1">
        <v>45292</v>
      </c>
      <c r="K80">
        <v>13469000</v>
      </c>
      <c r="P80" t="s">
        <v>10277</v>
      </c>
      <c r="Q80" s="1">
        <v>42546</v>
      </c>
      <c r="R80" s="1">
        <v>42578</v>
      </c>
      <c r="S80" s="1" t="s">
        <v>10239</v>
      </c>
      <c r="T80" t="s">
        <v>10240</v>
      </c>
      <c r="U80">
        <v>2016</v>
      </c>
      <c r="V80">
        <v>-107000000</v>
      </c>
    </row>
    <row r="81" spans="5:22" x14ac:dyDescent="0.25">
      <c r="E81" t="s">
        <v>169</v>
      </c>
      <c r="F81">
        <v>17843</v>
      </c>
      <c r="G81" s="1">
        <v>45382</v>
      </c>
      <c r="H81" t="s">
        <v>170</v>
      </c>
      <c r="I81" t="s">
        <v>39</v>
      </c>
      <c r="J81" s="1">
        <v>45292</v>
      </c>
      <c r="K81">
        <v>6300000</v>
      </c>
      <c r="P81" t="s">
        <v>10278</v>
      </c>
      <c r="Q81" s="1">
        <v>42637</v>
      </c>
      <c r="R81" s="1">
        <v>42669</v>
      </c>
      <c r="S81" s="1" t="s">
        <v>10242</v>
      </c>
      <c r="T81" t="s">
        <v>10243</v>
      </c>
      <c r="U81">
        <v>2016</v>
      </c>
      <c r="V81">
        <v>634000000</v>
      </c>
    </row>
    <row r="82" spans="5:22" x14ac:dyDescent="0.25">
      <c r="E82" t="s">
        <v>10316</v>
      </c>
      <c r="F82">
        <v>18255</v>
      </c>
      <c r="G82" s="1">
        <v>45416</v>
      </c>
      <c r="H82" t="s">
        <v>171</v>
      </c>
      <c r="I82" t="s">
        <v>172</v>
      </c>
      <c r="J82" s="1">
        <v>45326</v>
      </c>
      <c r="K82">
        <v>10974000</v>
      </c>
      <c r="P82" t="s">
        <v>10279</v>
      </c>
      <c r="Q82" s="1">
        <v>42637</v>
      </c>
      <c r="R82" s="1">
        <v>42767</v>
      </c>
      <c r="S82" s="1" t="s">
        <v>10239</v>
      </c>
      <c r="T82" t="s">
        <v>10248</v>
      </c>
      <c r="U82">
        <v>2017</v>
      </c>
      <c r="V82">
        <v>634000000</v>
      </c>
    </row>
    <row r="83" spans="5:22" x14ac:dyDescent="0.25">
      <c r="E83" t="s">
        <v>173</v>
      </c>
      <c r="F83">
        <v>18349</v>
      </c>
      <c r="G83" s="1">
        <v>45382</v>
      </c>
      <c r="H83" t="s">
        <v>174</v>
      </c>
      <c r="I83" t="s">
        <v>64</v>
      </c>
      <c r="J83" s="1">
        <v>45292</v>
      </c>
      <c r="K83">
        <v>124507000</v>
      </c>
      <c r="P83" t="s">
        <v>10280</v>
      </c>
      <c r="Q83" s="1">
        <v>42637</v>
      </c>
      <c r="R83" s="1">
        <v>42858</v>
      </c>
      <c r="S83" s="1" t="s">
        <v>10239</v>
      </c>
      <c r="T83" t="s">
        <v>10250</v>
      </c>
      <c r="U83">
        <v>2017</v>
      </c>
      <c r="V83">
        <v>634000000</v>
      </c>
    </row>
    <row r="84" spans="5:22" x14ac:dyDescent="0.25">
      <c r="E84" t="s">
        <v>175</v>
      </c>
      <c r="F84">
        <v>18498</v>
      </c>
      <c r="G84" s="1">
        <v>45416</v>
      </c>
      <c r="H84" t="s">
        <v>176</v>
      </c>
      <c r="I84" t="s">
        <v>69</v>
      </c>
      <c r="J84" s="1">
        <v>45326</v>
      </c>
      <c r="K84">
        <v>-24347000</v>
      </c>
      <c r="P84" t="s">
        <v>10281</v>
      </c>
      <c r="Q84" s="1">
        <v>42637</v>
      </c>
      <c r="R84" s="1">
        <v>42949</v>
      </c>
      <c r="S84" s="1" t="s">
        <v>10239</v>
      </c>
      <c r="T84" t="s">
        <v>10240</v>
      </c>
      <c r="U84">
        <v>2017</v>
      </c>
      <c r="V84">
        <v>634000000</v>
      </c>
    </row>
    <row r="85" spans="5:22" x14ac:dyDescent="0.25">
      <c r="E85" t="s">
        <v>177</v>
      </c>
      <c r="F85">
        <v>18926</v>
      </c>
      <c r="G85" s="1">
        <v>45382</v>
      </c>
      <c r="H85" t="s">
        <v>178</v>
      </c>
      <c r="I85" t="s">
        <v>179</v>
      </c>
      <c r="J85" s="1">
        <v>45292</v>
      </c>
      <c r="K85">
        <v>57000000</v>
      </c>
      <c r="P85" t="s">
        <v>10282</v>
      </c>
      <c r="Q85" s="1">
        <v>42637</v>
      </c>
      <c r="R85" s="1">
        <v>43042</v>
      </c>
      <c r="S85" s="1" t="s">
        <v>10242</v>
      </c>
      <c r="T85" t="s">
        <v>10243</v>
      </c>
      <c r="U85">
        <v>2017</v>
      </c>
      <c r="V85">
        <v>634000000</v>
      </c>
    </row>
    <row r="86" spans="5:22" x14ac:dyDescent="0.25">
      <c r="E86" t="s">
        <v>180</v>
      </c>
      <c r="F86">
        <v>19584</v>
      </c>
      <c r="G86" s="1">
        <v>45382</v>
      </c>
      <c r="H86" t="s">
        <v>181</v>
      </c>
      <c r="I86" t="s">
        <v>60</v>
      </c>
      <c r="J86" s="1">
        <v>45292</v>
      </c>
      <c r="K86">
        <v>65017000</v>
      </c>
      <c r="P86" t="s">
        <v>10279</v>
      </c>
      <c r="Q86" s="1">
        <v>42735</v>
      </c>
      <c r="R86" s="1">
        <v>42767</v>
      </c>
      <c r="S86" s="1" t="s">
        <v>10239</v>
      </c>
      <c r="T86" t="s">
        <v>10248</v>
      </c>
      <c r="U86">
        <v>2017</v>
      </c>
      <c r="V86">
        <v>245000000</v>
      </c>
    </row>
    <row r="87" spans="5:22" x14ac:dyDescent="0.25">
      <c r="E87" t="s">
        <v>182</v>
      </c>
      <c r="F87">
        <v>19617</v>
      </c>
      <c r="G87" s="1">
        <v>45382</v>
      </c>
      <c r="H87" t="s">
        <v>183</v>
      </c>
      <c r="I87" t="s">
        <v>57</v>
      </c>
      <c r="J87" s="1">
        <v>45292</v>
      </c>
      <c r="K87">
        <v>13419000000</v>
      </c>
      <c r="P87" t="s">
        <v>10280</v>
      </c>
      <c r="Q87" s="1">
        <v>42826</v>
      </c>
      <c r="R87" s="1">
        <v>42858</v>
      </c>
      <c r="S87" s="1" t="s">
        <v>10239</v>
      </c>
      <c r="T87" t="s">
        <v>10250</v>
      </c>
      <c r="U87">
        <v>2017</v>
      </c>
      <c r="V87">
        <v>-422000000</v>
      </c>
    </row>
    <row r="88" spans="5:22" x14ac:dyDescent="0.25">
      <c r="E88" t="s">
        <v>184</v>
      </c>
      <c r="F88">
        <v>19745</v>
      </c>
      <c r="G88" s="1">
        <v>45382</v>
      </c>
      <c r="H88" t="s">
        <v>185</v>
      </c>
      <c r="I88" t="s">
        <v>186</v>
      </c>
      <c r="J88" s="1">
        <v>45292</v>
      </c>
      <c r="K88">
        <v>46168000</v>
      </c>
      <c r="P88" t="s">
        <v>10281</v>
      </c>
      <c r="Q88" s="1">
        <v>42917</v>
      </c>
      <c r="R88" s="1">
        <v>42949</v>
      </c>
      <c r="S88" s="1" t="s">
        <v>10239</v>
      </c>
      <c r="T88" t="s">
        <v>10240</v>
      </c>
      <c r="U88">
        <v>2017</v>
      </c>
      <c r="V88">
        <v>-545000000</v>
      </c>
    </row>
    <row r="89" spans="5:22" x14ac:dyDescent="0.25">
      <c r="E89" t="s">
        <v>187</v>
      </c>
      <c r="F89">
        <v>19871</v>
      </c>
      <c r="G89" s="1">
        <v>45382</v>
      </c>
      <c r="H89" t="s">
        <v>188</v>
      </c>
      <c r="I89" t="s">
        <v>19</v>
      </c>
      <c r="J89" s="1">
        <v>45292</v>
      </c>
      <c r="K89">
        <v>-698004</v>
      </c>
      <c r="P89" t="s">
        <v>10282</v>
      </c>
      <c r="Q89" s="1">
        <v>43008</v>
      </c>
      <c r="R89" s="1">
        <v>43042</v>
      </c>
      <c r="S89" s="1" t="s">
        <v>10242</v>
      </c>
      <c r="T89" t="s">
        <v>10243</v>
      </c>
      <c r="U89">
        <v>2017</v>
      </c>
      <c r="V89">
        <v>-150000000</v>
      </c>
    </row>
    <row r="90" spans="5:22" x14ac:dyDescent="0.25">
      <c r="E90" t="s">
        <v>10317</v>
      </c>
      <c r="F90">
        <v>20212</v>
      </c>
      <c r="G90" s="1">
        <v>45382</v>
      </c>
      <c r="H90" t="s">
        <v>189</v>
      </c>
      <c r="I90" t="s">
        <v>190</v>
      </c>
      <c r="J90" s="1">
        <v>45292</v>
      </c>
      <c r="K90">
        <v>80400000</v>
      </c>
      <c r="P90" t="s">
        <v>10283</v>
      </c>
      <c r="Q90" s="1">
        <v>43008</v>
      </c>
      <c r="R90" s="1">
        <v>43133</v>
      </c>
      <c r="S90" s="1" t="s">
        <v>10239</v>
      </c>
      <c r="T90" t="s">
        <v>10248</v>
      </c>
      <c r="U90">
        <v>2018</v>
      </c>
      <c r="V90">
        <v>-150000000</v>
      </c>
    </row>
    <row r="91" spans="5:22" x14ac:dyDescent="0.25">
      <c r="E91" t="s">
        <v>191</v>
      </c>
      <c r="F91">
        <v>20286</v>
      </c>
      <c r="G91" s="1">
        <v>45382</v>
      </c>
      <c r="H91" t="s">
        <v>192</v>
      </c>
      <c r="I91" t="s">
        <v>60</v>
      </c>
      <c r="J91" s="1">
        <v>45292</v>
      </c>
      <c r="K91">
        <v>755000000</v>
      </c>
      <c r="P91" t="s">
        <v>10284</v>
      </c>
      <c r="Q91" s="1">
        <v>43008</v>
      </c>
      <c r="R91" s="1">
        <v>43222</v>
      </c>
      <c r="S91" s="1" t="s">
        <v>10239</v>
      </c>
      <c r="T91" t="s">
        <v>10250</v>
      </c>
      <c r="U91">
        <v>2018</v>
      </c>
      <c r="V91">
        <v>-150000000</v>
      </c>
    </row>
    <row r="92" spans="5:22" x14ac:dyDescent="0.25">
      <c r="E92" t="s">
        <v>193</v>
      </c>
      <c r="F92">
        <v>20520</v>
      </c>
      <c r="G92" s="1">
        <v>45382</v>
      </c>
      <c r="H92" t="s">
        <v>194</v>
      </c>
      <c r="I92" t="s">
        <v>30</v>
      </c>
      <c r="J92" s="1">
        <v>45292</v>
      </c>
      <c r="K92">
        <v>1000000</v>
      </c>
      <c r="P92" t="s">
        <v>10285</v>
      </c>
      <c r="Q92" s="1">
        <v>43008</v>
      </c>
      <c r="R92" s="1">
        <v>43313</v>
      </c>
      <c r="S92" s="1" t="s">
        <v>10239</v>
      </c>
      <c r="T92" t="s">
        <v>10240</v>
      </c>
      <c r="U92">
        <v>2018</v>
      </c>
      <c r="V92">
        <v>-150000000</v>
      </c>
    </row>
    <row r="93" spans="5:22" x14ac:dyDescent="0.25">
      <c r="E93" t="s">
        <v>195</v>
      </c>
      <c r="F93">
        <v>20639</v>
      </c>
      <c r="G93" s="1">
        <v>45382</v>
      </c>
      <c r="H93" t="s">
        <v>196</v>
      </c>
      <c r="I93" t="s">
        <v>33</v>
      </c>
      <c r="J93" s="1">
        <v>45292</v>
      </c>
      <c r="K93">
        <v>-1839000</v>
      </c>
      <c r="P93" t="s">
        <v>10286</v>
      </c>
      <c r="Q93" s="1">
        <v>43008</v>
      </c>
      <c r="R93" s="1">
        <v>43409</v>
      </c>
      <c r="S93" s="1" t="s">
        <v>10242</v>
      </c>
      <c r="T93" t="s">
        <v>10243</v>
      </c>
      <c r="U93">
        <v>2018</v>
      </c>
      <c r="V93">
        <v>-150000000</v>
      </c>
    </row>
    <row r="94" spans="5:22" x14ac:dyDescent="0.25">
      <c r="E94" t="s">
        <v>197</v>
      </c>
      <c r="F94">
        <v>21076</v>
      </c>
      <c r="G94" s="1">
        <v>45382</v>
      </c>
      <c r="H94" t="s">
        <v>198</v>
      </c>
      <c r="I94" t="s">
        <v>36</v>
      </c>
      <c r="J94" s="1">
        <v>45292</v>
      </c>
      <c r="K94">
        <v>-51000000</v>
      </c>
      <c r="P94" t="s">
        <v>10283</v>
      </c>
      <c r="Q94" s="1">
        <v>43099</v>
      </c>
      <c r="R94" s="1">
        <v>43133</v>
      </c>
      <c r="S94" s="1" t="s">
        <v>10239</v>
      </c>
      <c r="T94" t="s">
        <v>10248</v>
      </c>
      <c r="U94">
        <v>2018</v>
      </c>
      <c r="V94">
        <v>-841000000</v>
      </c>
    </row>
    <row r="95" spans="5:22" x14ac:dyDescent="0.25">
      <c r="E95" t="s">
        <v>199</v>
      </c>
      <c r="F95">
        <v>21175</v>
      </c>
      <c r="G95" s="1">
        <v>45382</v>
      </c>
      <c r="H95" t="s">
        <v>200</v>
      </c>
      <c r="I95" t="s">
        <v>19</v>
      </c>
      <c r="J95" s="1">
        <v>45292</v>
      </c>
      <c r="K95">
        <v>338000000</v>
      </c>
      <c r="P95" t="s">
        <v>10284</v>
      </c>
      <c r="Q95" s="1">
        <v>43190</v>
      </c>
      <c r="R95" s="1">
        <v>43222</v>
      </c>
      <c r="S95" s="1" t="s">
        <v>10239</v>
      </c>
      <c r="T95" t="s">
        <v>10250</v>
      </c>
      <c r="U95">
        <v>2018</v>
      </c>
      <c r="V95">
        <v>-3064000000</v>
      </c>
    </row>
    <row r="96" spans="5:22" x14ac:dyDescent="0.25">
      <c r="E96" t="s">
        <v>201</v>
      </c>
      <c r="F96">
        <v>21344</v>
      </c>
      <c r="G96" s="1">
        <v>45380</v>
      </c>
      <c r="H96" t="s">
        <v>202</v>
      </c>
      <c r="I96" t="s">
        <v>64</v>
      </c>
      <c r="J96" s="1">
        <v>45292</v>
      </c>
      <c r="K96">
        <v>3177000000</v>
      </c>
      <c r="P96" t="s">
        <v>10285</v>
      </c>
      <c r="Q96" s="1">
        <v>43281</v>
      </c>
      <c r="R96" s="1">
        <v>43313</v>
      </c>
      <c r="S96" s="1" t="s">
        <v>10239</v>
      </c>
      <c r="T96" t="s">
        <v>10240</v>
      </c>
      <c r="U96">
        <v>2018</v>
      </c>
      <c r="V96">
        <v>-3111000000</v>
      </c>
    </row>
    <row r="97" spans="5:22" x14ac:dyDescent="0.25">
      <c r="E97" t="s">
        <v>203</v>
      </c>
      <c r="F97">
        <v>21535</v>
      </c>
      <c r="G97" s="1">
        <v>45381</v>
      </c>
      <c r="H97" t="s">
        <v>204</v>
      </c>
      <c r="I97" t="s">
        <v>36</v>
      </c>
      <c r="J97" s="1">
        <v>45291</v>
      </c>
      <c r="K97">
        <v>-14635000</v>
      </c>
      <c r="P97" t="s">
        <v>10286</v>
      </c>
      <c r="Q97" s="1">
        <v>43372</v>
      </c>
      <c r="R97" s="1">
        <v>43409</v>
      </c>
      <c r="S97" s="1" t="s">
        <v>10242</v>
      </c>
      <c r="T97" t="s">
        <v>10243</v>
      </c>
      <c r="U97">
        <v>2018</v>
      </c>
      <c r="V97">
        <v>-3454000000</v>
      </c>
    </row>
    <row r="98" spans="5:22" x14ac:dyDescent="0.25">
      <c r="E98" t="s">
        <v>205</v>
      </c>
      <c r="F98">
        <v>21665</v>
      </c>
      <c r="G98" s="1">
        <v>45382</v>
      </c>
      <c r="H98" t="s">
        <v>206</v>
      </c>
      <c r="I98" t="s">
        <v>57</v>
      </c>
      <c r="J98" s="1">
        <v>45292</v>
      </c>
      <c r="K98">
        <v>683000000</v>
      </c>
      <c r="P98" t="s">
        <v>10287</v>
      </c>
      <c r="Q98" s="1">
        <v>43372</v>
      </c>
      <c r="R98" s="1">
        <v>43495</v>
      </c>
      <c r="S98" s="1" t="s">
        <v>10239</v>
      </c>
      <c r="T98" t="s">
        <v>10248</v>
      </c>
      <c r="U98">
        <v>2019</v>
      </c>
      <c r="V98">
        <v>-3454000000</v>
      </c>
    </row>
    <row r="99" spans="5:22" x14ac:dyDescent="0.25">
      <c r="E99" t="s">
        <v>207</v>
      </c>
      <c r="F99">
        <v>22356</v>
      </c>
      <c r="G99" s="1">
        <v>45382</v>
      </c>
      <c r="H99" t="s">
        <v>208</v>
      </c>
      <c r="I99" t="s">
        <v>137</v>
      </c>
      <c r="J99" s="1">
        <v>45292</v>
      </c>
      <c r="K99">
        <v>112663000</v>
      </c>
      <c r="P99" t="s">
        <v>10288</v>
      </c>
      <c r="Q99" s="1">
        <v>43372</v>
      </c>
      <c r="R99" s="1">
        <v>43586</v>
      </c>
      <c r="S99" s="1" t="s">
        <v>10239</v>
      </c>
      <c r="T99" t="s">
        <v>10250</v>
      </c>
      <c r="U99">
        <v>2019</v>
      </c>
      <c r="V99">
        <v>-3454000000</v>
      </c>
    </row>
    <row r="100" spans="5:22" x14ac:dyDescent="0.25">
      <c r="E100" t="s">
        <v>209</v>
      </c>
      <c r="F100">
        <v>22444</v>
      </c>
      <c r="G100" s="1">
        <v>45351</v>
      </c>
      <c r="H100" t="s">
        <v>210</v>
      </c>
      <c r="I100" t="s">
        <v>30</v>
      </c>
      <c r="J100" s="1">
        <v>45261</v>
      </c>
      <c r="K100">
        <v>85847000</v>
      </c>
      <c r="P100" t="s">
        <v>10289</v>
      </c>
      <c r="Q100" s="1">
        <v>43372</v>
      </c>
      <c r="R100" s="1">
        <v>43677</v>
      </c>
      <c r="S100" s="1" t="s">
        <v>10239</v>
      </c>
      <c r="T100" t="s">
        <v>10240</v>
      </c>
      <c r="U100">
        <v>2019</v>
      </c>
      <c r="V100">
        <v>-3454000000</v>
      </c>
    </row>
    <row r="101" spans="5:22" x14ac:dyDescent="0.25">
      <c r="E101" t="s">
        <v>211</v>
      </c>
      <c r="F101">
        <v>22701</v>
      </c>
      <c r="G101" s="1">
        <v>45382</v>
      </c>
      <c r="H101" t="s">
        <v>212</v>
      </c>
      <c r="I101" t="s">
        <v>213</v>
      </c>
      <c r="J101" s="1">
        <v>45292</v>
      </c>
      <c r="K101">
        <v>1202651</v>
      </c>
      <c r="P101" t="s">
        <v>10290</v>
      </c>
      <c r="Q101" s="1">
        <v>43372</v>
      </c>
      <c r="R101" s="1">
        <v>43769</v>
      </c>
      <c r="S101" s="1" t="s">
        <v>10242</v>
      </c>
      <c r="T101" t="s">
        <v>10243</v>
      </c>
      <c r="U101">
        <v>2019</v>
      </c>
      <c r="V101">
        <v>-3454000000</v>
      </c>
    </row>
    <row r="102" spans="5:22" x14ac:dyDescent="0.25">
      <c r="E102" t="s">
        <v>214</v>
      </c>
      <c r="F102">
        <v>23194</v>
      </c>
      <c r="G102" s="1">
        <v>45382</v>
      </c>
      <c r="H102" t="s">
        <v>215</v>
      </c>
      <c r="I102" t="s">
        <v>30</v>
      </c>
      <c r="J102" s="1">
        <v>45292</v>
      </c>
      <c r="K102">
        <v>-16321000</v>
      </c>
      <c r="P102" t="s">
        <v>10287</v>
      </c>
      <c r="Q102" s="1">
        <v>43463</v>
      </c>
      <c r="R102" s="1">
        <v>43495</v>
      </c>
      <c r="S102" s="1" t="s">
        <v>10239</v>
      </c>
      <c r="T102" t="s">
        <v>10248</v>
      </c>
      <c r="U102">
        <v>2019</v>
      </c>
      <c r="V102">
        <v>-3588000000</v>
      </c>
    </row>
    <row r="103" spans="5:22" x14ac:dyDescent="0.25">
      <c r="E103" t="s">
        <v>216</v>
      </c>
      <c r="F103">
        <v>23197</v>
      </c>
      <c r="G103" s="1">
        <v>45412</v>
      </c>
      <c r="H103" t="s">
        <v>217</v>
      </c>
      <c r="I103" t="s">
        <v>113</v>
      </c>
      <c r="J103" s="1">
        <v>45323</v>
      </c>
      <c r="K103">
        <v>2795000</v>
      </c>
      <c r="P103" t="s">
        <v>10288</v>
      </c>
      <c r="Q103" s="1">
        <v>43554</v>
      </c>
      <c r="R103" s="1">
        <v>43586</v>
      </c>
      <c r="S103" s="1" t="s">
        <v>10239</v>
      </c>
      <c r="T103" t="s">
        <v>10250</v>
      </c>
      <c r="U103">
        <v>2019</v>
      </c>
      <c r="V103">
        <v>-1499000000</v>
      </c>
    </row>
    <row r="104" spans="5:22" x14ac:dyDescent="0.25">
      <c r="E104" t="s">
        <v>218</v>
      </c>
      <c r="F104">
        <v>23217</v>
      </c>
      <c r="G104" s="1">
        <v>45347</v>
      </c>
      <c r="H104" t="s">
        <v>219</v>
      </c>
      <c r="I104" t="s">
        <v>19</v>
      </c>
      <c r="J104" s="1">
        <v>45257</v>
      </c>
      <c r="K104">
        <v>308600000</v>
      </c>
      <c r="P104" t="s">
        <v>10289</v>
      </c>
      <c r="Q104" s="1">
        <v>43645</v>
      </c>
      <c r="R104" s="1">
        <v>43677</v>
      </c>
      <c r="S104" s="1" t="s">
        <v>10239</v>
      </c>
      <c r="T104" t="s">
        <v>10240</v>
      </c>
      <c r="U104">
        <v>2019</v>
      </c>
      <c r="V104">
        <v>-639000000</v>
      </c>
    </row>
    <row r="105" spans="5:22" x14ac:dyDescent="0.25">
      <c r="E105" t="s">
        <v>220</v>
      </c>
      <c r="F105">
        <v>23795</v>
      </c>
      <c r="G105" s="1">
        <v>45382</v>
      </c>
      <c r="H105" t="s">
        <v>221</v>
      </c>
      <c r="I105" t="s">
        <v>33</v>
      </c>
      <c r="J105" s="1">
        <v>45292</v>
      </c>
      <c r="K105">
        <v>5842000</v>
      </c>
      <c r="P105" t="s">
        <v>10290</v>
      </c>
      <c r="Q105" s="1">
        <v>43736</v>
      </c>
      <c r="R105" s="1">
        <v>43769</v>
      </c>
      <c r="S105" s="1" t="s">
        <v>10242</v>
      </c>
      <c r="T105" t="s">
        <v>10243</v>
      </c>
      <c r="U105">
        <v>2019</v>
      </c>
      <c r="V105">
        <v>-584000000</v>
      </c>
    </row>
    <row r="106" spans="5:22" x14ac:dyDescent="0.25">
      <c r="E106" t="s">
        <v>222</v>
      </c>
      <c r="F106">
        <v>24090</v>
      </c>
      <c r="G106" s="1">
        <v>45382</v>
      </c>
      <c r="H106" t="s">
        <v>223</v>
      </c>
      <c r="I106" t="s">
        <v>30</v>
      </c>
      <c r="J106" s="1">
        <v>45292</v>
      </c>
      <c r="K106">
        <v>4542000</v>
      </c>
      <c r="P106" t="s">
        <v>10291</v>
      </c>
      <c r="Q106" s="1">
        <v>43736</v>
      </c>
      <c r="R106" s="1">
        <v>43859</v>
      </c>
      <c r="S106" s="1" t="s">
        <v>10239</v>
      </c>
      <c r="T106" t="s">
        <v>10248</v>
      </c>
      <c r="U106">
        <v>2020</v>
      </c>
      <c r="V106">
        <v>-584000000</v>
      </c>
    </row>
    <row r="107" spans="5:22" x14ac:dyDescent="0.25">
      <c r="E107" t="s">
        <v>224</v>
      </c>
      <c r="F107">
        <v>24545</v>
      </c>
      <c r="G107" s="1">
        <v>45382</v>
      </c>
      <c r="H107" t="s">
        <v>225</v>
      </c>
      <c r="I107" t="s">
        <v>92</v>
      </c>
      <c r="J107" s="1">
        <v>45292</v>
      </c>
      <c r="K107">
        <v>207800000</v>
      </c>
      <c r="P107" t="s">
        <v>10292</v>
      </c>
      <c r="Q107" s="1">
        <v>43736</v>
      </c>
      <c r="R107" s="1">
        <v>43952</v>
      </c>
      <c r="S107" s="1" t="s">
        <v>10239</v>
      </c>
      <c r="T107" t="s">
        <v>10250</v>
      </c>
      <c r="U107">
        <v>2020</v>
      </c>
      <c r="V107">
        <v>-584000000</v>
      </c>
    </row>
    <row r="108" spans="5:22" x14ac:dyDescent="0.25">
      <c r="E108" t="s">
        <v>226</v>
      </c>
      <c r="F108">
        <v>24741</v>
      </c>
      <c r="G108" s="1">
        <v>45382</v>
      </c>
      <c r="H108" t="s">
        <v>227</v>
      </c>
      <c r="I108" t="s">
        <v>57</v>
      </c>
      <c r="J108" s="1">
        <v>45292</v>
      </c>
      <c r="K108">
        <v>209000000</v>
      </c>
      <c r="P108" t="s">
        <v>10293</v>
      </c>
      <c r="Q108" s="1">
        <v>43736</v>
      </c>
      <c r="R108" s="1">
        <v>44043</v>
      </c>
      <c r="S108" s="1" t="s">
        <v>10239</v>
      </c>
      <c r="T108" t="s">
        <v>10240</v>
      </c>
      <c r="U108">
        <v>2020</v>
      </c>
      <c r="V108">
        <v>-584000000</v>
      </c>
    </row>
    <row r="109" spans="5:22" x14ac:dyDescent="0.25">
      <c r="E109" t="s">
        <v>228</v>
      </c>
      <c r="F109">
        <v>25232</v>
      </c>
      <c r="G109" s="1">
        <v>45382</v>
      </c>
      <c r="H109" t="s">
        <v>229</v>
      </c>
      <c r="I109" t="s">
        <v>64</v>
      </c>
      <c r="J109" s="1">
        <v>45292</v>
      </c>
      <c r="K109">
        <v>13288000</v>
      </c>
      <c r="P109" t="s">
        <v>10294</v>
      </c>
      <c r="Q109" s="1">
        <v>43736</v>
      </c>
      <c r="R109" s="1">
        <v>44134</v>
      </c>
      <c r="S109" s="1" t="s">
        <v>10242</v>
      </c>
      <c r="T109" t="s">
        <v>10243</v>
      </c>
      <c r="U109">
        <v>2020</v>
      </c>
      <c r="V109">
        <v>-584000000</v>
      </c>
    </row>
    <row r="110" spans="5:22" x14ac:dyDescent="0.25">
      <c r="E110" t="s">
        <v>230</v>
      </c>
      <c r="F110">
        <v>25445</v>
      </c>
      <c r="G110" s="1">
        <v>45382</v>
      </c>
      <c r="H110" t="s">
        <v>231</v>
      </c>
      <c r="I110" t="s">
        <v>24</v>
      </c>
      <c r="J110" s="1">
        <v>45292</v>
      </c>
      <c r="K110">
        <v>37800000</v>
      </c>
      <c r="P110" t="s">
        <v>10291</v>
      </c>
      <c r="Q110" s="1">
        <v>43827</v>
      </c>
      <c r="R110" s="1">
        <v>43859</v>
      </c>
      <c r="S110" s="1" t="s">
        <v>10239</v>
      </c>
      <c r="T110" t="s">
        <v>10248</v>
      </c>
      <c r="U110">
        <v>2020</v>
      </c>
      <c r="V110">
        <v>-418000000</v>
      </c>
    </row>
    <row r="111" spans="5:22" x14ac:dyDescent="0.25">
      <c r="E111" t="s">
        <v>232</v>
      </c>
      <c r="F111">
        <v>25475</v>
      </c>
      <c r="G111" s="1">
        <v>45382</v>
      </c>
      <c r="H111" t="s">
        <v>233</v>
      </c>
      <c r="I111" t="s">
        <v>64</v>
      </c>
      <c r="J111" s="1">
        <v>45292</v>
      </c>
      <c r="K111">
        <v>2837000</v>
      </c>
      <c r="P111" t="s">
        <v>10292</v>
      </c>
      <c r="Q111" s="1">
        <v>43918</v>
      </c>
      <c r="R111" s="1">
        <v>43952</v>
      </c>
      <c r="S111" s="1" t="s">
        <v>10239</v>
      </c>
      <c r="T111" t="s">
        <v>10250</v>
      </c>
      <c r="U111">
        <v>2020</v>
      </c>
      <c r="V111">
        <v>-2789000000</v>
      </c>
    </row>
    <row r="112" spans="5:22" x14ac:dyDescent="0.25">
      <c r="E112" t="s">
        <v>234</v>
      </c>
      <c r="F112">
        <v>25743</v>
      </c>
      <c r="G112" s="1">
        <v>45382</v>
      </c>
      <c r="H112" t="s">
        <v>235</v>
      </c>
      <c r="I112" t="s">
        <v>33</v>
      </c>
      <c r="J112" s="1">
        <v>45292</v>
      </c>
      <c r="K112">
        <v>-734000</v>
      </c>
      <c r="P112" t="s">
        <v>10293</v>
      </c>
      <c r="Q112" s="1">
        <v>44009</v>
      </c>
      <c r="R112" s="1">
        <v>44043</v>
      </c>
      <c r="S112" s="1" t="s">
        <v>10239</v>
      </c>
      <c r="T112" t="s">
        <v>10240</v>
      </c>
      <c r="U112">
        <v>2020</v>
      </c>
      <c r="V112">
        <v>-550000000</v>
      </c>
    </row>
    <row r="113" spans="5:22" x14ac:dyDescent="0.25">
      <c r="E113" t="s">
        <v>10318</v>
      </c>
      <c r="F113">
        <v>26058</v>
      </c>
      <c r="G113" s="1">
        <v>45382</v>
      </c>
      <c r="H113" t="s">
        <v>236</v>
      </c>
      <c r="I113" t="s">
        <v>19</v>
      </c>
      <c r="J113" s="1">
        <v>45292</v>
      </c>
      <c r="K113">
        <v>11119000</v>
      </c>
      <c r="P113" t="s">
        <v>10294</v>
      </c>
      <c r="Q113" s="1">
        <v>44100</v>
      </c>
      <c r="R113" s="1">
        <v>44134</v>
      </c>
      <c r="S113" s="1" t="s">
        <v>10242</v>
      </c>
      <c r="T113" t="s">
        <v>10243</v>
      </c>
      <c r="U113">
        <v>2020</v>
      </c>
      <c r="V113">
        <v>-406000000</v>
      </c>
    </row>
    <row r="114" spans="5:22" x14ac:dyDescent="0.25">
      <c r="E114" t="s">
        <v>237</v>
      </c>
      <c r="F114">
        <v>26324</v>
      </c>
      <c r="G114" s="1">
        <v>45382</v>
      </c>
      <c r="H114" t="s">
        <v>238</v>
      </c>
      <c r="I114" t="s">
        <v>172</v>
      </c>
      <c r="J114" s="1">
        <v>45292</v>
      </c>
      <c r="K114">
        <v>76495000</v>
      </c>
      <c r="P114" t="s">
        <v>10295</v>
      </c>
      <c r="Q114" s="1">
        <v>44100</v>
      </c>
      <c r="R114" s="1">
        <v>44224</v>
      </c>
      <c r="S114" s="1" t="s">
        <v>10239</v>
      </c>
      <c r="T114" t="s">
        <v>10248</v>
      </c>
      <c r="U114">
        <v>2021</v>
      </c>
      <c r="V114">
        <v>-406000000</v>
      </c>
    </row>
    <row r="115" spans="5:22" x14ac:dyDescent="0.25">
      <c r="E115" t="s">
        <v>239</v>
      </c>
      <c r="F115">
        <v>26780</v>
      </c>
      <c r="G115" s="1">
        <v>45382</v>
      </c>
      <c r="H115" t="s">
        <v>240</v>
      </c>
      <c r="I115" t="s">
        <v>60</v>
      </c>
      <c r="J115" s="1">
        <v>45292</v>
      </c>
      <c r="K115">
        <v>3000000</v>
      </c>
      <c r="P115" t="s">
        <v>10296</v>
      </c>
      <c r="Q115" s="1">
        <v>44100</v>
      </c>
      <c r="R115" s="1">
        <v>44315</v>
      </c>
      <c r="S115" s="1" t="s">
        <v>10239</v>
      </c>
      <c r="T115" t="s">
        <v>10250</v>
      </c>
      <c r="U115">
        <v>2021</v>
      </c>
      <c r="V115">
        <v>-406000000</v>
      </c>
    </row>
    <row r="116" spans="5:22" x14ac:dyDescent="0.25">
      <c r="E116" t="s">
        <v>10319</v>
      </c>
      <c r="F116">
        <v>27419</v>
      </c>
      <c r="G116" s="1">
        <v>45416</v>
      </c>
      <c r="H116" t="s">
        <v>10320</v>
      </c>
      <c r="I116" t="s">
        <v>213</v>
      </c>
      <c r="J116" s="1">
        <v>45326</v>
      </c>
      <c r="K116">
        <v>942000000</v>
      </c>
      <c r="P116" t="s">
        <v>10297</v>
      </c>
      <c r="Q116" s="1">
        <v>44100</v>
      </c>
      <c r="R116" s="1">
        <v>44405</v>
      </c>
      <c r="S116" s="1" t="s">
        <v>10239</v>
      </c>
      <c r="T116" t="s">
        <v>10240</v>
      </c>
      <c r="U116">
        <v>2021</v>
      </c>
      <c r="V116">
        <v>-406000000</v>
      </c>
    </row>
    <row r="117" spans="5:22" x14ac:dyDescent="0.25">
      <c r="E117" t="s">
        <v>241</v>
      </c>
      <c r="F117">
        <v>27673</v>
      </c>
      <c r="G117" s="1">
        <v>45410</v>
      </c>
      <c r="H117" t="s">
        <v>242</v>
      </c>
      <c r="I117" t="s">
        <v>83</v>
      </c>
      <c r="J117" s="1">
        <v>45320</v>
      </c>
      <c r="K117">
        <v>126500000</v>
      </c>
      <c r="P117" t="s">
        <v>10298</v>
      </c>
      <c r="Q117" s="1">
        <v>44100</v>
      </c>
      <c r="R117" s="1">
        <v>44498</v>
      </c>
      <c r="S117" s="1" t="s">
        <v>10242</v>
      </c>
      <c r="T117" t="s">
        <v>10243</v>
      </c>
      <c r="U117">
        <v>2021</v>
      </c>
      <c r="V117">
        <v>-406000000</v>
      </c>
    </row>
    <row r="118" spans="5:22" x14ac:dyDescent="0.25">
      <c r="E118" t="s">
        <v>243</v>
      </c>
      <c r="F118">
        <v>27904</v>
      </c>
      <c r="G118" s="1">
        <v>45382</v>
      </c>
      <c r="H118" t="s">
        <v>244</v>
      </c>
      <c r="I118" t="s">
        <v>64</v>
      </c>
      <c r="J118" s="1">
        <v>45292</v>
      </c>
      <c r="K118">
        <v>37000000</v>
      </c>
      <c r="P118" t="s">
        <v>10295</v>
      </c>
      <c r="Q118" s="1">
        <v>44191</v>
      </c>
      <c r="R118" s="1">
        <v>44224</v>
      </c>
      <c r="S118" s="1" t="s">
        <v>10239</v>
      </c>
      <c r="T118" t="s">
        <v>10248</v>
      </c>
      <c r="U118">
        <v>2021</v>
      </c>
      <c r="V118">
        <v>179000000</v>
      </c>
    </row>
    <row r="119" spans="5:22" x14ac:dyDescent="0.25">
      <c r="E119" t="s">
        <v>245</v>
      </c>
      <c r="F119">
        <v>27996</v>
      </c>
      <c r="G119" s="1">
        <v>45382</v>
      </c>
      <c r="H119" t="s">
        <v>246</v>
      </c>
      <c r="I119" t="s">
        <v>213</v>
      </c>
      <c r="J119" s="1">
        <v>45292</v>
      </c>
      <c r="K119">
        <v>10803000</v>
      </c>
      <c r="P119" t="s">
        <v>10296</v>
      </c>
      <c r="Q119" s="1">
        <v>44282</v>
      </c>
      <c r="R119" s="1">
        <v>44315</v>
      </c>
      <c r="S119" s="1" t="s">
        <v>10239</v>
      </c>
      <c r="T119" t="s">
        <v>10250</v>
      </c>
      <c r="U119">
        <v>2021</v>
      </c>
      <c r="V119">
        <v>-286000000</v>
      </c>
    </row>
    <row r="120" spans="5:22" x14ac:dyDescent="0.25">
      <c r="E120" t="s">
        <v>247</v>
      </c>
      <c r="F120">
        <v>28823</v>
      </c>
      <c r="G120" s="1">
        <v>45382</v>
      </c>
      <c r="H120" t="s">
        <v>248</v>
      </c>
      <c r="I120" t="s">
        <v>60</v>
      </c>
      <c r="J120" s="1">
        <v>45292</v>
      </c>
      <c r="K120">
        <v>-14600000</v>
      </c>
      <c r="P120" t="s">
        <v>10297</v>
      </c>
      <c r="Q120" s="1">
        <v>44373</v>
      </c>
      <c r="R120" s="1">
        <v>44405</v>
      </c>
      <c r="S120" s="1" t="s">
        <v>10239</v>
      </c>
      <c r="T120" t="s">
        <v>10240</v>
      </c>
      <c r="U120">
        <v>2021</v>
      </c>
      <c r="V120">
        <v>58000000</v>
      </c>
    </row>
    <row r="121" spans="5:22" x14ac:dyDescent="0.25">
      <c r="E121" t="s">
        <v>249</v>
      </c>
      <c r="F121">
        <v>28917</v>
      </c>
      <c r="G121" s="1">
        <v>45416</v>
      </c>
      <c r="H121" t="s">
        <v>250</v>
      </c>
      <c r="I121" t="s">
        <v>251</v>
      </c>
      <c r="J121" s="1">
        <v>45326</v>
      </c>
      <c r="K121">
        <v>180038000</v>
      </c>
      <c r="P121" t="s">
        <v>10298</v>
      </c>
      <c r="Q121" s="1">
        <v>44464</v>
      </c>
      <c r="R121" s="1">
        <v>44498</v>
      </c>
      <c r="S121" s="1" t="s">
        <v>10242</v>
      </c>
      <c r="T121" t="s">
        <v>10243</v>
      </c>
      <c r="U121">
        <v>2021</v>
      </c>
      <c r="V121">
        <v>163000000</v>
      </c>
    </row>
    <row r="122" spans="5:22" x14ac:dyDescent="0.25">
      <c r="E122" t="s">
        <v>252</v>
      </c>
      <c r="F122">
        <v>29002</v>
      </c>
      <c r="G122" s="1">
        <v>45382</v>
      </c>
      <c r="H122" t="s">
        <v>253</v>
      </c>
      <c r="I122" t="s">
        <v>30</v>
      </c>
      <c r="J122" s="1">
        <v>45292</v>
      </c>
      <c r="K122">
        <v>14038000</v>
      </c>
      <c r="P122" t="s">
        <v>10299</v>
      </c>
      <c r="Q122" s="1">
        <v>44464</v>
      </c>
      <c r="R122" s="1">
        <v>44589</v>
      </c>
      <c r="S122" s="1" t="s">
        <v>10239</v>
      </c>
      <c r="T122" t="s">
        <v>10248</v>
      </c>
      <c r="U122">
        <v>2022</v>
      </c>
      <c r="V122">
        <v>163000000</v>
      </c>
    </row>
    <row r="123" spans="5:22" x14ac:dyDescent="0.25">
      <c r="E123" t="s">
        <v>254</v>
      </c>
      <c r="F123">
        <v>29332</v>
      </c>
      <c r="G123" s="1">
        <v>45381</v>
      </c>
      <c r="H123" t="s">
        <v>255</v>
      </c>
      <c r="I123" t="s">
        <v>64</v>
      </c>
      <c r="J123" s="1">
        <v>45291</v>
      </c>
      <c r="K123">
        <v>-2494000</v>
      </c>
      <c r="P123" t="s">
        <v>10300</v>
      </c>
      <c r="Q123" s="1">
        <v>44464</v>
      </c>
      <c r="R123" s="1">
        <v>44680</v>
      </c>
      <c r="S123" s="1" t="s">
        <v>10239</v>
      </c>
      <c r="T123" t="s">
        <v>10250</v>
      </c>
      <c r="U123">
        <v>2022</v>
      </c>
      <c r="V123">
        <v>163000000</v>
      </c>
    </row>
    <row r="124" spans="5:22" x14ac:dyDescent="0.25">
      <c r="E124" t="s">
        <v>256</v>
      </c>
      <c r="F124">
        <v>29534</v>
      </c>
      <c r="G124" s="1">
        <v>45415</v>
      </c>
      <c r="H124" t="s">
        <v>257</v>
      </c>
      <c r="I124" t="s">
        <v>69</v>
      </c>
      <c r="J124" s="1">
        <v>45325</v>
      </c>
      <c r="K124">
        <v>363317000</v>
      </c>
      <c r="P124" t="s">
        <v>10301</v>
      </c>
      <c r="Q124" s="1">
        <v>44464</v>
      </c>
      <c r="R124" s="1">
        <v>44771</v>
      </c>
      <c r="S124" s="1" t="s">
        <v>10239</v>
      </c>
      <c r="T124" t="s">
        <v>10240</v>
      </c>
      <c r="U124">
        <v>2022</v>
      </c>
      <c r="V124">
        <v>163000000</v>
      </c>
    </row>
    <row r="125" spans="5:22" x14ac:dyDescent="0.25">
      <c r="E125" t="s">
        <v>258</v>
      </c>
      <c r="F125">
        <v>29644</v>
      </c>
      <c r="G125" s="1">
        <v>45412</v>
      </c>
      <c r="H125" t="s">
        <v>259</v>
      </c>
      <c r="I125" t="s">
        <v>213</v>
      </c>
      <c r="J125" s="1">
        <v>45323</v>
      </c>
      <c r="K125">
        <v>113500000</v>
      </c>
      <c r="P125" t="s">
        <v>10302</v>
      </c>
      <c r="Q125" s="1">
        <v>44464</v>
      </c>
      <c r="R125" s="1">
        <v>44862</v>
      </c>
      <c r="S125" s="1" t="s">
        <v>10242</v>
      </c>
      <c r="T125" t="s">
        <v>10243</v>
      </c>
      <c r="U125">
        <v>2022</v>
      </c>
      <c r="V125">
        <v>163000000</v>
      </c>
    </row>
    <row r="126" spans="5:22" x14ac:dyDescent="0.25">
      <c r="E126" t="s">
        <v>260</v>
      </c>
      <c r="F126">
        <v>29905</v>
      </c>
      <c r="G126" s="1">
        <v>45382</v>
      </c>
      <c r="H126" t="s">
        <v>261</v>
      </c>
      <c r="I126" t="s">
        <v>19</v>
      </c>
      <c r="J126" s="1">
        <v>45292</v>
      </c>
      <c r="K126">
        <v>632221000</v>
      </c>
      <c r="P126" t="s">
        <v>10299</v>
      </c>
      <c r="Q126" s="1">
        <v>44555</v>
      </c>
      <c r="R126" s="1">
        <v>44589</v>
      </c>
      <c r="S126" s="1" t="s">
        <v>10239</v>
      </c>
      <c r="T126" t="s">
        <v>10248</v>
      </c>
      <c r="U126">
        <v>2022</v>
      </c>
      <c r="V126">
        <v>-927000000</v>
      </c>
    </row>
    <row r="127" spans="5:22" x14ac:dyDescent="0.25">
      <c r="E127" t="s">
        <v>262</v>
      </c>
      <c r="F127">
        <v>29989</v>
      </c>
      <c r="G127" s="1">
        <v>45382</v>
      </c>
      <c r="H127" t="s">
        <v>263</v>
      </c>
      <c r="I127" t="s">
        <v>57</v>
      </c>
      <c r="J127" s="1">
        <v>45292</v>
      </c>
      <c r="K127">
        <v>318600000</v>
      </c>
      <c r="P127" t="s">
        <v>10300</v>
      </c>
      <c r="Q127" s="1">
        <v>44646</v>
      </c>
      <c r="R127" s="1">
        <v>44680</v>
      </c>
      <c r="S127" s="1" t="s">
        <v>10239</v>
      </c>
      <c r="T127" t="s">
        <v>10250</v>
      </c>
      <c r="U127">
        <v>2022</v>
      </c>
      <c r="V127">
        <v>-6494000000</v>
      </c>
    </row>
    <row r="128" spans="5:22" x14ac:dyDescent="0.25">
      <c r="E128" t="s">
        <v>264</v>
      </c>
      <c r="F128">
        <v>30305</v>
      </c>
      <c r="G128" s="1">
        <v>45381</v>
      </c>
      <c r="H128" t="s">
        <v>265</v>
      </c>
      <c r="I128" t="s">
        <v>36</v>
      </c>
      <c r="J128" s="1">
        <v>45292</v>
      </c>
      <c r="K128">
        <v>6849000</v>
      </c>
      <c r="P128" t="s">
        <v>10301</v>
      </c>
      <c r="Q128" s="1">
        <v>44737</v>
      </c>
      <c r="R128" s="1">
        <v>44771</v>
      </c>
      <c r="S128" s="1" t="s">
        <v>10239</v>
      </c>
      <c r="T128" t="s">
        <v>10240</v>
      </c>
      <c r="U128">
        <v>2022</v>
      </c>
      <c r="V128">
        <v>-9297000000</v>
      </c>
    </row>
    <row r="129" spans="5:22" x14ac:dyDescent="0.25">
      <c r="E129" t="s">
        <v>266</v>
      </c>
      <c r="F129">
        <v>30625</v>
      </c>
      <c r="G129" s="1">
        <v>45382</v>
      </c>
      <c r="H129" t="s">
        <v>267</v>
      </c>
      <c r="I129" t="s">
        <v>30</v>
      </c>
      <c r="J129" s="1">
        <v>45292</v>
      </c>
      <c r="K129">
        <v>74220000</v>
      </c>
      <c r="P129" t="s">
        <v>10302</v>
      </c>
      <c r="Q129" s="1">
        <v>44828</v>
      </c>
      <c r="R129" s="1">
        <v>44862</v>
      </c>
      <c r="S129" s="1" t="s">
        <v>10242</v>
      </c>
      <c r="T129" t="s">
        <v>10243</v>
      </c>
      <c r="U129">
        <v>2022</v>
      </c>
      <c r="V129">
        <v>-11109000000</v>
      </c>
    </row>
    <row r="130" spans="5:22" x14ac:dyDescent="0.25">
      <c r="E130" t="s">
        <v>10321</v>
      </c>
      <c r="F130">
        <v>30697</v>
      </c>
      <c r="G130" s="1">
        <v>45382</v>
      </c>
      <c r="H130" t="s">
        <v>268</v>
      </c>
      <c r="I130" t="s">
        <v>60</v>
      </c>
      <c r="J130" s="1">
        <v>45292</v>
      </c>
      <c r="K130">
        <v>41993000</v>
      </c>
      <c r="P130" t="s">
        <v>10303</v>
      </c>
      <c r="Q130" s="1">
        <v>44828</v>
      </c>
      <c r="R130" s="1">
        <v>44960</v>
      </c>
      <c r="S130" s="1" t="s">
        <v>10239</v>
      </c>
      <c r="T130" t="s">
        <v>10248</v>
      </c>
      <c r="U130">
        <v>2023</v>
      </c>
      <c r="V130">
        <v>-11109000000</v>
      </c>
    </row>
    <row r="131" spans="5:22" x14ac:dyDescent="0.25">
      <c r="E131" t="s">
        <v>269</v>
      </c>
      <c r="F131">
        <v>31107</v>
      </c>
      <c r="G131" s="1">
        <v>45381</v>
      </c>
      <c r="H131" t="s">
        <v>270</v>
      </c>
      <c r="I131" t="s">
        <v>27</v>
      </c>
      <c r="J131" s="1">
        <v>45291</v>
      </c>
      <c r="K131">
        <v>1947572</v>
      </c>
      <c r="P131" t="s">
        <v>10304</v>
      </c>
      <c r="Q131" s="1">
        <v>44828</v>
      </c>
      <c r="R131" s="1">
        <v>45051</v>
      </c>
      <c r="S131" s="1" t="s">
        <v>10239</v>
      </c>
      <c r="T131" t="s">
        <v>10250</v>
      </c>
      <c r="U131">
        <v>2023</v>
      </c>
      <c r="V131">
        <v>-11109000000</v>
      </c>
    </row>
    <row r="132" spans="5:22" x14ac:dyDescent="0.25">
      <c r="E132" t="s">
        <v>271</v>
      </c>
      <c r="F132">
        <v>31235</v>
      </c>
      <c r="G132" s="1">
        <v>45382</v>
      </c>
      <c r="H132" t="s">
        <v>272</v>
      </c>
      <c r="I132" t="s">
        <v>57</v>
      </c>
      <c r="J132" s="1">
        <v>45292</v>
      </c>
      <c r="K132">
        <v>32000000</v>
      </c>
      <c r="P132" t="s">
        <v>10305</v>
      </c>
      <c r="Q132" s="1">
        <v>44828</v>
      </c>
      <c r="R132" s="1">
        <v>45142</v>
      </c>
      <c r="S132" s="1" t="s">
        <v>10239</v>
      </c>
      <c r="T132" t="s">
        <v>10240</v>
      </c>
      <c r="U132">
        <v>2023</v>
      </c>
      <c r="V132">
        <v>-11109000000</v>
      </c>
    </row>
    <row r="133" spans="5:22" x14ac:dyDescent="0.25">
      <c r="E133" t="s">
        <v>273</v>
      </c>
      <c r="F133">
        <v>31462</v>
      </c>
      <c r="G133" s="1">
        <v>45382</v>
      </c>
      <c r="H133" t="s">
        <v>274</v>
      </c>
      <c r="I133" t="s">
        <v>213</v>
      </c>
      <c r="J133" s="1">
        <v>45292</v>
      </c>
      <c r="K133">
        <v>412100000</v>
      </c>
      <c r="P133" t="s">
        <v>10306</v>
      </c>
      <c r="Q133" s="1">
        <v>44828</v>
      </c>
      <c r="R133" s="1">
        <v>45233</v>
      </c>
      <c r="S133" s="1" t="s">
        <v>10242</v>
      </c>
      <c r="T133" t="s">
        <v>10243</v>
      </c>
      <c r="U133">
        <v>2023</v>
      </c>
      <c r="V133">
        <v>-11109000000</v>
      </c>
    </row>
    <row r="134" spans="5:22" x14ac:dyDescent="0.25">
      <c r="E134" t="s">
        <v>275</v>
      </c>
      <c r="F134">
        <v>31667</v>
      </c>
      <c r="G134" s="1">
        <v>45351</v>
      </c>
      <c r="H134" t="s">
        <v>276</v>
      </c>
      <c r="I134" t="s">
        <v>277</v>
      </c>
      <c r="J134" s="1">
        <v>45261</v>
      </c>
      <c r="K134">
        <v>-1614600</v>
      </c>
      <c r="P134" t="s">
        <v>10303</v>
      </c>
      <c r="Q134" s="1">
        <v>44926</v>
      </c>
      <c r="R134" s="1">
        <v>44960</v>
      </c>
      <c r="S134" s="1" t="s">
        <v>10239</v>
      </c>
      <c r="T134" t="s">
        <v>10248</v>
      </c>
      <c r="U134">
        <v>2023</v>
      </c>
      <c r="V134">
        <v>-12912000000</v>
      </c>
    </row>
    <row r="135" spans="5:22" x14ac:dyDescent="0.25">
      <c r="E135" t="s">
        <v>278</v>
      </c>
      <c r="F135">
        <v>31791</v>
      </c>
      <c r="G135" s="1">
        <v>45382</v>
      </c>
      <c r="H135" t="s">
        <v>279</v>
      </c>
      <c r="I135" t="s">
        <v>24</v>
      </c>
      <c r="J135" s="1">
        <v>45292</v>
      </c>
      <c r="K135">
        <v>26013000</v>
      </c>
      <c r="P135" t="s">
        <v>10304</v>
      </c>
      <c r="Q135" s="1">
        <v>45017</v>
      </c>
      <c r="R135" s="1">
        <v>45051</v>
      </c>
      <c r="S135" s="1" t="s">
        <v>10239</v>
      </c>
      <c r="T135" t="s">
        <v>10250</v>
      </c>
      <c r="U135">
        <v>2023</v>
      </c>
      <c r="V135">
        <v>-11746000000</v>
      </c>
    </row>
    <row r="136" spans="5:22" x14ac:dyDescent="0.25">
      <c r="E136" t="s">
        <v>280</v>
      </c>
      <c r="F136">
        <v>32604</v>
      </c>
      <c r="G136" s="1">
        <v>45382</v>
      </c>
      <c r="H136" t="s">
        <v>281</v>
      </c>
      <c r="I136" t="s">
        <v>137</v>
      </c>
      <c r="J136" s="1">
        <v>45292</v>
      </c>
      <c r="K136">
        <v>501000000</v>
      </c>
      <c r="P136" t="s">
        <v>10305</v>
      </c>
      <c r="Q136" s="1">
        <v>45108</v>
      </c>
      <c r="R136" s="1">
        <v>45142</v>
      </c>
      <c r="S136" s="1" t="s">
        <v>10239</v>
      </c>
      <c r="T136" t="s">
        <v>10240</v>
      </c>
      <c r="U136">
        <v>2023</v>
      </c>
      <c r="V136">
        <v>-11801000000</v>
      </c>
    </row>
    <row r="137" spans="5:22" x14ac:dyDescent="0.25">
      <c r="E137" t="s">
        <v>282</v>
      </c>
      <c r="F137">
        <v>33185</v>
      </c>
      <c r="G137" s="1">
        <v>45382</v>
      </c>
      <c r="H137" t="s">
        <v>283</v>
      </c>
      <c r="I137" t="s">
        <v>64</v>
      </c>
      <c r="J137" s="1">
        <v>45292</v>
      </c>
      <c r="K137">
        <v>124900000</v>
      </c>
      <c r="P137" t="s">
        <v>10306</v>
      </c>
      <c r="Q137" s="1">
        <v>45199</v>
      </c>
      <c r="R137" s="1">
        <v>45233</v>
      </c>
      <c r="S137" s="1" t="s">
        <v>10242</v>
      </c>
      <c r="T137" t="s">
        <v>10243</v>
      </c>
      <c r="U137">
        <v>2023</v>
      </c>
      <c r="V137">
        <v>-11452000000</v>
      </c>
    </row>
    <row r="138" spans="5:22" x14ac:dyDescent="0.25">
      <c r="E138" t="s">
        <v>284</v>
      </c>
      <c r="F138">
        <v>33213</v>
      </c>
      <c r="G138" s="1">
        <v>45382</v>
      </c>
      <c r="H138" t="s">
        <v>285</v>
      </c>
      <c r="I138" t="s">
        <v>39</v>
      </c>
      <c r="J138" s="1">
        <v>45292</v>
      </c>
      <c r="K138">
        <v>103488000</v>
      </c>
      <c r="P138" t="s">
        <v>10307</v>
      </c>
      <c r="Q138" s="1">
        <v>45199</v>
      </c>
      <c r="R138" s="1">
        <v>45324</v>
      </c>
      <c r="S138" s="1" t="s">
        <v>10239</v>
      </c>
      <c r="T138" t="s">
        <v>10248</v>
      </c>
      <c r="U138">
        <v>2024</v>
      </c>
      <c r="V138">
        <v>-11452000000</v>
      </c>
    </row>
    <row r="139" spans="5:22" x14ac:dyDescent="0.25">
      <c r="E139" t="s">
        <v>286</v>
      </c>
      <c r="F139">
        <v>33488</v>
      </c>
      <c r="G139" s="1">
        <v>45382</v>
      </c>
      <c r="H139" t="s">
        <v>287</v>
      </c>
      <c r="I139" t="s">
        <v>288</v>
      </c>
      <c r="J139" s="1">
        <v>45292</v>
      </c>
      <c r="K139">
        <v>1775000</v>
      </c>
      <c r="P139" t="s">
        <v>964</v>
      </c>
      <c r="Q139" s="1">
        <v>45199</v>
      </c>
      <c r="R139" s="1">
        <v>45415</v>
      </c>
      <c r="S139" s="1" t="s">
        <v>10239</v>
      </c>
      <c r="T139" t="s">
        <v>10250</v>
      </c>
      <c r="U139">
        <v>2024</v>
      </c>
      <c r="V139">
        <v>-11452000000</v>
      </c>
    </row>
    <row r="140" spans="5:22" x14ac:dyDescent="0.25">
      <c r="E140" t="s">
        <v>289</v>
      </c>
      <c r="F140">
        <v>33533</v>
      </c>
      <c r="G140" s="1">
        <v>45382</v>
      </c>
      <c r="H140" t="s">
        <v>290</v>
      </c>
      <c r="I140" t="s">
        <v>57</v>
      </c>
      <c r="J140" s="1">
        <v>45292</v>
      </c>
      <c r="K140">
        <v>1031930</v>
      </c>
      <c r="P140" t="s">
        <v>10308</v>
      </c>
      <c r="Q140" s="1">
        <v>45199</v>
      </c>
      <c r="R140" s="1">
        <v>45506</v>
      </c>
      <c r="S140" t="s">
        <v>10239</v>
      </c>
      <c r="T140" t="s">
        <v>10240</v>
      </c>
      <c r="U140">
        <v>2024</v>
      </c>
      <c r="V140">
        <v>-11452000000</v>
      </c>
    </row>
    <row r="141" spans="5:22" x14ac:dyDescent="0.25">
      <c r="E141" t="s">
        <v>291</v>
      </c>
      <c r="F141">
        <v>33992</v>
      </c>
      <c r="G141" s="1">
        <v>45382</v>
      </c>
      <c r="H141" t="s">
        <v>292</v>
      </c>
      <c r="I141" t="s">
        <v>57</v>
      </c>
      <c r="J141" s="1">
        <v>45292</v>
      </c>
      <c r="K141">
        <v>1426679</v>
      </c>
      <c r="P141" t="s">
        <v>10606</v>
      </c>
      <c r="Q141" s="1">
        <v>45199</v>
      </c>
      <c r="R141" s="1">
        <v>45597</v>
      </c>
      <c r="S141" t="s">
        <v>10242</v>
      </c>
      <c r="T141" t="s">
        <v>10243</v>
      </c>
      <c r="U141">
        <v>2024</v>
      </c>
      <c r="V141">
        <v>-11452000000</v>
      </c>
    </row>
    <row r="142" spans="5:22" x14ac:dyDescent="0.25">
      <c r="E142" t="s">
        <v>293</v>
      </c>
      <c r="F142">
        <v>34067</v>
      </c>
      <c r="G142" s="1">
        <v>45382</v>
      </c>
      <c r="H142" t="s">
        <v>294</v>
      </c>
      <c r="I142" t="s">
        <v>92</v>
      </c>
      <c r="J142" s="1">
        <v>45292</v>
      </c>
      <c r="K142">
        <v>2563000</v>
      </c>
      <c r="P142" t="s">
        <v>10307</v>
      </c>
      <c r="Q142" s="1">
        <v>45290</v>
      </c>
      <c r="R142" s="1">
        <v>45324</v>
      </c>
      <c r="S142" t="s">
        <v>10239</v>
      </c>
      <c r="T142" t="s">
        <v>10248</v>
      </c>
      <c r="U142">
        <v>2024</v>
      </c>
      <c r="V142">
        <v>-9378000000</v>
      </c>
    </row>
    <row r="143" spans="5:22" x14ac:dyDescent="0.25">
      <c r="E143" t="s">
        <v>295</v>
      </c>
      <c r="F143">
        <v>34088</v>
      </c>
      <c r="G143" s="1">
        <v>45382</v>
      </c>
      <c r="H143" t="s">
        <v>296</v>
      </c>
      <c r="I143" t="s">
        <v>30</v>
      </c>
      <c r="J143" s="1">
        <v>45292</v>
      </c>
      <c r="K143">
        <v>8220000000</v>
      </c>
      <c r="P143" t="s">
        <v>964</v>
      </c>
      <c r="Q143" s="1">
        <v>45381</v>
      </c>
      <c r="R143" s="1">
        <v>45415</v>
      </c>
      <c r="S143" t="s">
        <v>10239</v>
      </c>
      <c r="T143" t="s">
        <v>10250</v>
      </c>
      <c r="U143">
        <v>2024</v>
      </c>
      <c r="V143">
        <v>-8960000000</v>
      </c>
    </row>
    <row r="144" spans="5:22" x14ac:dyDescent="0.25">
      <c r="E144" t="s">
        <v>297</v>
      </c>
      <c r="F144">
        <v>34285</v>
      </c>
      <c r="G144" s="1">
        <v>45382</v>
      </c>
      <c r="H144" t="s">
        <v>298</v>
      </c>
      <c r="I144" t="s">
        <v>299</v>
      </c>
      <c r="J144" s="1">
        <v>45292</v>
      </c>
      <c r="K144">
        <v>-132000</v>
      </c>
      <c r="P144" t="s">
        <v>10308</v>
      </c>
      <c r="Q144" s="1">
        <v>45472</v>
      </c>
      <c r="R144" s="1">
        <v>45506</v>
      </c>
      <c r="S144" t="s">
        <v>10239</v>
      </c>
      <c r="T144" t="s">
        <v>10240</v>
      </c>
      <c r="U144">
        <v>2024</v>
      </c>
      <c r="V144">
        <v>-8416000000</v>
      </c>
    </row>
    <row r="145" spans="5:22" x14ac:dyDescent="0.25">
      <c r="E145" t="s">
        <v>300</v>
      </c>
      <c r="F145">
        <v>34563</v>
      </c>
      <c r="G145" s="1">
        <v>45382</v>
      </c>
      <c r="H145" t="s">
        <v>301</v>
      </c>
      <c r="I145" t="s">
        <v>30</v>
      </c>
      <c r="J145" s="1">
        <v>45292</v>
      </c>
      <c r="K145">
        <v>-682000</v>
      </c>
      <c r="P145" t="s">
        <v>10606</v>
      </c>
      <c r="Q145" s="1">
        <v>45563</v>
      </c>
      <c r="R145" s="1">
        <v>45597</v>
      </c>
      <c r="S145" t="s">
        <v>10242</v>
      </c>
      <c r="T145" t="s">
        <v>10243</v>
      </c>
      <c r="U145">
        <v>2024</v>
      </c>
      <c r="V145">
        <v>-7172000000</v>
      </c>
    </row>
    <row r="146" spans="5:22" x14ac:dyDescent="0.25">
      <c r="E146" t="s">
        <v>302</v>
      </c>
      <c r="F146">
        <v>34903</v>
      </c>
      <c r="G146" s="1">
        <v>45382</v>
      </c>
      <c r="H146" t="s">
        <v>303</v>
      </c>
      <c r="I146" t="s">
        <v>299</v>
      </c>
      <c r="J146" s="1">
        <v>45292</v>
      </c>
      <c r="K146">
        <v>56736000</v>
      </c>
    </row>
    <row r="147" spans="5:22" x14ac:dyDescent="0.25">
      <c r="E147" t="s">
        <v>304</v>
      </c>
      <c r="F147">
        <v>34956</v>
      </c>
      <c r="G147" s="1">
        <v>45382</v>
      </c>
      <c r="H147" t="s">
        <v>305</v>
      </c>
      <c r="I147" t="s">
        <v>172</v>
      </c>
      <c r="J147" s="1">
        <v>45292</v>
      </c>
      <c r="K147">
        <v>3798840</v>
      </c>
    </row>
    <row r="148" spans="5:22" x14ac:dyDescent="0.25">
      <c r="E148" t="s">
        <v>306</v>
      </c>
      <c r="F148">
        <v>35527</v>
      </c>
      <c r="G148" s="1">
        <v>45382</v>
      </c>
      <c r="H148" t="s">
        <v>307</v>
      </c>
      <c r="I148" t="s">
        <v>60</v>
      </c>
      <c r="J148" s="1">
        <v>45292</v>
      </c>
      <c r="K148">
        <v>520000000</v>
      </c>
    </row>
    <row r="149" spans="5:22" x14ac:dyDescent="0.25">
      <c r="E149" t="s">
        <v>308</v>
      </c>
      <c r="F149">
        <v>36029</v>
      </c>
      <c r="G149" s="1">
        <v>45382</v>
      </c>
      <c r="H149" t="s">
        <v>309</v>
      </c>
      <c r="I149" t="s">
        <v>30</v>
      </c>
      <c r="J149" s="1">
        <v>45292</v>
      </c>
      <c r="K149">
        <v>53397000</v>
      </c>
    </row>
    <row r="150" spans="5:22" x14ac:dyDescent="0.25">
      <c r="E150" t="s">
        <v>310</v>
      </c>
      <c r="F150">
        <v>36104</v>
      </c>
      <c r="G150" s="1">
        <v>45382</v>
      </c>
      <c r="H150" t="s">
        <v>311</v>
      </c>
      <c r="I150" t="s">
        <v>213</v>
      </c>
      <c r="J150" s="1">
        <v>45292</v>
      </c>
      <c r="K150">
        <v>1319000000</v>
      </c>
    </row>
    <row r="151" spans="5:22" x14ac:dyDescent="0.25">
      <c r="E151" t="s">
        <v>312</v>
      </c>
      <c r="F151">
        <v>36146</v>
      </c>
      <c r="G151" s="1">
        <v>45382</v>
      </c>
      <c r="H151" t="s">
        <v>313</v>
      </c>
      <c r="I151" t="s">
        <v>162</v>
      </c>
      <c r="J151" s="1">
        <v>45292</v>
      </c>
      <c r="K151">
        <v>41535000</v>
      </c>
    </row>
    <row r="152" spans="5:22" x14ac:dyDescent="0.25">
      <c r="E152" t="s">
        <v>314</v>
      </c>
      <c r="F152">
        <v>36270</v>
      </c>
      <c r="G152" s="1">
        <v>45382</v>
      </c>
      <c r="H152" t="s">
        <v>315</v>
      </c>
      <c r="I152" t="s">
        <v>57</v>
      </c>
      <c r="J152" s="1">
        <v>45292</v>
      </c>
      <c r="K152">
        <v>531000000</v>
      </c>
    </row>
    <row r="153" spans="5:22" x14ac:dyDescent="0.25">
      <c r="E153" t="s">
        <v>316</v>
      </c>
      <c r="F153">
        <v>36377</v>
      </c>
      <c r="G153" s="1">
        <v>45382</v>
      </c>
      <c r="H153" t="s">
        <v>317</v>
      </c>
      <c r="I153" t="s">
        <v>43</v>
      </c>
      <c r="J153" s="1">
        <v>45292</v>
      </c>
      <c r="K153">
        <v>54220000</v>
      </c>
    </row>
    <row r="154" spans="5:22" x14ac:dyDescent="0.25">
      <c r="E154" t="s">
        <v>318</v>
      </c>
      <c r="F154">
        <v>36840</v>
      </c>
      <c r="G154" s="1">
        <v>45412</v>
      </c>
      <c r="H154" t="s">
        <v>319</v>
      </c>
      <c r="I154" t="s">
        <v>46</v>
      </c>
      <c r="J154" s="1">
        <v>45323</v>
      </c>
      <c r="K154">
        <v>533000</v>
      </c>
    </row>
    <row r="155" spans="5:22" x14ac:dyDescent="0.25">
      <c r="E155" t="s">
        <v>320</v>
      </c>
      <c r="F155">
        <v>36966</v>
      </c>
      <c r="G155" s="1">
        <v>45382</v>
      </c>
      <c r="H155" t="s">
        <v>321</v>
      </c>
      <c r="I155" t="s">
        <v>69</v>
      </c>
      <c r="J155" s="1">
        <v>45292</v>
      </c>
      <c r="K155">
        <v>192000000</v>
      </c>
    </row>
    <row r="156" spans="5:22" x14ac:dyDescent="0.25">
      <c r="E156" t="s">
        <v>322</v>
      </c>
      <c r="F156">
        <v>37472</v>
      </c>
      <c r="G156" s="1">
        <v>45382</v>
      </c>
      <c r="H156" t="s">
        <v>323</v>
      </c>
      <c r="I156" t="s">
        <v>95</v>
      </c>
      <c r="J156" s="1">
        <v>45292</v>
      </c>
      <c r="K156">
        <v>1803000</v>
      </c>
    </row>
    <row r="157" spans="5:22" x14ac:dyDescent="0.25">
      <c r="E157" t="s">
        <v>324</v>
      </c>
      <c r="F157">
        <v>37785</v>
      </c>
      <c r="G157" s="1">
        <v>45382</v>
      </c>
      <c r="H157" t="s">
        <v>325</v>
      </c>
      <c r="I157" t="s">
        <v>39</v>
      </c>
      <c r="J157" s="1">
        <v>45292</v>
      </c>
      <c r="K157">
        <v>-2700000</v>
      </c>
    </row>
    <row r="158" spans="5:22" x14ac:dyDescent="0.25">
      <c r="E158" t="s">
        <v>326</v>
      </c>
      <c r="F158">
        <v>37808</v>
      </c>
      <c r="G158" s="1">
        <v>45382</v>
      </c>
      <c r="H158" t="s">
        <v>327</v>
      </c>
      <c r="I158" t="s">
        <v>39</v>
      </c>
      <c r="J158" s="1">
        <v>45292</v>
      </c>
      <c r="K158">
        <v>122000000</v>
      </c>
    </row>
    <row r="159" spans="5:22" x14ac:dyDescent="0.25">
      <c r="E159" t="s">
        <v>10322</v>
      </c>
      <c r="F159">
        <v>37996</v>
      </c>
      <c r="G159" s="1">
        <v>45382</v>
      </c>
      <c r="H159" t="s">
        <v>328</v>
      </c>
      <c r="I159" t="s">
        <v>329</v>
      </c>
      <c r="J159" s="1">
        <v>45292</v>
      </c>
      <c r="K159">
        <v>1332000000</v>
      </c>
    </row>
    <row r="160" spans="5:22" x14ac:dyDescent="0.25">
      <c r="E160" t="s">
        <v>330</v>
      </c>
      <c r="F160">
        <v>38009</v>
      </c>
      <c r="G160" s="1">
        <v>45382</v>
      </c>
      <c r="H160" t="s">
        <v>331</v>
      </c>
      <c r="I160" t="s">
        <v>329</v>
      </c>
      <c r="J160" s="1">
        <v>45292</v>
      </c>
      <c r="K160">
        <v>234000000</v>
      </c>
    </row>
    <row r="161" spans="5:11" x14ac:dyDescent="0.25">
      <c r="E161" t="s">
        <v>332</v>
      </c>
      <c r="F161">
        <v>38264</v>
      </c>
      <c r="G161" s="1">
        <v>45382</v>
      </c>
      <c r="H161" t="s">
        <v>333</v>
      </c>
      <c r="I161" t="s">
        <v>57</v>
      </c>
      <c r="J161" s="1">
        <v>45292</v>
      </c>
      <c r="K161">
        <v>-553214</v>
      </c>
    </row>
    <row r="162" spans="5:11" x14ac:dyDescent="0.25">
      <c r="E162" t="s">
        <v>334</v>
      </c>
      <c r="F162">
        <v>38723</v>
      </c>
      <c r="G162" s="1">
        <v>45382</v>
      </c>
      <c r="H162" t="s">
        <v>335</v>
      </c>
      <c r="I162" t="s">
        <v>64</v>
      </c>
      <c r="J162" s="1">
        <v>45292</v>
      </c>
      <c r="K162">
        <v>2095166</v>
      </c>
    </row>
    <row r="163" spans="5:11" x14ac:dyDescent="0.25">
      <c r="E163" t="s">
        <v>336</v>
      </c>
      <c r="F163">
        <v>38725</v>
      </c>
      <c r="G163" s="1">
        <v>45382</v>
      </c>
      <c r="H163" t="s">
        <v>337</v>
      </c>
      <c r="I163" t="s">
        <v>288</v>
      </c>
      <c r="J163" s="1">
        <v>45292</v>
      </c>
      <c r="K163">
        <v>32959000</v>
      </c>
    </row>
    <row r="164" spans="5:11" x14ac:dyDescent="0.25">
      <c r="E164" t="s">
        <v>338</v>
      </c>
      <c r="F164">
        <v>38777</v>
      </c>
      <c r="G164" s="1">
        <v>45382</v>
      </c>
      <c r="H164" t="s">
        <v>339</v>
      </c>
      <c r="I164" t="s">
        <v>36</v>
      </c>
      <c r="J164" s="1">
        <v>45292</v>
      </c>
      <c r="K164">
        <v>124200000</v>
      </c>
    </row>
    <row r="165" spans="5:11" x14ac:dyDescent="0.25">
      <c r="E165" t="s">
        <v>340</v>
      </c>
      <c r="F165">
        <v>39263</v>
      </c>
      <c r="G165" s="1">
        <v>45382</v>
      </c>
      <c r="H165" t="s">
        <v>341</v>
      </c>
      <c r="I165" t="s">
        <v>30</v>
      </c>
      <c r="J165" s="1">
        <v>45292</v>
      </c>
      <c r="K165">
        <v>135690000</v>
      </c>
    </row>
    <row r="166" spans="5:11" x14ac:dyDescent="0.25">
      <c r="E166" t="s">
        <v>342</v>
      </c>
      <c r="F166">
        <v>39311</v>
      </c>
      <c r="G166" s="1">
        <v>45382</v>
      </c>
      <c r="H166" t="s">
        <v>343</v>
      </c>
      <c r="I166" t="s">
        <v>329</v>
      </c>
      <c r="J166" s="1">
        <v>45292</v>
      </c>
      <c r="K166">
        <v>15991000</v>
      </c>
    </row>
    <row r="167" spans="5:11" x14ac:dyDescent="0.25">
      <c r="E167" t="s">
        <v>344</v>
      </c>
      <c r="F167">
        <v>39368</v>
      </c>
      <c r="G167" s="1">
        <v>45353</v>
      </c>
      <c r="H167" t="s">
        <v>345</v>
      </c>
      <c r="I167" t="s">
        <v>213</v>
      </c>
      <c r="J167" s="1">
        <v>45263</v>
      </c>
      <c r="K167">
        <v>30991000</v>
      </c>
    </row>
    <row r="168" spans="5:11" x14ac:dyDescent="0.25">
      <c r="E168" t="s">
        <v>346</v>
      </c>
      <c r="F168">
        <v>39899</v>
      </c>
      <c r="G168" s="1">
        <v>45382</v>
      </c>
      <c r="H168" t="s">
        <v>347</v>
      </c>
      <c r="I168" t="s">
        <v>123</v>
      </c>
      <c r="J168" s="1">
        <v>45292</v>
      </c>
      <c r="K168">
        <v>189560000</v>
      </c>
    </row>
    <row r="169" spans="5:11" x14ac:dyDescent="0.25">
      <c r="E169" t="s">
        <v>348</v>
      </c>
      <c r="F169">
        <v>39911</v>
      </c>
      <c r="G169" s="1">
        <v>45416</v>
      </c>
      <c r="H169" t="s">
        <v>349</v>
      </c>
      <c r="I169" t="s">
        <v>36</v>
      </c>
      <c r="J169" s="1">
        <v>45326</v>
      </c>
      <c r="K169">
        <v>158000000</v>
      </c>
    </row>
    <row r="170" spans="5:11" x14ac:dyDescent="0.25">
      <c r="E170" t="s">
        <v>350</v>
      </c>
      <c r="F170">
        <v>40211</v>
      </c>
      <c r="G170" s="1">
        <v>45382</v>
      </c>
      <c r="H170" t="s">
        <v>351</v>
      </c>
      <c r="I170" t="s">
        <v>19</v>
      </c>
      <c r="J170" s="1">
        <v>45292</v>
      </c>
      <c r="K170">
        <v>74300000</v>
      </c>
    </row>
    <row r="171" spans="5:11" x14ac:dyDescent="0.25">
      <c r="E171" t="s">
        <v>352</v>
      </c>
      <c r="F171">
        <v>40533</v>
      </c>
      <c r="G171" s="1">
        <v>45382</v>
      </c>
      <c r="H171" t="s">
        <v>353</v>
      </c>
      <c r="I171" t="s">
        <v>123</v>
      </c>
      <c r="J171" s="1">
        <v>45292</v>
      </c>
      <c r="K171">
        <v>799000000</v>
      </c>
    </row>
    <row r="172" spans="5:11" x14ac:dyDescent="0.25">
      <c r="E172" t="s">
        <v>354</v>
      </c>
      <c r="F172">
        <v>40545</v>
      </c>
      <c r="G172" s="1">
        <v>45382</v>
      </c>
      <c r="H172" t="s">
        <v>355</v>
      </c>
      <c r="I172" t="s">
        <v>60</v>
      </c>
      <c r="J172" s="1">
        <v>45292</v>
      </c>
      <c r="K172">
        <v>1537000000</v>
      </c>
    </row>
    <row r="173" spans="5:11" x14ac:dyDescent="0.25">
      <c r="E173" t="s">
        <v>356</v>
      </c>
      <c r="F173">
        <v>40570</v>
      </c>
      <c r="G173" s="1">
        <v>45382</v>
      </c>
      <c r="H173" t="s">
        <v>357</v>
      </c>
      <c r="I173" t="s">
        <v>33</v>
      </c>
      <c r="J173" s="1">
        <v>45292</v>
      </c>
      <c r="K173">
        <v>-1008000</v>
      </c>
    </row>
    <row r="174" spans="5:11" x14ac:dyDescent="0.25">
      <c r="E174" t="s">
        <v>358</v>
      </c>
      <c r="F174">
        <v>40704</v>
      </c>
      <c r="G174" s="1">
        <v>45347</v>
      </c>
      <c r="H174" t="s">
        <v>359</v>
      </c>
      <c r="I174" t="s">
        <v>213</v>
      </c>
      <c r="J174" s="1">
        <v>45257</v>
      </c>
      <c r="K174">
        <v>670100000</v>
      </c>
    </row>
    <row r="175" spans="5:11" x14ac:dyDescent="0.25">
      <c r="E175" t="s">
        <v>360</v>
      </c>
      <c r="F175">
        <v>40729</v>
      </c>
      <c r="G175" s="1">
        <v>45382</v>
      </c>
      <c r="H175" t="s">
        <v>361</v>
      </c>
      <c r="I175" t="s">
        <v>329</v>
      </c>
      <c r="J175" s="1">
        <v>45292</v>
      </c>
      <c r="K175">
        <v>157000000</v>
      </c>
    </row>
    <row r="176" spans="5:11" x14ac:dyDescent="0.25">
      <c r="E176" t="s">
        <v>362</v>
      </c>
      <c r="F176">
        <v>40987</v>
      </c>
      <c r="G176" s="1">
        <v>45382</v>
      </c>
      <c r="H176" t="s">
        <v>363</v>
      </c>
      <c r="I176" t="s">
        <v>64</v>
      </c>
      <c r="J176" s="1">
        <v>45292</v>
      </c>
      <c r="K176">
        <v>248894000</v>
      </c>
    </row>
    <row r="177" spans="5:11" x14ac:dyDescent="0.25">
      <c r="E177" t="s">
        <v>364</v>
      </c>
      <c r="F177">
        <v>41719</v>
      </c>
      <c r="G177" s="1">
        <v>45382</v>
      </c>
      <c r="H177" t="s">
        <v>365</v>
      </c>
      <c r="I177" t="s">
        <v>172</v>
      </c>
      <c r="J177" s="1">
        <v>45292</v>
      </c>
      <c r="K177">
        <v>-26347000</v>
      </c>
    </row>
    <row r="178" spans="5:11" x14ac:dyDescent="0.25">
      <c r="E178" t="s">
        <v>366</v>
      </c>
      <c r="F178">
        <v>42582</v>
      </c>
      <c r="G178" s="1">
        <v>45382</v>
      </c>
      <c r="H178" t="s">
        <v>367</v>
      </c>
      <c r="I178" t="s">
        <v>60</v>
      </c>
      <c r="J178" s="1">
        <v>45292</v>
      </c>
      <c r="K178">
        <v>-57000000</v>
      </c>
    </row>
    <row r="179" spans="5:11" x14ac:dyDescent="0.25">
      <c r="E179" t="s">
        <v>10323</v>
      </c>
      <c r="F179">
        <v>42682</v>
      </c>
      <c r="G179" s="1">
        <v>45382</v>
      </c>
      <c r="H179" t="s">
        <v>368</v>
      </c>
      <c r="I179" t="s">
        <v>60</v>
      </c>
      <c r="J179" s="1">
        <v>45292</v>
      </c>
      <c r="K179">
        <v>7884000</v>
      </c>
    </row>
    <row r="180" spans="5:11" x14ac:dyDescent="0.25">
      <c r="E180" t="s">
        <v>369</v>
      </c>
      <c r="F180">
        <v>42888</v>
      </c>
      <c r="G180" s="1">
        <v>45380</v>
      </c>
      <c r="H180" t="s">
        <v>370</v>
      </c>
      <c r="I180" t="s">
        <v>213</v>
      </c>
      <c r="J180" s="1">
        <v>45290</v>
      </c>
      <c r="K180">
        <v>122199000</v>
      </c>
    </row>
    <row r="181" spans="5:11" x14ac:dyDescent="0.25">
      <c r="E181" t="s">
        <v>371</v>
      </c>
      <c r="F181">
        <v>43196</v>
      </c>
      <c r="G181" s="1">
        <v>45382</v>
      </c>
      <c r="H181" t="s">
        <v>372</v>
      </c>
      <c r="I181" t="s">
        <v>64</v>
      </c>
      <c r="J181" s="1">
        <v>45292</v>
      </c>
      <c r="K181">
        <v>88000000</v>
      </c>
    </row>
    <row r="182" spans="5:11" x14ac:dyDescent="0.25">
      <c r="E182" t="s">
        <v>373</v>
      </c>
      <c r="F182">
        <v>43920</v>
      </c>
      <c r="G182" s="1">
        <v>45412</v>
      </c>
      <c r="H182" t="s">
        <v>374</v>
      </c>
      <c r="I182" t="s">
        <v>60</v>
      </c>
      <c r="J182" s="1">
        <v>45323</v>
      </c>
      <c r="K182">
        <v>44400000</v>
      </c>
    </row>
    <row r="183" spans="5:11" x14ac:dyDescent="0.25">
      <c r="E183" t="s">
        <v>375</v>
      </c>
      <c r="F183">
        <v>45012</v>
      </c>
      <c r="G183" s="1">
        <v>45382</v>
      </c>
      <c r="H183" t="s">
        <v>376</v>
      </c>
      <c r="I183" t="s">
        <v>30</v>
      </c>
      <c r="J183" s="1">
        <v>45292</v>
      </c>
      <c r="K183">
        <v>606000000</v>
      </c>
    </row>
    <row r="184" spans="5:11" x14ac:dyDescent="0.25">
      <c r="E184" t="s">
        <v>377</v>
      </c>
      <c r="F184">
        <v>45876</v>
      </c>
      <c r="G184" s="1">
        <v>45382</v>
      </c>
      <c r="H184" t="s">
        <v>378</v>
      </c>
      <c r="I184" t="s">
        <v>39</v>
      </c>
      <c r="J184" s="1">
        <v>45292</v>
      </c>
      <c r="K184">
        <v>-17962000</v>
      </c>
    </row>
    <row r="185" spans="5:11" x14ac:dyDescent="0.25">
      <c r="E185" t="s">
        <v>379</v>
      </c>
      <c r="F185">
        <v>45919</v>
      </c>
      <c r="G185" s="1">
        <v>45382</v>
      </c>
      <c r="H185" t="s">
        <v>380</v>
      </c>
      <c r="I185" t="s">
        <v>24</v>
      </c>
      <c r="J185" s="1">
        <v>45292</v>
      </c>
      <c r="K185">
        <v>-171000</v>
      </c>
    </row>
    <row r="186" spans="5:11" x14ac:dyDescent="0.25">
      <c r="E186" t="s">
        <v>10324</v>
      </c>
      <c r="F186">
        <v>46080</v>
      </c>
      <c r="G186" s="1">
        <v>45382</v>
      </c>
      <c r="H186" t="s">
        <v>381</v>
      </c>
      <c r="I186" t="s">
        <v>101</v>
      </c>
      <c r="J186" s="1">
        <v>45292</v>
      </c>
      <c r="K186">
        <v>58200000</v>
      </c>
    </row>
    <row r="187" spans="5:11" x14ac:dyDescent="0.25">
      <c r="E187" t="s">
        <v>382</v>
      </c>
      <c r="F187">
        <v>46195</v>
      </c>
      <c r="G187" s="1">
        <v>45382</v>
      </c>
      <c r="H187" t="s">
        <v>383</v>
      </c>
      <c r="I187" t="s">
        <v>43</v>
      </c>
      <c r="J187" s="1">
        <v>45292</v>
      </c>
      <c r="K187">
        <v>36391000</v>
      </c>
    </row>
    <row r="188" spans="5:11" x14ac:dyDescent="0.25">
      <c r="E188" t="s">
        <v>384</v>
      </c>
      <c r="F188">
        <v>46619</v>
      </c>
      <c r="G188" s="1">
        <v>45412</v>
      </c>
      <c r="H188" t="s">
        <v>385</v>
      </c>
      <c r="I188" t="s">
        <v>33</v>
      </c>
      <c r="J188" s="1">
        <v>45323</v>
      </c>
      <c r="K188">
        <v>123146000</v>
      </c>
    </row>
    <row r="189" spans="5:11" x14ac:dyDescent="0.25">
      <c r="E189" t="s">
        <v>386</v>
      </c>
      <c r="F189">
        <v>46765</v>
      </c>
      <c r="G189" s="1">
        <v>45382</v>
      </c>
      <c r="H189" t="s">
        <v>387</v>
      </c>
      <c r="I189" t="s">
        <v>277</v>
      </c>
      <c r="J189" s="1">
        <v>45292</v>
      </c>
      <c r="K189">
        <v>84831000</v>
      </c>
    </row>
    <row r="190" spans="5:11" x14ac:dyDescent="0.25">
      <c r="E190" t="s">
        <v>388</v>
      </c>
      <c r="F190">
        <v>47111</v>
      </c>
      <c r="G190" s="1">
        <v>45382</v>
      </c>
      <c r="H190" t="s">
        <v>389</v>
      </c>
      <c r="I190" t="s">
        <v>39</v>
      </c>
      <c r="J190" s="1">
        <v>45292</v>
      </c>
      <c r="K190">
        <v>797453000</v>
      </c>
    </row>
    <row r="191" spans="5:11" x14ac:dyDescent="0.25">
      <c r="E191" t="s">
        <v>10325</v>
      </c>
      <c r="F191">
        <v>47217</v>
      </c>
      <c r="G191" s="1">
        <v>45412</v>
      </c>
      <c r="H191" t="s">
        <v>10326</v>
      </c>
      <c r="I191" t="s">
        <v>36</v>
      </c>
      <c r="J191" s="1">
        <v>45323</v>
      </c>
      <c r="K191">
        <v>607000000</v>
      </c>
    </row>
    <row r="192" spans="5:11" x14ac:dyDescent="0.25">
      <c r="E192" t="s">
        <v>390</v>
      </c>
      <c r="F192">
        <v>47307</v>
      </c>
      <c r="G192" s="1">
        <v>45382</v>
      </c>
      <c r="H192" t="s">
        <v>391</v>
      </c>
      <c r="I192" t="s">
        <v>60</v>
      </c>
      <c r="J192" s="1">
        <v>45292</v>
      </c>
      <c r="K192">
        <v>2996885</v>
      </c>
    </row>
    <row r="193" spans="5:11" x14ac:dyDescent="0.25">
      <c r="E193" t="s">
        <v>392</v>
      </c>
      <c r="F193">
        <v>48287</v>
      </c>
      <c r="G193" s="1">
        <v>45381</v>
      </c>
      <c r="H193" t="s">
        <v>393</v>
      </c>
      <c r="I193" t="s">
        <v>95</v>
      </c>
      <c r="J193" s="1">
        <v>45291</v>
      </c>
      <c r="K193">
        <v>17700000</v>
      </c>
    </row>
    <row r="194" spans="5:11" x14ac:dyDescent="0.25">
      <c r="E194" t="s">
        <v>394</v>
      </c>
      <c r="F194">
        <v>48465</v>
      </c>
      <c r="G194" s="1">
        <v>45410</v>
      </c>
      <c r="H194" t="s">
        <v>395</v>
      </c>
      <c r="I194" t="s">
        <v>213</v>
      </c>
      <c r="J194" s="1">
        <v>45320</v>
      </c>
      <c r="K194">
        <v>189278000</v>
      </c>
    </row>
    <row r="195" spans="5:11" x14ac:dyDescent="0.25">
      <c r="E195" t="s">
        <v>396</v>
      </c>
      <c r="F195">
        <v>48898</v>
      </c>
      <c r="G195" s="1">
        <v>45382</v>
      </c>
      <c r="H195" t="s">
        <v>397</v>
      </c>
      <c r="I195" t="s">
        <v>27</v>
      </c>
      <c r="J195" s="1">
        <v>45292</v>
      </c>
      <c r="K195">
        <v>147800000</v>
      </c>
    </row>
    <row r="196" spans="5:11" x14ac:dyDescent="0.25">
      <c r="E196" t="s">
        <v>398</v>
      </c>
      <c r="F196">
        <v>49071</v>
      </c>
      <c r="G196" s="1">
        <v>45382</v>
      </c>
      <c r="H196" t="s">
        <v>399</v>
      </c>
      <c r="I196" t="s">
        <v>190</v>
      </c>
      <c r="J196" s="1">
        <v>45292</v>
      </c>
      <c r="K196">
        <v>741000000</v>
      </c>
    </row>
    <row r="197" spans="5:11" x14ac:dyDescent="0.25">
      <c r="E197" t="s">
        <v>400</v>
      </c>
      <c r="F197">
        <v>49196</v>
      </c>
      <c r="G197" s="1">
        <v>45382</v>
      </c>
      <c r="H197" t="s">
        <v>401</v>
      </c>
      <c r="I197" t="s">
        <v>60</v>
      </c>
      <c r="J197" s="1">
        <v>45292</v>
      </c>
      <c r="K197">
        <v>419000000</v>
      </c>
    </row>
    <row r="198" spans="5:11" x14ac:dyDescent="0.25">
      <c r="E198" t="s">
        <v>402</v>
      </c>
      <c r="F198">
        <v>49754</v>
      </c>
      <c r="G198" s="1">
        <v>45382</v>
      </c>
      <c r="H198" t="s">
        <v>403</v>
      </c>
      <c r="I198" t="s">
        <v>36</v>
      </c>
      <c r="J198" s="1">
        <v>45292</v>
      </c>
      <c r="K198">
        <v>17473000</v>
      </c>
    </row>
    <row r="199" spans="5:11" x14ac:dyDescent="0.25">
      <c r="E199" t="s">
        <v>404</v>
      </c>
      <c r="F199">
        <v>50471</v>
      </c>
      <c r="G199" s="1">
        <v>45382</v>
      </c>
      <c r="H199" t="s">
        <v>405</v>
      </c>
      <c r="I199" t="s">
        <v>406</v>
      </c>
      <c r="J199" s="1">
        <v>45292</v>
      </c>
      <c r="K199">
        <v>1550427</v>
      </c>
    </row>
    <row r="200" spans="5:11" x14ac:dyDescent="0.25">
      <c r="E200" t="s">
        <v>407</v>
      </c>
      <c r="F200">
        <v>50493</v>
      </c>
      <c r="G200" s="1">
        <v>45381</v>
      </c>
      <c r="H200" t="s">
        <v>408</v>
      </c>
      <c r="I200" t="s">
        <v>172</v>
      </c>
      <c r="J200" s="1">
        <v>45291</v>
      </c>
      <c r="K200">
        <v>31898626</v>
      </c>
    </row>
    <row r="201" spans="5:11" x14ac:dyDescent="0.25">
      <c r="E201" t="s">
        <v>409</v>
      </c>
      <c r="F201">
        <v>50725</v>
      </c>
      <c r="G201" s="1">
        <v>45382</v>
      </c>
      <c r="H201" t="s">
        <v>410</v>
      </c>
      <c r="I201" t="s">
        <v>57</v>
      </c>
      <c r="J201" s="1">
        <v>45292</v>
      </c>
      <c r="K201">
        <v>64143000</v>
      </c>
    </row>
    <row r="202" spans="5:11" x14ac:dyDescent="0.25">
      <c r="E202" t="s">
        <v>411</v>
      </c>
      <c r="F202">
        <v>50863</v>
      </c>
      <c r="G202" s="1">
        <v>45381</v>
      </c>
      <c r="H202" t="s">
        <v>412</v>
      </c>
      <c r="I202" t="s">
        <v>36</v>
      </c>
      <c r="J202" s="1">
        <v>45291</v>
      </c>
      <c r="K202">
        <v>-381000000</v>
      </c>
    </row>
    <row r="203" spans="5:11" x14ac:dyDescent="0.25">
      <c r="E203" t="s">
        <v>413</v>
      </c>
      <c r="F203">
        <v>51143</v>
      </c>
      <c r="G203" s="1">
        <v>45382</v>
      </c>
      <c r="H203" t="s">
        <v>414</v>
      </c>
      <c r="I203" t="s">
        <v>57</v>
      </c>
      <c r="J203" s="1">
        <v>45292</v>
      </c>
      <c r="K203">
        <v>1605000000</v>
      </c>
    </row>
    <row r="204" spans="5:11" x14ac:dyDescent="0.25">
      <c r="E204" t="s">
        <v>415</v>
      </c>
      <c r="F204">
        <v>51253</v>
      </c>
      <c r="G204" s="1">
        <v>45382</v>
      </c>
      <c r="H204" t="s">
        <v>416</v>
      </c>
      <c r="I204" t="s">
        <v>57</v>
      </c>
      <c r="J204" s="1">
        <v>45292</v>
      </c>
      <c r="K204">
        <v>60000000</v>
      </c>
    </row>
    <row r="205" spans="5:11" x14ac:dyDescent="0.25">
      <c r="E205" t="s">
        <v>417</v>
      </c>
      <c r="F205">
        <v>51644</v>
      </c>
      <c r="G205" s="1">
        <v>45382</v>
      </c>
      <c r="H205" t="s">
        <v>418</v>
      </c>
      <c r="I205" t="s">
        <v>57</v>
      </c>
      <c r="J205" s="1">
        <v>45292</v>
      </c>
      <c r="K205">
        <v>110400000</v>
      </c>
    </row>
    <row r="206" spans="5:11" x14ac:dyDescent="0.25">
      <c r="E206" t="s">
        <v>419</v>
      </c>
      <c r="F206">
        <v>52827</v>
      </c>
      <c r="G206" s="1">
        <v>45382</v>
      </c>
      <c r="H206" t="s">
        <v>420</v>
      </c>
      <c r="I206" t="s">
        <v>33</v>
      </c>
      <c r="J206" s="1">
        <v>45292</v>
      </c>
      <c r="K206">
        <v>1357000</v>
      </c>
    </row>
    <row r="207" spans="5:11" x14ac:dyDescent="0.25">
      <c r="E207" t="s">
        <v>421</v>
      </c>
      <c r="F207">
        <v>52988</v>
      </c>
      <c r="G207" s="1">
        <v>45380</v>
      </c>
      <c r="H207" t="s">
        <v>422</v>
      </c>
      <c r="I207" t="s">
        <v>30</v>
      </c>
      <c r="J207" s="1">
        <v>45290</v>
      </c>
      <c r="K207">
        <v>162112000</v>
      </c>
    </row>
    <row r="208" spans="5:11" x14ac:dyDescent="0.25">
      <c r="E208" t="s">
        <v>423</v>
      </c>
      <c r="F208">
        <v>54187</v>
      </c>
      <c r="G208" s="1">
        <v>45412</v>
      </c>
      <c r="H208" t="s">
        <v>424</v>
      </c>
      <c r="I208" t="s">
        <v>57</v>
      </c>
      <c r="J208" s="1">
        <v>45323</v>
      </c>
      <c r="K208">
        <v>-84880</v>
      </c>
    </row>
    <row r="209" spans="5:11" x14ac:dyDescent="0.25">
      <c r="E209" t="s">
        <v>425</v>
      </c>
      <c r="F209">
        <v>55067</v>
      </c>
      <c r="G209" s="1">
        <v>45381</v>
      </c>
      <c r="H209" t="s">
        <v>426</v>
      </c>
      <c r="I209" t="s">
        <v>19</v>
      </c>
      <c r="J209" s="1">
        <v>45291</v>
      </c>
      <c r="K209">
        <v>267000000</v>
      </c>
    </row>
    <row r="210" spans="5:11" x14ac:dyDescent="0.25">
      <c r="E210" t="s">
        <v>427</v>
      </c>
      <c r="F210">
        <v>55135</v>
      </c>
      <c r="G210" s="1">
        <v>45382</v>
      </c>
      <c r="H210" t="s">
        <v>428</v>
      </c>
      <c r="I210" t="s">
        <v>329</v>
      </c>
      <c r="J210" s="1">
        <v>45292</v>
      </c>
      <c r="K210">
        <v>25800000</v>
      </c>
    </row>
    <row r="211" spans="5:11" x14ac:dyDescent="0.25">
      <c r="E211" t="s">
        <v>429</v>
      </c>
      <c r="F211">
        <v>55234</v>
      </c>
      <c r="G211" s="1">
        <v>45382</v>
      </c>
      <c r="H211" t="s">
        <v>430</v>
      </c>
      <c r="I211" t="s">
        <v>33</v>
      </c>
      <c r="J211" s="1">
        <v>45292</v>
      </c>
      <c r="K211">
        <v>-81413</v>
      </c>
    </row>
    <row r="212" spans="5:11" x14ac:dyDescent="0.25">
      <c r="E212" t="s">
        <v>431</v>
      </c>
      <c r="F212">
        <v>55242</v>
      </c>
      <c r="G212" s="1">
        <v>45382</v>
      </c>
      <c r="H212" t="s">
        <v>432</v>
      </c>
      <c r="I212" t="s">
        <v>39</v>
      </c>
      <c r="J212" s="1">
        <v>45292</v>
      </c>
      <c r="K212">
        <v>18976000</v>
      </c>
    </row>
    <row r="213" spans="5:11" x14ac:dyDescent="0.25">
      <c r="E213" t="s">
        <v>433</v>
      </c>
      <c r="F213">
        <v>55785</v>
      </c>
      <c r="G213" s="1">
        <v>45382</v>
      </c>
      <c r="H213" t="s">
        <v>434</v>
      </c>
      <c r="I213" t="s">
        <v>30</v>
      </c>
      <c r="J213" s="1">
        <v>45292</v>
      </c>
      <c r="K213">
        <v>647000000</v>
      </c>
    </row>
    <row r="214" spans="5:11" x14ac:dyDescent="0.25">
      <c r="E214" t="s">
        <v>435</v>
      </c>
      <c r="F214">
        <v>56047</v>
      </c>
      <c r="G214" s="1">
        <v>45382</v>
      </c>
      <c r="H214" t="s">
        <v>436</v>
      </c>
      <c r="I214" t="s">
        <v>30</v>
      </c>
      <c r="J214" s="1">
        <v>45292</v>
      </c>
      <c r="K214">
        <v>70068000</v>
      </c>
    </row>
    <row r="215" spans="5:11" x14ac:dyDescent="0.25">
      <c r="E215" t="s">
        <v>437</v>
      </c>
      <c r="F215">
        <v>56701</v>
      </c>
      <c r="G215" s="1">
        <v>45382</v>
      </c>
      <c r="H215" t="s">
        <v>438</v>
      </c>
      <c r="I215" t="s">
        <v>83</v>
      </c>
      <c r="J215" s="1">
        <v>45292</v>
      </c>
      <c r="K215">
        <v>-313780</v>
      </c>
    </row>
    <row r="216" spans="5:11" x14ac:dyDescent="0.25">
      <c r="E216" t="s">
        <v>439</v>
      </c>
      <c r="F216">
        <v>56868</v>
      </c>
      <c r="G216" s="1">
        <v>45382</v>
      </c>
      <c r="H216" t="s">
        <v>440</v>
      </c>
      <c r="I216" t="s">
        <v>30</v>
      </c>
      <c r="J216" s="1">
        <v>45292</v>
      </c>
      <c r="K216">
        <v>11319000</v>
      </c>
    </row>
    <row r="217" spans="5:11" x14ac:dyDescent="0.25">
      <c r="E217" t="s">
        <v>441</v>
      </c>
      <c r="F217">
        <v>56978</v>
      </c>
      <c r="G217" s="1">
        <v>45381</v>
      </c>
      <c r="H217" t="s">
        <v>442</v>
      </c>
      <c r="I217" t="s">
        <v>39</v>
      </c>
      <c r="J217" s="1">
        <v>45291</v>
      </c>
      <c r="K217">
        <v>-102680000</v>
      </c>
    </row>
    <row r="218" spans="5:11" x14ac:dyDescent="0.25">
      <c r="E218" t="s">
        <v>443</v>
      </c>
      <c r="F218">
        <v>57515</v>
      </c>
      <c r="G218" s="1">
        <v>45382</v>
      </c>
      <c r="H218" t="s">
        <v>444</v>
      </c>
      <c r="I218" t="s">
        <v>60</v>
      </c>
      <c r="J218" s="1">
        <v>45292</v>
      </c>
      <c r="K218">
        <v>28350000</v>
      </c>
    </row>
    <row r="219" spans="5:11" x14ac:dyDescent="0.25">
      <c r="E219" t="s">
        <v>445</v>
      </c>
      <c r="F219">
        <v>58361</v>
      </c>
      <c r="G219" s="1">
        <v>45375</v>
      </c>
      <c r="H219" t="s">
        <v>446</v>
      </c>
      <c r="I219" t="s">
        <v>95</v>
      </c>
      <c r="J219" s="1">
        <v>45285</v>
      </c>
      <c r="K219">
        <v>-12179000</v>
      </c>
    </row>
    <row r="220" spans="5:11" x14ac:dyDescent="0.25">
      <c r="E220" t="s">
        <v>447</v>
      </c>
      <c r="F220">
        <v>58492</v>
      </c>
      <c r="G220" s="1">
        <v>45382</v>
      </c>
      <c r="H220" t="s">
        <v>448</v>
      </c>
      <c r="I220" t="s">
        <v>137</v>
      </c>
      <c r="J220" s="1">
        <v>45292</v>
      </c>
      <c r="K220">
        <v>31600000</v>
      </c>
    </row>
    <row r="221" spans="5:11" x14ac:dyDescent="0.25">
      <c r="E221" t="s">
        <v>449</v>
      </c>
      <c r="F221">
        <v>59255</v>
      </c>
      <c r="G221" s="1">
        <v>45382</v>
      </c>
      <c r="H221" t="s">
        <v>450</v>
      </c>
      <c r="I221" t="s">
        <v>30</v>
      </c>
      <c r="J221" s="1">
        <v>45292</v>
      </c>
      <c r="K221">
        <v>7800000</v>
      </c>
    </row>
    <row r="222" spans="5:11" x14ac:dyDescent="0.25">
      <c r="E222" t="s">
        <v>451</v>
      </c>
      <c r="F222">
        <v>59440</v>
      </c>
      <c r="G222" s="1">
        <v>45382</v>
      </c>
      <c r="H222" t="s">
        <v>452</v>
      </c>
      <c r="I222" t="s">
        <v>33</v>
      </c>
      <c r="J222" s="1">
        <v>45292</v>
      </c>
      <c r="K222">
        <v>34800000</v>
      </c>
    </row>
    <row r="223" spans="5:11" x14ac:dyDescent="0.25">
      <c r="E223" t="s">
        <v>453</v>
      </c>
      <c r="F223">
        <v>59478</v>
      </c>
      <c r="G223" s="1">
        <v>45382</v>
      </c>
      <c r="H223" t="s">
        <v>454</v>
      </c>
      <c r="I223" t="s">
        <v>288</v>
      </c>
      <c r="J223" s="1">
        <v>45292</v>
      </c>
      <c r="K223">
        <v>2242900000</v>
      </c>
    </row>
    <row r="224" spans="5:11" x14ac:dyDescent="0.25">
      <c r="E224" t="s">
        <v>10327</v>
      </c>
      <c r="F224">
        <v>59527</v>
      </c>
      <c r="G224" s="1">
        <v>45382</v>
      </c>
      <c r="H224" t="s">
        <v>455</v>
      </c>
      <c r="I224" t="s">
        <v>60</v>
      </c>
      <c r="J224" s="1">
        <v>45292</v>
      </c>
      <c r="K224">
        <v>123415000</v>
      </c>
    </row>
    <row r="225" spans="5:11" x14ac:dyDescent="0.25">
      <c r="E225" t="s">
        <v>456</v>
      </c>
      <c r="F225">
        <v>59558</v>
      </c>
      <c r="G225" s="1">
        <v>45382</v>
      </c>
      <c r="H225" t="s">
        <v>457</v>
      </c>
      <c r="I225" t="s">
        <v>39</v>
      </c>
      <c r="J225" s="1">
        <v>45292</v>
      </c>
      <c r="K225">
        <v>1222000000</v>
      </c>
    </row>
    <row r="226" spans="5:11" x14ac:dyDescent="0.25">
      <c r="E226" t="s">
        <v>458</v>
      </c>
      <c r="F226">
        <v>60086</v>
      </c>
      <c r="G226" s="1">
        <v>45382</v>
      </c>
      <c r="H226" t="s">
        <v>459</v>
      </c>
      <c r="I226" t="s">
        <v>57</v>
      </c>
      <c r="J226" s="1">
        <v>45292</v>
      </c>
      <c r="K226">
        <v>457000000</v>
      </c>
    </row>
    <row r="227" spans="5:11" x14ac:dyDescent="0.25">
      <c r="E227" t="s">
        <v>460</v>
      </c>
      <c r="F227">
        <v>60519</v>
      </c>
      <c r="G227" s="1">
        <v>45382</v>
      </c>
      <c r="H227" t="s">
        <v>461</v>
      </c>
      <c r="I227" t="s">
        <v>69</v>
      </c>
      <c r="J227" s="1">
        <v>45292</v>
      </c>
      <c r="K227">
        <v>108000000</v>
      </c>
    </row>
    <row r="228" spans="5:11" x14ac:dyDescent="0.25">
      <c r="E228" t="s">
        <v>462</v>
      </c>
      <c r="F228">
        <v>60667</v>
      </c>
      <c r="G228" s="1">
        <v>45415</v>
      </c>
      <c r="H228" t="s">
        <v>463</v>
      </c>
      <c r="I228" t="s">
        <v>172</v>
      </c>
      <c r="J228" s="1">
        <v>45325</v>
      </c>
      <c r="K228">
        <v>1755000000</v>
      </c>
    </row>
    <row r="229" spans="5:11" x14ac:dyDescent="0.25">
      <c r="E229" t="s">
        <v>10328</v>
      </c>
      <c r="F229">
        <v>60714</v>
      </c>
      <c r="G229" s="1">
        <v>45382</v>
      </c>
      <c r="H229" t="s">
        <v>464</v>
      </c>
      <c r="I229" t="s">
        <v>277</v>
      </c>
      <c r="J229" s="1">
        <v>45292</v>
      </c>
      <c r="K229">
        <v>5623000</v>
      </c>
    </row>
    <row r="230" spans="5:11" x14ac:dyDescent="0.25">
      <c r="E230" t="s">
        <v>465</v>
      </c>
      <c r="F230">
        <v>61004</v>
      </c>
      <c r="G230" s="1">
        <v>45382</v>
      </c>
      <c r="H230" t="s">
        <v>466</v>
      </c>
      <c r="I230" t="s">
        <v>33</v>
      </c>
      <c r="J230" s="1">
        <v>45292</v>
      </c>
      <c r="K230">
        <v>21000</v>
      </c>
    </row>
    <row r="231" spans="5:11" x14ac:dyDescent="0.25">
      <c r="E231" t="s">
        <v>467</v>
      </c>
      <c r="F231">
        <v>61398</v>
      </c>
      <c r="G231" s="1">
        <v>45382</v>
      </c>
      <c r="H231" t="s">
        <v>468</v>
      </c>
      <c r="I231" t="s">
        <v>30</v>
      </c>
      <c r="J231" s="1">
        <v>45292</v>
      </c>
      <c r="K231">
        <v>-44014000</v>
      </c>
    </row>
    <row r="232" spans="5:11" x14ac:dyDescent="0.25">
      <c r="E232" t="s">
        <v>469</v>
      </c>
      <c r="F232">
        <v>61986</v>
      </c>
      <c r="G232" s="1">
        <v>45382</v>
      </c>
      <c r="H232" t="s">
        <v>470</v>
      </c>
      <c r="I232" t="s">
        <v>83</v>
      </c>
      <c r="J232" s="1">
        <v>45292</v>
      </c>
      <c r="K232">
        <v>4500000</v>
      </c>
    </row>
    <row r="233" spans="5:11" x14ac:dyDescent="0.25">
      <c r="E233" t="s">
        <v>471</v>
      </c>
      <c r="F233">
        <v>62234</v>
      </c>
      <c r="G233" s="1">
        <v>45379</v>
      </c>
      <c r="H233" t="s">
        <v>472</v>
      </c>
      <c r="I233" t="s">
        <v>83</v>
      </c>
      <c r="J233" s="1">
        <v>45289</v>
      </c>
      <c r="K233">
        <v>-11866000</v>
      </c>
    </row>
    <row r="234" spans="5:11" x14ac:dyDescent="0.25">
      <c r="E234" t="s">
        <v>473</v>
      </c>
      <c r="F234">
        <v>62709</v>
      </c>
      <c r="G234" s="1">
        <v>45382</v>
      </c>
      <c r="H234" t="s">
        <v>474</v>
      </c>
      <c r="I234" t="s">
        <v>57</v>
      </c>
      <c r="J234" s="1">
        <v>45292</v>
      </c>
      <c r="K234">
        <v>1400000000</v>
      </c>
    </row>
    <row r="235" spans="5:11" x14ac:dyDescent="0.25">
      <c r="E235" t="s">
        <v>475</v>
      </c>
      <c r="F235">
        <v>62996</v>
      </c>
      <c r="G235" s="1">
        <v>45382</v>
      </c>
      <c r="H235" t="s">
        <v>476</v>
      </c>
      <c r="I235" t="s">
        <v>329</v>
      </c>
      <c r="J235" s="1">
        <v>45292</v>
      </c>
      <c r="K235">
        <v>215000000</v>
      </c>
    </row>
    <row r="236" spans="5:11" x14ac:dyDescent="0.25">
      <c r="E236" t="s">
        <v>10329</v>
      </c>
      <c r="F236">
        <v>63276</v>
      </c>
      <c r="G236" s="1">
        <v>45382</v>
      </c>
      <c r="H236" t="s">
        <v>477</v>
      </c>
      <c r="I236" t="s">
        <v>36</v>
      </c>
      <c r="J236" s="1">
        <v>45292</v>
      </c>
      <c r="K236">
        <v>-28281000</v>
      </c>
    </row>
    <row r="237" spans="5:11" x14ac:dyDescent="0.25">
      <c r="E237" t="s">
        <v>478</v>
      </c>
      <c r="F237">
        <v>63296</v>
      </c>
      <c r="G237" s="1">
        <v>45382</v>
      </c>
      <c r="H237" t="s">
        <v>479</v>
      </c>
      <c r="I237" t="s">
        <v>39</v>
      </c>
      <c r="J237" s="1">
        <v>45292</v>
      </c>
      <c r="K237">
        <v>9027000</v>
      </c>
    </row>
    <row r="238" spans="5:11" x14ac:dyDescent="0.25">
      <c r="E238" t="s">
        <v>480</v>
      </c>
      <c r="F238">
        <v>63330</v>
      </c>
      <c r="G238" s="1">
        <v>45382</v>
      </c>
      <c r="H238" t="s">
        <v>481</v>
      </c>
      <c r="I238" t="s">
        <v>43</v>
      </c>
      <c r="J238" s="1">
        <v>45292</v>
      </c>
      <c r="K238">
        <v>-1375000</v>
      </c>
    </row>
    <row r="239" spans="5:11" x14ac:dyDescent="0.25">
      <c r="E239" t="s">
        <v>482</v>
      </c>
      <c r="F239">
        <v>63754</v>
      </c>
      <c r="G239" s="1">
        <v>45351</v>
      </c>
      <c r="H239" t="s">
        <v>483</v>
      </c>
      <c r="I239" t="s">
        <v>299</v>
      </c>
      <c r="J239" s="1">
        <v>45261</v>
      </c>
      <c r="K239">
        <v>166000000</v>
      </c>
    </row>
    <row r="240" spans="5:11" x14ac:dyDescent="0.25">
      <c r="E240" t="s">
        <v>484</v>
      </c>
      <c r="F240">
        <v>63908</v>
      </c>
      <c r="G240" s="1">
        <v>45382</v>
      </c>
      <c r="H240" t="s">
        <v>485</v>
      </c>
      <c r="I240" t="s">
        <v>19</v>
      </c>
      <c r="J240" s="1">
        <v>45292</v>
      </c>
      <c r="K240">
        <v>1929000000</v>
      </c>
    </row>
    <row r="241" spans="5:11" x14ac:dyDescent="0.25">
      <c r="E241" t="s">
        <v>486</v>
      </c>
      <c r="F241">
        <v>64040</v>
      </c>
      <c r="G241" s="1">
        <v>45382</v>
      </c>
      <c r="H241" t="s">
        <v>487</v>
      </c>
      <c r="I241" t="s">
        <v>57</v>
      </c>
      <c r="J241" s="1">
        <v>45292</v>
      </c>
      <c r="K241">
        <v>991000000</v>
      </c>
    </row>
    <row r="242" spans="5:11" x14ac:dyDescent="0.25">
      <c r="E242" t="s">
        <v>488</v>
      </c>
      <c r="F242">
        <v>64463</v>
      </c>
      <c r="G242" s="1">
        <v>45382</v>
      </c>
      <c r="H242" t="s">
        <v>489</v>
      </c>
      <c r="I242" t="s">
        <v>57</v>
      </c>
      <c r="J242" s="1">
        <v>45292</v>
      </c>
      <c r="K242">
        <v>-5254000</v>
      </c>
    </row>
    <row r="243" spans="5:11" x14ac:dyDescent="0.25">
      <c r="E243" t="s">
        <v>490</v>
      </c>
      <c r="F243">
        <v>64472</v>
      </c>
      <c r="G243" s="1">
        <v>45382</v>
      </c>
      <c r="H243" t="s">
        <v>491</v>
      </c>
      <c r="I243" t="s">
        <v>33</v>
      </c>
      <c r="J243" s="1">
        <v>45292</v>
      </c>
      <c r="K243">
        <v>6222000</v>
      </c>
    </row>
    <row r="244" spans="5:11" x14ac:dyDescent="0.25">
      <c r="E244" t="s">
        <v>492</v>
      </c>
      <c r="F244">
        <v>64803</v>
      </c>
      <c r="G244" s="1">
        <v>45382</v>
      </c>
      <c r="H244" t="s">
        <v>493</v>
      </c>
      <c r="I244" t="s">
        <v>101</v>
      </c>
      <c r="J244" s="1">
        <v>45292</v>
      </c>
      <c r="K244">
        <v>1113000000</v>
      </c>
    </row>
    <row r="245" spans="5:11" x14ac:dyDescent="0.25">
      <c r="E245" t="s">
        <v>494</v>
      </c>
      <c r="F245">
        <v>64996</v>
      </c>
      <c r="G245" s="1">
        <v>45382</v>
      </c>
      <c r="H245" t="s">
        <v>495</v>
      </c>
      <c r="I245" t="s">
        <v>36</v>
      </c>
      <c r="J245" s="1">
        <v>45292</v>
      </c>
      <c r="K245">
        <v>73462000</v>
      </c>
    </row>
    <row r="246" spans="5:11" x14ac:dyDescent="0.25">
      <c r="E246" t="s">
        <v>496</v>
      </c>
      <c r="F246">
        <v>65172</v>
      </c>
      <c r="G246" s="1">
        <v>45412</v>
      </c>
      <c r="H246" t="s">
        <v>497</v>
      </c>
      <c r="I246" t="s">
        <v>57</v>
      </c>
      <c r="J246" s="1">
        <v>45323</v>
      </c>
      <c r="K246">
        <v>3483785</v>
      </c>
    </row>
    <row r="247" spans="5:11" x14ac:dyDescent="0.25">
      <c r="E247" t="s">
        <v>498</v>
      </c>
      <c r="F247">
        <v>65312</v>
      </c>
      <c r="G247" s="1">
        <v>45382</v>
      </c>
      <c r="H247" t="s">
        <v>499</v>
      </c>
      <c r="I247" t="s">
        <v>33</v>
      </c>
      <c r="J247" s="1">
        <v>45292</v>
      </c>
      <c r="K247">
        <v>956000</v>
      </c>
    </row>
    <row r="248" spans="5:11" x14ac:dyDescent="0.25">
      <c r="E248" t="s">
        <v>500</v>
      </c>
      <c r="F248">
        <v>65759</v>
      </c>
      <c r="G248" s="1">
        <v>45346</v>
      </c>
      <c r="H248" t="s">
        <v>501</v>
      </c>
      <c r="I248" t="s">
        <v>30</v>
      </c>
      <c r="J248" s="1">
        <v>45261</v>
      </c>
      <c r="K248">
        <v>177000</v>
      </c>
    </row>
    <row r="249" spans="5:11" x14ac:dyDescent="0.25">
      <c r="E249" t="s">
        <v>502</v>
      </c>
      <c r="F249">
        <v>65770</v>
      </c>
      <c r="G249" s="1">
        <v>45382</v>
      </c>
      <c r="H249" t="s">
        <v>503</v>
      </c>
      <c r="I249" t="s">
        <v>504</v>
      </c>
      <c r="J249" s="1">
        <v>45292</v>
      </c>
      <c r="K249">
        <v>-26313000</v>
      </c>
    </row>
    <row r="250" spans="5:11" x14ac:dyDescent="0.25">
      <c r="E250" t="s">
        <v>10330</v>
      </c>
      <c r="F250">
        <v>66004</v>
      </c>
      <c r="G250" s="1">
        <v>45382</v>
      </c>
      <c r="H250" t="s">
        <v>505</v>
      </c>
      <c r="I250" t="s">
        <v>46</v>
      </c>
      <c r="J250" s="1">
        <v>45292</v>
      </c>
      <c r="K250">
        <v>10682000</v>
      </c>
    </row>
    <row r="251" spans="5:11" x14ac:dyDescent="0.25">
      <c r="E251" t="s">
        <v>506</v>
      </c>
      <c r="F251">
        <v>66382</v>
      </c>
      <c r="G251" s="1">
        <v>45353</v>
      </c>
      <c r="H251" t="s">
        <v>507</v>
      </c>
      <c r="I251" t="s">
        <v>329</v>
      </c>
      <c r="J251" s="1">
        <v>45263</v>
      </c>
      <c r="K251">
        <v>22200000</v>
      </c>
    </row>
    <row r="252" spans="5:11" x14ac:dyDescent="0.25">
      <c r="E252" t="s">
        <v>508</v>
      </c>
      <c r="F252">
        <v>66570</v>
      </c>
      <c r="G252" s="1">
        <v>45382</v>
      </c>
      <c r="H252" t="s">
        <v>509</v>
      </c>
      <c r="I252" t="s">
        <v>39</v>
      </c>
      <c r="J252" s="1">
        <v>45292</v>
      </c>
      <c r="K252">
        <v>58139000</v>
      </c>
    </row>
    <row r="253" spans="5:11" x14ac:dyDescent="0.25">
      <c r="E253" t="s">
        <v>510</v>
      </c>
      <c r="F253">
        <v>66740</v>
      </c>
      <c r="G253" s="1">
        <v>45382</v>
      </c>
      <c r="H253" t="s">
        <v>511</v>
      </c>
      <c r="I253" t="s">
        <v>213</v>
      </c>
      <c r="J253" s="1">
        <v>45292</v>
      </c>
      <c r="K253">
        <v>928000000</v>
      </c>
    </row>
    <row r="254" spans="5:11" x14ac:dyDescent="0.25">
      <c r="E254" t="s">
        <v>512</v>
      </c>
      <c r="F254">
        <v>66756</v>
      </c>
      <c r="G254" s="1">
        <v>45382</v>
      </c>
      <c r="H254" t="s">
        <v>513</v>
      </c>
      <c r="I254" t="s">
        <v>213</v>
      </c>
      <c r="J254" s="1">
        <v>45292</v>
      </c>
      <c r="K254">
        <v>50700000</v>
      </c>
    </row>
    <row r="255" spans="5:11" x14ac:dyDescent="0.25">
      <c r="E255" t="s">
        <v>514</v>
      </c>
      <c r="F255">
        <v>67215</v>
      </c>
      <c r="G255" s="1">
        <v>45409</v>
      </c>
      <c r="H255" t="s">
        <v>515</v>
      </c>
      <c r="I255" t="s">
        <v>33</v>
      </c>
      <c r="J255" s="1">
        <v>45319</v>
      </c>
      <c r="K255">
        <v>62554000</v>
      </c>
    </row>
    <row r="256" spans="5:11" x14ac:dyDescent="0.25">
      <c r="E256" t="s">
        <v>516</v>
      </c>
      <c r="F256">
        <v>67716</v>
      </c>
      <c r="G256" s="1">
        <v>45382</v>
      </c>
      <c r="H256" t="s">
        <v>517</v>
      </c>
      <c r="I256" t="s">
        <v>518</v>
      </c>
      <c r="J256" s="1">
        <v>45292</v>
      </c>
      <c r="K256">
        <v>100898000</v>
      </c>
    </row>
    <row r="257" spans="5:11" x14ac:dyDescent="0.25">
      <c r="E257" t="s">
        <v>519</v>
      </c>
      <c r="F257">
        <v>67887</v>
      </c>
      <c r="G257" s="1">
        <v>45381</v>
      </c>
      <c r="H257" t="s">
        <v>520</v>
      </c>
      <c r="I257" t="s">
        <v>57</v>
      </c>
      <c r="J257" s="1">
        <v>45291</v>
      </c>
      <c r="K257">
        <v>60003000</v>
      </c>
    </row>
    <row r="258" spans="5:11" x14ac:dyDescent="0.25">
      <c r="E258" t="s">
        <v>521</v>
      </c>
      <c r="F258">
        <v>68505</v>
      </c>
      <c r="G258" s="1">
        <v>45381</v>
      </c>
      <c r="H258" t="s">
        <v>522</v>
      </c>
      <c r="I258" t="s">
        <v>19</v>
      </c>
      <c r="J258" s="1">
        <v>45292</v>
      </c>
      <c r="K258">
        <v>-39000000</v>
      </c>
    </row>
    <row r="259" spans="5:11" x14ac:dyDescent="0.25">
      <c r="E259" t="s">
        <v>523</v>
      </c>
      <c r="F259">
        <v>68622</v>
      </c>
      <c r="G259" s="1">
        <v>45382</v>
      </c>
      <c r="H259" t="s">
        <v>524</v>
      </c>
      <c r="I259" t="s">
        <v>179</v>
      </c>
      <c r="J259" s="1">
        <v>45292</v>
      </c>
      <c r="K259">
        <v>353000000</v>
      </c>
    </row>
    <row r="260" spans="5:11" x14ac:dyDescent="0.25">
      <c r="E260" t="s">
        <v>525</v>
      </c>
      <c r="F260">
        <v>69422</v>
      </c>
      <c r="G260" s="1">
        <v>45382</v>
      </c>
      <c r="H260" t="s">
        <v>526</v>
      </c>
      <c r="I260" t="s">
        <v>36</v>
      </c>
      <c r="J260" s="1">
        <v>45292</v>
      </c>
      <c r="K260">
        <v>-3164000</v>
      </c>
    </row>
    <row r="261" spans="5:11" x14ac:dyDescent="0.25">
      <c r="E261" t="s">
        <v>527</v>
      </c>
      <c r="F261">
        <v>69488</v>
      </c>
      <c r="G261" s="1">
        <v>45382</v>
      </c>
      <c r="H261" t="s">
        <v>528</v>
      </c>
      <c r="I261" t="s">
        <v>60</v>
      </c>
      <c r="J261" s="1">
        <v>45292</v>
      </c>
      <c r="K261">
        <v>3503000</v>
      </c>
    </row>
    <row r="262" spans="5:11" x14ac:dyDescent="0.25">
      <c r="E262" t="s">
        <v>529</v>
      </c>
      <c r="F262">
        <v>69633</v>
      </c>
      <c r="G262" s="1">
        <v>45382</v>
      </c>
      <c r="H262" t="s">
        <v>530</v>
      </c>
      <c r="I262" t="s">
        <v>57</v>
      </c>
      <c r="J262" s="1">
        <v>45292</v>
      </c>
      <c r="K262">
        <v>13196000</v>
      </c>
    </row>
    <row r="263" spans="5:11" x14ac:dyDescent="0.25">
      <c r="E263" t="s">
        <v>531</v>
      </c>
      <c r="F263">
        <v>70145</v>
      </c>
      <c r="G263" s="1">
        <v>45382</v>
      </c>
      <c r="H263" t="s">
        <v>532</v>
      </c>
      <c r="I263" t="s">
        <v>57</v>
      </c>
      <c r="J263" s="1">
        <v>45292</v>
      </c>
      <c r="K263">
        <v>166272000</v>
      </c>
    </row>
    <row r="264" spans="5:11" x14ac:dyDescent="0.25">
      <c r="E264" t="s">
        <v>533</v>
      </c>
      <c r="F264">
        <v>70502</v>
      </c>
      <c r="G264" s="1">
        <v>45351</v>
      </c>
      <c r="H264" t="s">
        <v>534</v>
      </c>
      <c r="I264" t="s">
        <v>123</v>
      </c>
      <c r="J264" s="1">
        <v>45261</v>
      </c>
      <c r="K264">
        <v>31470000</v>
      </c>
    </row>
    <row r="265" spans="5:11" x14ac:dyDescent="0.25">
      <c r="E265" t="s">
        <v>535</v>
      </c>
      <c r="F265">
        <v>70858</v>
      </c>
      <c r="G265" s="1">
        <v>45382</v>
      </c>
      <c r="H265" t="s">
        <v>536</v>
      </c>
      <c r="I265" t="s">
        <v>172</v>
      </c>
      <c r="J265" s="1">
        <v>45292</v>
      </c>
      <c r="K265">
        <v>6674000000</v>
      </c>
    </row>
    <row r="266" spans="5:11" x14ac:dyDescent="0.25">
      <c r="E266" t="s">
        <v>537</v>
      </c>
      <c r="F266">
        <v>70866</v>
      </c>
      <c r="G266" s="1">
        <v>45382</v>
      </c>
      <c r="H266" t="s">
        <v>538</v>
      </c>
      <c r="I266" t="s">
        <v>64</v>
      </c>
      <c r="J266" s="1">
        <v>45292</v>
      </c>
      <c r="K266">
        <v>-40000000</v>
      </c>
    </row>
    <row r="267" spans="5:11" x14ac:dyDescent="0.25">
      <c r="E267" t="s">
        <v>539</v>
      </c>
      <c r="F267">
        <v>71557</v>
      </c>
      <c r="G267" s="1">
        <v>45382</v>
      </c>
      <c r="H267" t="s">
        <v>540</v>
      </c>
      <c r="I267" t="s">
        <v>213</v>
      </c>
      <c r="J267" s="1">
        <v>45292</v>
      </c>
      <c r="K267">
        <v>735985</v>
      </c>
    </row>
    <row r="268" spans="5:11" x14ac:dyDescent="0.25">
      <c r="E268" t="s">
        <v>541</v>
      </c>
      <c r="F268">
        <v>71691</v>
      </c>
      <c r="G268" s="1">
        <v>45382</v>
      </c>
      <c r="H268" t="s">
        <v>542</v>
      </c>
      <c r="I268" t="s">
        <v>57</v>
      </c>
      <c r="J268" s="1">
        <v>45292</v>
      </c>
      <c r="K268">
        <v>40417000</v>
      </c>
    </row>
    <row r="269" spans="5:11" x14ac:dyDescent="0.25">
      <c r="E269" t="s">
        <v>543</v>
      </c>
      <c r="F269">
        <v>71829</v>
      </c>
      <c r="G269" s="1">
        <v>45382</v>
      </c>
      <c r="H269" t="s">
        <v>544</v>
      </c>
      <c r="I269" t="s">
        <v>30</v>
      </c>
      <c r="J269" s="1">
        <v>45292</v>
      </c>
      <c r="K269">
        <v>7293000</v>
      </c>
    </row>
    <row r="270" spans="5:11" x14ac:dyDescent="0.25">
      <c r="E270" t="s">
        <v>545</v>
      </c>
      <c r="F270">
        <v>72162</v>
      </c>
      <c r="G270" s="1">
        <v>45382</v>
      </c>
      <c r="H270" t="s">
        <v>546</v>
      </c>
      <c r="I270" t="s">
        <v>30</v>
      </c>
      <c r="J270" s="1">
        <v>45292</v>
      </c>
      <c r="K270">
        <v>6839000</v>
      </c>
    </row>
    <row r="271" spans="5:11" x14ac:dyDescent="0.25">
      <c r="E271" t="s">
        <v>547</v>
      </c>
      <c r="F271">
        <v>72205</v>
      </c>
      <c r="G271" s="1">
        <v>45416</v>
      </c>
      <c r="H271" t="s">
        <v>548</v>
      </c>
      <c r="I271" t="s">
        <v>33</v>
      </c>
      <c r="J271" s="1">
        <v>45326</v>
      </c>
      <c r="K271">
        <v>2025959</v>
      </c>
    </row>
    <row r="272" spans="5:11" x14ac:dyDescent="0.25">
      <c r="E272" t="s">
        <v>549</v>
      </c>
      <c r="F272">
        <v>72331</v>
      </c>
      <c r="G272" s="1">
        <v>45412</v>
      </c>
      <c r="H272" t="s">
        <v>550</v>
      </c>
      <c r="I272" t="s">
        <v>60</v>
      </c>
      <c r="J272" s="1">
        <v>45323</v>
      </c>
      <c r="K272">
        <v>118217000</v>
      </c>
    </row>
    <row r="273" spans="5:11" x14ac:dyDescent="0.25">
      <c r="E273" t="s">
        <v>551</v>
      </c>
      <c r="F273">
        <v>72333</v>
      </c>
      <c r="G273" s="1">
        <v>45416</v>
      </c>
      <c r="H273" t="s">
        <v>552</v>
      </c>
      <c r="I273" t="s">
        <v>504</v>
      </c>
      <c r="J273" s="1">
        <v>45326</v>
      </c>
      <c r="K273">
        <v>-39000000</v>
      </c>
    </row>
    <row r="274" spans="5:11" x14ac:dyDescent="0.25">
      <c r="E274" t="s">
        <v>553</v>
      </c>
      <c r="F274">
        <v>72444</v>
      </c>
      <c r="G274" s="1">
        <v>45382</v>
      </c>
      <c r="H274" t="s">
        <v>554</v>
      </c>
      <c r="I274" t="s">
        <v>36</v>
      </c>
      <c r="J274" s="1">
        <v>45292</v>
      </c>
      <c r="K274">
        <v>-24417000</v>
      </c>
    </row>
    <row r="275" spans="5:11" x14ac:dyDescent="0.25">
      <c r="E275" t="s">
        <v>555</v>
      </c>
      <c r="F275">
        <v>72573</v>
      </c>
      <c r="G275" s="1">
        <v>45412</v>
      </c>
      <c r="H275" t="s">
        <v>556</v>
      </c>
      <c r="I275" t="s">
        <v>46</v>
      </c>
      <c r="J275" s="1">
        <v>45323</v>
      </c>
      <c r="K275">
        <v>2891000</v>
      </c>
    </row>
    <row r="276" spans="5:11" x14ac:dyDescent="0.25">
      <c r="E276" t="s">
        <v>557</v>
      </c>
      <c r="F276">
        <v>72903</v>
      </c>
      <c r="G276" s="1">
        <v>45382</v>
      </c>
      <c r="H276" t="s">
        <v>558</v>
      </c>
      <c r="I276" t="s">
        <v>213</v>
      </c>
      <c r="J276" s="1">
        <v>45292</v>
      </c>
      <c r="K276">
        <v>488000000</v>
      </c>
    </row>
    <row r="277" spans="5:11" x14ac:dyDescent="0.25">
      <c r="E277" t="s">
        <v>559</v>
      </c>
      <c r="F277">
        <v>72909</v>
      </c>
      <c r="G277" s="1">
        <v>45382</v>
      </c>
      <c r="H277" t="s">
        <v>560</v>
      </c>
      <c r="I277" t="s">
        <v>83</v>
      </c>
      <c r="J277" s="1">
        <v>45292</v>
      </c>
      <c r="K277">
        <v>43000000</v>
      </c>
    </row>
    <row r="278" spans="5:11" x14ac:dyDescent="0.25">
      <c r="E278" t="s">
        <v>561</v>
      </c>
      <c r="F278">
        <v>72971</v>
      </c>
      <c r="G278" s="1">
        <v>45382</v>
      </c>
      <c r="H278" t="s">
        <v>562</v>
      </c>
      <c r="I278" t="s">
        <v>36</v>
      </c>
      <c r="J278" s="1">
        <v>45292</v>
      </c>
      <c r="K278">
        <v>4619000000</v>
      </c>
    </row>
    <row r="279" spans="5:11" x14ac:dyDescent="0.25">
      <c r="E279" t="s">
        <v>10331</v>
      </c>
      <c r="F279">
        <v>73124</v>
      </c>
      <c r="G279" s="1">
        <v>45382</v>
      </c>
      <c r="H279" t="s">
        <v>563</v>
      </c>
      <c r="I279" t="s">
        <v>19</v>
      </c>
      <c r="J279" s="1">
        <v>45292</v>
      </c>
      <c r="K279">
        <v>214700000</v>
      </c>
    </row>
    <row r="280" spans="5:11" x14ac:dyDescent="0.25">
      <c r="E280" t="s">
        <v>564</v>
      </c>
      <c r="F280">
        <v>73290</v>
      </c>
      <c r="G280" s="1">
        <v>45351</v>
      </c>
      <c r="H280" t="s">
        <v>565</v>
      </c>
      <c r="I280" t="s">
        <v>36</v>
      </c>
      <c r="J280" s="1">
        <v>45261</v>
      </c>
      <c r="K280">
        <v>-1918000</v>
      </c>
    </row>
    <row r="281" spans="5:11" x14ac:dyDescent="0.25">
      <c r="E281" t="s">
        <v>566</v>
      </c>
      <c r="F281">
        <v>73309</v>
      </c>
      <c r="G281" s="1">
        <v>45381</v>
      </c>
      <c r="H281" t="s">
        <v>567</v>
      </c>
      <c r="I281" t="s">
        <v>172</v>
      </c>
      <c r="J281" s="1">
        <v>45292</v>
      </c>
      <c r="K281">
        <v>844841000</v>
      </c>
    </row>
    <row r="282" spans="5:11" x14ac:dyDescent="0.25">
      <c r="E282" t="s">
        <v>568</v>
      </c>
      <c r="F282">
        <v>74046</v>
      </c>
      <c r="G282" s="1">
        <v>45412</v>
      </c>
      <c r="H282" t="s">
        <v>569</v>
      </c>
      <c r="I282" t="s">
        <v>19</v>
      </c>
      <c r="J282" s="1">
        <v>45323</v>
      </c>
      <c r="K282">
        <v>7777000</v>
      </c>
    </row>
    <row r="283" spans="5:11" x14ac:dyDescent="0.25">
      <c r="E283" t="s">
        <v>570</v>
      </c>
      <c r="F283">
        <v>74208</v>
      </c>
      <c r="G283" s="1">
        <v>45382</v>
      </c>
      <c r="H283" t="s">
        <v>571</v>
      </c>
      <c r="I283" t="s">
        <v>92</v>
      </c>
      <c r="J283" s="1">
        <v>45292</v>
      </c>
      <c r="K283">
        <v>43149000</v>
      </c>
    </row>
    <row r="284" spans="5:11" x14ac:dyDescent="0.25">
      <c r="E284" t="s">
        <v>572</v>
      </c>
      <c r="F284">
        <v>74260</v>
      </c>
      <c r="G284" s="1">
        <v>45382</v>
      </c>
      <c r="H284" t="s">
        <v>573</v>
      </c>
      <c r="I284" t="s">
        <v>19</v>
      </c>
      <c r="J284" s="1">
        <v>45292</v>
      </c>
      <c r="K284">
        <v>316700000</v>
      </c>
    </row>
    <row r="285" spans="5:11" x14ac:dyDescent="0.25">
      <c r="E285" t="s">
        <v>574</v>
      </c>
      <c r="F285">
        <v>74303</v>
      </c>
      <c r="G285" s="1">
        <v>45382</v>
      </c>
      <c r="H285" t="s">
        <v>575</v>
      </c>
      <c r="I285" t="s">
        <v>137</v>
      </c>
      <c r="J285" s="1">
        <v>45292</v>
      </c>
      <c r="K285">
        <v>47800000</v>
      </c>
    </row>
    <row r="286" spans="5:11" x14ac:dyDescent="0.25">
      <c r="E286" t="s">
        <v>576</v>
      </c>
      <c r="F286">
        <v>75208</v>
      </c>
      <c r="G286" s="1">
        <v>45382</v>
      </c>
      <c r="H286" t="s">
        <v>577</v>
      </c>
      <c r="I286" t="s">
        <v>33</v>
      </c>
      <c r="J286" s="1">
        <v>45292</v>
      </c>
      <c r="K286">
        <v>14641000</v>
      </c>
    </row>
    <row r="287" spans="5:11" x14ac:dyDescent="0.25">
      <c r="E287" t="s">
        <v>578</v>
      </c>
      <c r="F287">
        <v>75252</v>
      </c>
      <c r="G287" s="1">
        <v>45382</v>
      </c>
      <c r="H287" t="s">
        <v>579</v>
      </c>
      <c r="I287" t="s">
        <v>123</v>
      </c>
      <c r="J287" s="1">
        <v>45292</v>
      </c>
      <c r="K287">
        <v>-21886000</v>
      </c>
    </row>
    <row r="288" spans="5:11" x14ac:dyDescent="0.25">
      <c r="E288" t="s">
        <v>580</v>
      </c>
      <c r="F288">
        <v>75288</v>
      </c>
      <c r="G288" s="1">
        <v>45416</v>
      </c>
      <c r="H288" t="s">
        <v>581</v>
      </c>
      <c r="I288" t="s">
        <v>64</v>
      </c>
      <c r="J288" s="1">
        <v>45326</v>
      </c>
      <c r="K288">
        <v>38373000</v>
      </c>
    </row>
    <row r="289" spans="5:11" x14ac:dyDescent="0.25">
      <c r="E289" t="s">
        <v>582</v>
      </c>
      <c r="F289">
        <v>75362</v>
      </c>
      <c r="G289" s="1">
        <v>45382</v>
      </c>
      <c r="H289" t="s">
        <v>583</v>
      </c>
      <c r="I289" t="s">
        <v>504</v>
      </c>
      <c r="J289" s="1">
        <v>45292</v>
      </c>
      <c r="K289">
        <v>1195300000</v>
      </c>
    </row>
    <row r="290" spans="5:11" x14ac:dyDescent="0.25">
      <c r="E290" t="s">
        <v>584</v>
      </c>
      <c r="F290">
        <v>75677</v>
      </c>
      <c r="G290" s="1">
        <v>45382</v>
      </c>
      <c r="H290" t="s">
        <v>585</v>
      </c>
      <c r="I290" t="s">
        <v>19</v>
      </c>
      <c r="J290" s="1">
        <v>45292</v>
      </c>
      <c r="K290">
        <v>146900000</v>
      </c>
    </row>
    <row r="291" spans="5:11" x14ac:dyDescent="0.25">
      <c r="E291" t="s">
        <v>586</v>
      </c>
      <c r="F291">
        <v>76267</v>
      </c>
      <c r="G291" s="1">
        <v>45354</v>
      </c>
      <c r="H291" t="s">
        <v>587</v>
      </c>
      <c r="I291" t="s">
        <v>57</v>
      </c>
      <c r="J291" s="1">
        <v>45257</v>
      </c>
      <c r="K291">
        <v>2670000</v>
      </c>
    </row>
    <row r="292" spans="5:11" x14ac:dyDescent="0.25">
      <c r="E292" t="s">
        <v>588</v>
      </c>
      <c r="F292">
        <v>76282</v>
      </c>
      <c r="G292" s="1">
        <v>45382</v>
      </c>
      <c r="H292" t="s">
        <v>589</v>
      </c>
      <c r="I292" t="s">
        <v>60</v>
      </c>
      <c r="J292" s="1">
        <v>45292</v>
      </c>
      <c r="K292">
        <v>9600000</v>
      </c>
    </row>
    <row r="293" spans="5:11" x14ac:dyDescent="0.25">
      <c r="E293" t="s">
        <v>590</v>
      </c>
      <c r="F293">
        <v>76605</v>
      </c>
      <c r="G293" s="1">
        <v>45382</v>
      </c>
      <c r="H293" t="s">
        <v>591</v>
      </c>
      <c r="I293" t="s">
        <v>288</v>
      </c>
      <c r="J293" s="1">
        <v>45292</v>
      </c>
      <c r="K293">
        <v>35093000</v>
      </c>
    </row>
    <row r="294" spans="5:11" x14ac:dyDescent="0.25">
      <c r="E294" t="s">
        <v>592</v>
      </c>
      <c r="F294">
        <v>77360</v>
      </c>
      <c r="G294" s="1">
        <v>45382</v>
      </c>
      <c r="H294" t="s">
        <v>593</v>
      </c>
      <c r="I294" t="s">
        <v>594</v>
      </c>
      <c r="J294" s="1">
        <v>45292</v>
      </c>
      <c r="K294">
        <v>133300000</v>
      </c>
    </row>
    <row r="295" spans="5:11" x14ac:dyDescent="0.25">
      <c r="E295" t="s">
        <v>595</v>
      </c>
      <c r="F295">
        <v>77476</v>
      </c>
      <c r="G295" s="1">
        <v>45374</v>
      </c>
      <c r="H295" t="s">
        <v>596</v>
      </c>
      <c r="I295" t="s">
        <v>57</v>
      </c>
      <c r="J295" s="1">
        <v>45291</v>
      </c>
      <c r="K295">
        <v>2042000000</v>
      </c>
    </row>
    <row r="296" spans="5:11" x14ac:dyDescent="0.25">
      <c r="E296" t="s">
        <v>597</v>
      </c>
      <c r="F296">
        <v>77543</v>
      </c>
      <c r="G296" s="1">
        <v>45382</v>
      </c>
      <c r="H296" t="s">
        <v>598</v>
      </c>
      <c r="I296" t="s">
        <v>36</v>
      </c>
      <c r="J296" s="1">
        <v>45292</v>
      </c>
      <c r="K296">
        <v>15760000</v>
      </c>
    </row>
    <row r="297" spans="5:11" x14ac:dyDescent="0.25">
      <c r="E297" t="s">
        <v>599</v>
      </c>
      <c r="F297">
        <v>78003</v>
      </c>
      <c r="G297" s="1">
        <v>45382</v>
      </c>
      <c r="H297" t="s">
        <v>600</v>
      </c>
      <c r="I297" t="s">
        <v>57</v>
      </c>
      <c r="J297" s="1">
        <v>45292</v>
      </c>
      <c r="K297">
        <v>3115000000</v>
      </c>
    </row>
    <row r="298" spans="5:11" x14ac:dyDescent="0.25">
      <c r="E298" t="s">
        <v>601</v>
      </c>
      <c r="F298">
        <v>78128</v>
      </c>
      <c r="G298" s="1">
        <v>45382</v>
      </c>
      <c r="H298" t="s">
        <v>602</v>
      </c>
      <c r="I298" t="s">
        <v>39</v>
      </c>
      <c r="J298" s="1">
        <v>45292</v>
      </c>
      <c r="K298">
        <v>265772000</v>
      </c>
    </row>
    <row r="299" spans="5:11" x14ac:dyDescent="0.25">
      <c r="E299" t="s">
        <v>603</v>
      </c>
      <c r="F299">
        <v>78239</v>
      </c>
      <c r="G299" s="1">
        <v>45417</v>
      </c>
      <c r="H299" t="s">
        <v>604</v>
      </c>
      <c r="I299" t="s">
        <v>57</v>
      </c>
      <c r="J299" s="1">
        <v>45327</v>
      </c>
      <c r="K299">
        <v>151400000</v>
      </c>
    </row>
    <row r="300" spans="5:11" x14ac:dyDescent="0.25">
      <c r="E300" t="s">
        <v>605</v>
      </c>
      <c r="F300">
        <v>78814</v>
      </c>
      <c r="G300" s="1">
        <v>45382</v>
      </c>
      <c r="H300" t="s">
        <v>606</v>
      </c>
      <c r="I300" t="s">
        <v>27</v>
      </c>
      <c r="J300" s="1">
        <v>45292</v>
      </c>
      <c r="K300">
        <v>-2885000</v>
      </c>
    </row>
    <row r="301" spans="5:11" x14ac:dyDescent="0.25">
      <c r="E301" t="s">
        <v>607</v>
      </c>
      <c r="F301">
        <v>78890</v>
      </c>
      <c r="G301" s="1">
        <v>45382</v>
      </c>
      <c r="H301" t="s">
        <v>608</v>
      </c>
      <c r="I301" t="s">
        <v>123</v>
      </c>
      <c r="J301" s="1">
        <v>45292</v>
      </c>
      <c r="K301">
        <v>49300000</v>
      </c>
    </row>
    <row r="302" spans="5:11" x14ac:dyDescent="0.25">
      <c r="E302" t="s">
        <v>609</v>
      </c>
      <c r="F302">
        <v>79282</v>
      </c>
      <c r="G302" s="1">
        <v>45382</v>
      </c>
      <c r="H302" t="s">
        <v>610</v>
      </c>
      <c r="I302" t="s">
        <v>33</v>
      </c>
      <c r="J302" s="1">
        <v>45292</v>
      </c>
      <c r="K302">
        <v>293000000</v>
      </c>
    </row>
    <row r="303" spans="5:11" x14ac:dyDescent="0.25">
      <c r="E303" t="s">
        <v>611</v>
      </c>
      <c r="F303">
        <v>79661</v>
      </c>
      <c r="G303" s="1">
        <v>45382</v>
      </c>
      <c r="H303" t="s">
        <v>612</v>
      </c>
      <c r="I303" t="s">
        <v>36</v>
      </c>
      <c r="J303" s="1">
        <v>45292</v>
      </c>
      <c r="K303">
        <v>-2871000</v>
      </c>
    </row>
    <row r="304" spans="5:11" x14ac:dyDescent="0.25">
      <c r="E304" t="s">
        <v>613</v>
      </c>
      <c r="F304">
        <v>79879</v>
      </c>
      <c r="G304" s="1">
        <v>45382</v>
      </c>
      <c r="H304" t="s">
        <v>614</v>
      </c>
      <c r="I304" t="s">
        <v>39</v>
      </c>
      <c r="J304" s="1">
        <v>45292</v>
      </c>
      <c r="K304">
        <v>400000000</v>
      </c>
    </row>
    <row r="305" spans="5:11" x14ac:dyDescent="0.25">
      <c r="E305" t="s">
        <v>615</v>
      </c>
      <c r="F305">
        <v>80035</v>
      </c>
      <c r="G305" s="1">
        <v>45382</v>
      </c>
      <c r="H305" t="s">
        <v>616</v>
      </c>
      <c r="I305" t="s">
        <v>60</v>
      </c>
      <c r="J305" s="1">
        <v>45292</v>
      </c>
      <c r="K305">
        <v>9596000</v>
      </c>
    </row>
    <row r="306" spans="5:11" x14ac:dyDescent="0.25">
      <c r="E306" t="s">
        <v>617</v>
      </c>
      <c r="F306">
        <v>80172</v>
      </c>
      <c r="G306" s="1">
        <v>45382</v>
      </c>
      <c r="H306" t="s">
        <v>618</v>
      </c>
      <c r="I306" t="s">
        <v>83</v>
      </c>
      <c r="J306" s="1">
        <v>45292</v>
      </c>
      <c r="K306">
        <v>6568000</v>
      </c>
    </row>
    <row r="307" spans="5:11" x14ac:dyDescent="0.25">
      <c r="E307" t="s">
        <v>619</v>
      </c>
      <c r="F307">
        <v>80420</v>
      </c>
      <c r="G307" s="1">
        <v>45382</v>
      </c>
      <c r="H307" t="s">
        <v>620</v>
      </c>
      <c r="I307" t="s">
        <v>30</v>
      </c>
      <c r="J307" s="1">
        <v>45292</v>
      </c>
      <c r="K307">
        <v>33488000</v>
      </c>
    </row>
    <row r="308" spans="5:11" x14ac:dyDescent="0.25">
      <c r="E308" t="s">
        <v>621</v>
      </c>
      <c r="F308">
        <v>80424</v>
      </c>
      <c r="G308" s="1">
        <v>45382</v>
      </c>
      <c r="H308" t="s">
        <v>622</v>
      </c>
      <c r="I308" t="s">
        <v>60</v>
      </c>
      <c r="J308" s="1">
        <v>45292</v>
      </c>
      <c r="K308">
        <v>3754000000</v>
      </c>
    </row>
    <row r="309" spans="5:11" x14ac:dyDescent="0.25">
      <c r="E309" t="s">
        <v>623</v>
      </c>
      <c r="F309">
        <v>80661</v>
      </c>
      <c r="G309" s="1">
        <v>45382</v>
      </c>
      <c r="H309" t="s">
        <v>624</v>
      </c>
      <c r="I309" t="s">
        <v>60</v>
      </c>
      <c r="J309" s="1">
        <v>45292</v>
      </c>
      <c r="K309">
        <v>2331400000</v>
      </c>
    </row>
    <row r="310" spans="5:11" x14ac:dyDescent="0.25">
      <c r="E310" t="s">
        <v>625</v>
      </c>
      <c r="F310">
        <v>81018</v>
      </c>
      <c r="G310" s="1">
        <v>45382</v>
      </c>
      <c r="H310" t="s">
        <v>626</v>
      </c>
      <c r="I310" t="s">
        <v>92</v>
      </c>
      <c r="J310" s="1">
        <v>45292</v>
      </c>
      <c r="K310">
        <v>219000000</v>
      </c>
    </row>
    <row r="311" spans="5:11" x14ac:dyDescent="0.25">
      <c r="E311" t="s">
        <v>627</v>
      </c>
      <c r="F311">
        <v>81061</v>
      </c>
      <c r="G311" s="1">
        <v>45381</v>
      </c>
      <c r="H311" t="s">
        <v>628</v>
      </c>
      <c r="I311" t="s">
        <v>33</v>
      </c>
      <c r="J311" s="1">
        <v>45291</v>
      </c>
      <c r="K311">
        <v>1366000000</v>
      </c>
    </row>
    <row r="312" spans="5:11" x14ac:dyDescent="0.25">
      <c r="E312" t="s">
        <v>629</v>
      </c>
      <c r="F312">
        <v>81362</v>
      </c>
      <c r="G312" s="1">
        <v>45382</v>
      </c>
      <c r="H312" t="s">
        <v>630</v>
      </c>
      <c r="I312" t="s">
        <v>39</v>
      </c>
      <c r="J312" s="1">
        <v>45292</v>
      </c>
      <c r="K312">
        <v>35227000</v>
      </c>
    </row>
    <row r="313" spans="5:11" x14ac:dyDescent="0.25">
      <c r="E313" t="s">
        <v>631</v>
      </c>
      <c r="F313">
        <v>81955</v>
      </c>
      <c r="G313" s="1">
        <v>45382</v>
      </c>
      <c r="H313" t="s">
        <v>632</v>
      </c>
      <c r="I313" t="s">
        <v>57</v>
      </c>
      <c r="J313" s="1">
        <v>45292</v>
      </c>
      <c r="K313">
        <v>1399381</v>
      </c>
    </row>
    <row r="314" spans="5:11" x14ac:dyDescent="0.25">
      <c r="E314" t="s">
        <v>10332</v>
      </c>
      <c r="F314">
        <v>82020</v>
      </c>
      <c r="G314" s="1">
        <v>45382</v>
      </c>
      <c r="H314" t="s">
        <v>633</v>
      </c>
      <c r="I314" t="s">
        <v>30</v>
      </c>
      <c r="J314" s="1">
        <v>45292</v>
      </c>
      <c r="K314">
        <v>22439000</v>
      </c>
    </row>
    <row r="315" spans="5:11" x14ac:dyDescent="0.25">
      <c r="E315" t="s">
        <v>634</v>
      </c>
      <c r="F315">
        <v>82473</v>
      </c>
      <c r="G315" s="1">
        <v>45412</v>
      </c>
      <c r="H315" t="s">
        <v>635</v>
      </c>
      <c r="I315" t="s">
        <v>113</v>
      </c>
      <c r="J315" s="1">
        <v>45323</v>
      </c>
      <c r="K315">
        <v>-148550</v>
      </c>
    </row>
    <row r="316" spans="5:11" x14ac:dyDescent="0.25">
      <c r="E316" t="s">
        <v>636</v>
      </c>
      <c r="F316">
        <v>82811</v>
      </c>
      <c r="G316" s="1">
        <v>45382</v>
      </c>
      <c r="H316" t="s">
        <v>637</v>
      </c>
      <c r="I316" t="s">
        <v>83</v>
      </c>
      <c r="J316" s="1">
        <v>45292</v>
      </c>
      <c r="K316">
        <v>19800000</v>
      </c>
    </row>
    <row r="317" spans="5:11" x14ac:dyDescent="0.25">
      <c r="E317" t="s">
        <v>638</v>
      </c>
      <c r="F317">
        <v>83246</v>
      </c>
      <c r="G317" s="1">
        <v>45382</v>
      </c>
      <c r="H317" t="s">
        <v>639</v>
      </c>
      <c r="I317" t="s">
        <v>57</v>
      </c>
      <c r="J317" s="1">
        <v>45292</v>
      </c>
      <c r="K317">
        <v>225000000</v>
      </c>
    </row>
    <row r="318" spans="5:11" x14ac:dyDescent="0.25">
      <c r="E318" t="s">
        <v>640</v>
      </c>
      <c r="F318">
        <v>83350</v>
      </c>
      <c r="G318" s="1">
        <v>45382</v>
      </c>
      <c r="H318" t="s">
        <v>641</v>
      </c>
      <c r="I318" t="s">
        <v>277</v>
      </c>
      <c r="J318" s="1">
        <v>45292</v>
      </c>
      <c r="K318">
        <v>726516</v>
      </c>
    </row>
    <row r="319" spans="5:11" x14ac:dyDescent="0.25">
      <c r="E319" t="s">
        <v>10333</v>
      </c>
      <c r="F319">
        <v>84246</v>
      </c>
      <c r="G319" s="1">
        <v>45382</v>
      </c>
      <c r="H319" t="s">
        <v>642</v>
      </c>
      <c r="I319" t="s">
        <v>19</v>
      </c>
      <c r="J319" s="1">
        <v>45292</v>
      </c>
      <c r="K319">
        <v>127900000</v>
      </c>
    </row>
    <row r="320" spans="5:11" x14ac:dyDescent="0.25">
      <c r="E320" t="s">
        <v>643</v>
      </c>
      <c r="F320">
        <v>84748</v>
      </c>
      <c r="G320" s="1">
        <v>45382</v>
      </c>
      <c r="H320" t="s">
        <v>644</v>
      </c>
      <c r="I320" t="s">
        <v>113</v>
      </c>
      <c r="J320" s="1">
        <v>45292</v>
      </c>
      <c r="K320">
        <v>7800000</v>
      </c>
    </row>
    <row r="321" spans="5:11" x14ac:dyDescent="0.25">
      <c r="E321" t="s">
        <v>645</v>
      </c>
      <c r="F321">
        <v>84839</v>
      </c>
      <c r="G321" s="1">
        <v>45382</v>
      </c>
      <c r="H321" t="s">
        <v>646</v>
      </c>
      <c r="I321" t="s">
        <v>64</v>
      </c>
      <c r="J321" s="1">
        <v>45292</v>
      </c>
      <c r="K321">
        <v>94394000</v>
      </c>
    </row>
    <row r="322" spans="5:11" x14ac:dyDescent="0.25">
      <c r="E322" t="s">
        <v>647</v>
      </c>
      <c r="F322">
        <v>85535</v>
      </c>
      <c r="G322" s="1">
        <v>45382</v>
      </c>
      <c r="H322" t="s">
        <v>648</v>
      </c>
      <c r="I322" t="s">
        <v>92</v>
      </c>
      <c r="J322" s="1">
        <v>45292</v>
      </c>
      <c r="K322">
        <v>47166000</v>
      </c>
    </row>
    <row r="323" spans="5:11" x14ac:dyDescent="0.25">
      <c r="E323" t="s">
        <v>649</v>
      </c>
      <c r="F323">
        <v>85961</v>
      </c>
      <c r="G323" s="1">
        <v>45382</v>
      </c>
      <c r="H323" t="s">
        <v>650</v>
      </c>
      <c r="I323" t="s">
        <v>33</v>
      </c>
      <c r="J323" s="1">
        <v>45292</v>
      </c>
      <c r="K323">
        <v>85000000</v>
      </c>
    </row>
    <row r="324" spans="5:11" x14ac:dyDescent="0.25">
      <c r="E324" t="s">
        <v>651</v>
      </c>
      <c r="F324">
        <v>86312</v>
      </c>
      <c r="G324" s="1">
        <v>45382</v>
      </c>
      <c r="H324" t="s">
        <v>652</v>
      </c>
      <c r="I324" t="s">
        <v>57</v>
      </c>
      <c r="J324" s="1">
        <v>45292</v>
      </c>
      <c r="K324">
        <v>1123000000</v>
      </c>
    </row>
    <row r="325" spans="5:11" x14ac:dyDescent="0.25">
      <c r="E325" t="s">
        <v>653</v>
      </c>
      <c r="F325">
        <v>87050</v>
      </c>
      <c r="G325" s="1">
        <v>45382</v>
      </c>
      <c r="H325" t="s">
        <v>654</v>
      </c>
      <c r="I325" t="s">
        <v>655</v>
      </c>
      <c r="J325" s="1">
        <v>45292</v>
      </c>
      <c r="K325">
        <v>-2084000</v>
      </c>
    </row>
    <row r="326" spans="5:11" x14ac:dyDescent="0.25">
      <c r="E326" t="s">
        <v>656</v>
      </c>
      <c r="F326">
        <v>87347</v>
      </c>
      <c r="G326" s="1">
        <v>45382</v>
      </c>
      <c r="H326" t="s">
        <v>657</v>
      </c>
      <c r="I326" t="s">
        <v>30</v>
      </c>
      <c r="J326" s="1">
        <v>45292</v>
      </c>
      <c r="K326">
        <v>1068000000</v>
      </c>
    </row>
    <row r="327" spans="5:11" x14ac:dyDescent="0.25">
      <c r="E327" t="s">
        <v>658</v>
      </c>
      <c r="F327">
        <v>87802</v>
      </c>
      <c r="G327" s="1">
        <v>45382</v>
      </c>
      <c r="H327" t="s">
        <v>659</v>
      </c>
      <c r="I327" t="s">
        <v>57</v>
      </c>
      <c r="J327" s="1">
        <v>45292</v>
      </c>
      <c r="K327">
        <v>-2051600</v>
      </c>
    </row>
    <row r="328" spans="5:11" x14ac:dyDescent="0.25">
      <c r="E328" t="s">
        <v>660</v>
      </c>
      <c r="F328">
        <v>88000</v>
      </c>
      <c r="G328" s="1">
        <v>45382</v>
      </c>
      <c r="H328" t="s">
        <v>661</v>
      </c>
      <c r="I328" t="s">
        <v>92</v>
      </c>
      <c r="J328" s="1">
        <v>45292</v>
      </c>
      <c r="K328">
        <v>-492000</v>
      </c>
    </row>
    <row r="329" spans="5:11" x14ac:dyDescent="0.25">
      <c r="E329" t="s">
        <v>662</v>
      </c>
      <c r="F329">
        <v>88205</v>
      </c>
      <c r="G329" s="1">
        <v>45381</v>
      </c>
      <c r="H329" t="s">
        <v>663</v>
      </c>
      <c r="I329" t="s">
        <v>172</v>
      </c>
      <c r="J329" s="1">
        <v>45292</v>
      </c>
      <c r="K329">
        <v>49000000</v>
      </c>
    </row>
    <row r="330" spans="5:11" x14ac:dyDescent="0.25">
      <c r="E330" t="s">
        <v>664</v>
      </c>
      <c r="F330">
        <v>88941</v>
      </c>
      <c r="G330" s="1">
        <v>45410</v>
      </c>
      <c r="H330" t="s">
        <v>665</v>
      </c>
      <c r="I330" t="s">
        <v>36</v>
      </c>
      <c r="J330" s="1">
        <v>45320</v>
      </c>
      <c r="K330">
        <v>-23159000</v>
      </c>
    </row>
    <row r="331" spans="5:11" x14ac:dyDescent="0.25">
      <c r="E331" t="s">
        <v>666</v>
      </c>
      <c r="F331">
        <v>89089</v>
      </c>
      <c r="G331" s="1">
        <v>45382</v>
      </c>
      <c r="H331" t="s">
        <v>667</v>
      </c>
      <c r="I331" t="s">
        <v>30</v>
      </c>
      <c r="J331" s="1">
        <v>45292</v>
      </c>
      <c r="K331">
        <v>131301000</v>
      </c>
    </row>
    <row r="332" spans="5:11" x14ac:dyDescent="0.25">
      <c r="E332" t="s">
        <v>668</v>
      </c>
      <c r="F332">
        <v>89140</v>
      </c>
      <c r="G332" s="1">
        <v>45382</v>
      </c>
      <c r="H332" t="s">
        <v>669</v>
      </c>
      <c r="I332" t="s">
        <v>57</v>
      </c>
      <c r="J332" s="1">
        <v>45292</v>
      </c>
      <c r="K332">
        <v>-383000</v>
      </c>
    </row>
    <row r="333" spans="5:11" x14ac:dyDescent="0.25">
      <c r="E333" t="s">
        <v>670</v>
      </c>
      <c r="F333">
        <v>89439</v>
      </c>
      <c r="G333" s="1">
        <v>45381</v>
      </c>
      <c r="H333" t="s">
        <v>671</v>
      </c>
      <c r="I333" t="s">
        <v>69</v>
      </c>
      <c r="J333" s="1">
        <v>45291</v>
      </c>
      <c r="K333">
        <v>138363000</v>
      </c>
    </row>
    <row r="334" spans="5:11" x14ac:dyDescent="0.25">
      <c r="E334" t="s">
        <v>672</v>
      </c>
      <c r="F334">
        <v>89800</v>
      </c>
      <c r="G334" s="1">
        <v>45382</v>
      </c>
      <c r="H334" t="s">
        <v>673</v>
      </c>
      <c r="I334" t="s">
        <v>60</v>
      </c>
      <c r="J334" s="1">
        <v>45292</v>
      </c>
      <c r="K334">
        <v>505200000</v>
      </c>
    </row>
    <row r="335" spans="5:11" x14ac:dyDescent="0.25">
      <c r="E335" t="s">
        <v>674</v>
      </c>
      <c r="F335">
        <v>90168</v>
      </c>
      <c r="G335" s="1">
        <v>45382</v>
      </c>
      <c r="H335" t="s">
        <v>675</v>
      </c>
      <c r="I335" t="s">
        <v>60</v>
      </c>
      <c r="J335" s="1">
        <v>45292</v>
      </c>
      <c r="K335">
        <v>-1590000</v>
      </c>
    </row>
    <row r="336" spans="5:11" x14ac:dyDescent="0.25">
      <c r="E336" t="s">
        <v>676</v>
      </c>
      <c r="F336">
        <v>90498</v>
      </c>
      <c r="G336" s="1">
        <v>45382</v>
      </c>
      <c r="H336" t="s">
        <v>677</v>
      </c>
      <c r="I336" t="s">
        <v>251</v>
      </c>
      <c r="J336" s="1">
        <v>45292</v>
      </c>
      <c r="K336">
        <v>38871000</v>
      </c>
    </row>
    <row r="337" spans="5:11" x14ac:dyDescent="0.25">
      <c r="E337" t="s">
        <v>678</v>
      </c>
      <c r="F337">
        <v>91142</v>
      </c>
      <c r="G337" s="1">
        <v>45382</v>
      </c>
      <c r="H337" t="s">
        <v>679</v>
      </c>
      <c r="I337" t="s">
        <v>83</v>
      </c>
      <c r="J337" s="1">
        <v>45292</v>
      </c>
      <c r="K337">
        <v>147600000</v>
      </c>
    </row>
    <row r="338" spans="5:11" x14ac:dyDescent="0.25">
      <c r="E338" t="s">
        <v>680</v>
      </c>
      <c r="F338">
        <v>91440</v>
      </c>
      <c r="G338" s="1">
        <v>45381</v>
      </c>
      <c r="H338" t="s">
        <v>681</v>
      </c>
      <c r="I338" t="s">
        <v>83</v>
      </c>
      <c r="J338" s="1">
        <v>45291</v>
      </c>
      <c r="K338">
        <v>263500000</v>
      </c>
    </row>
    <row r="339" spans="5:11" x14ac:dyDescent="0.25">
      <c r="E339" t="s">
        <v>682</v>
      </c>
      <c r="F339">
        <v>91576</v>
      </c>
      <c r="G339" s="1">
        <v>45382</v>
      </c>
      <c r="H339" t="s">
        <v>683</v>
      </c>
      <c r="I339" t="s">
        <v>60</v>
      </c>
      <c r="J339" s="1">
        <v>45292</v>
      </c>
      <c r="K339">
        <v>219000000</v>
      </c>
    </row>
    <row r="340" spans="5:11" x14ac:dyDescent="0.25">
      <c r="E340" t="s">
        <v>684</v>
      </c>
      <c r="F340">
        <v>91767</v>
      </c>
      <c r="G340" s="1">
        <v>45382</v>
      </c>
      <c r="H340" t="s">
        <v>685</v>
      </c>
      <c r="I340" t="s">
        <v>686</v>
      </c>
      <c r="J340" s="1">
        <v>45292</v>
      </c>
      <c r="K340">
        <v>65177000</v>
      </c>
    </row>
    <row r="341" spans="5:11" x14ac:dyDescent="0.25">
      <c r="E341" t="s">
        <v>687</v>
      </c>
      <c r="F341">
        <v>91882</v>
      </c>
      <c r="G341" s="1">
        <v>45382</v>
      </c>
      <c r="H341" t="s">
        <v>688</v>
      </c>
      <c r="I341" t="s">
        <v>686</v>
      </c>
      <c r="J341" s="1">
        <v>45292</v>
      </c>
      <c r="K341">
        <v>74000000</v>
      </c>
    </row>
    <row r="342" spans="5:11" x14ac:dyDescent="0.25">
      <c r="E342" t="s">
        <v>689</v>
      </c>
      <c r="F342">
        <v>92380</v>
      </c>
      <c r="G342" s="1">
        <v>45382</v>
      </c>
      <c r="H342" t="s">
        <v>690</v>
      </c>
      <c r="I342" t="s">
        <v>30</v>
      </c>
      <c r="J342" s="1">
        <v>45292</v>
      </c>
      <c r="K342">
        <v>-231000000</v>
      </c>
    </row>
    <row r="343" spans="5:11" x14ac:dyDescent="0.25">
      <c r="E343" t="s">
        <v>691</v>
      </c>
      <c r="F343">
        <v>92521</v>
      </c>
      <c r="G343" s="1">
        <v>45382</v>
      </c>
      <c r="H343" t="s">
        <v>692</v>
      </c>
      <c r="I343" t="s">
        <v>30</v>
      </c>
      <c r="J343" s="1">
        <v>45292</v>
      </c>
      <c r="K343">
        <v>57000000</v>
      </c>
    </row>
    <row r="344" spans="5:11" x14ac:dyDescent="0.25">
      <c r="E344" t="s">
        <v>693</v>
      </c>
      <c r="F344">
        <v>93314</v>
      </c>
      <c r="G344" s="1">
        <v>45382</v>
      </c>
      <c r="H344" t="s">
        <v>694</v>
      </c>
      <c r="I344" t="s">
        <v>142</v>
      </c>
      <c r="J344" s="1">
        <v>45292</v>
      </c>
      <c r="K344">
        <v>-8472005</v>
      </c>
    </row>
    <row r="345" spans="5:11" x14ac:dyDescent="0.25">
      <c r="E345" t="s">
        <v>695</v>
      </c>
      <c r="F345">
        <v>93389</v>
      </c>
      <c r="G345" s="1">
        <v>45382</v>
      </c>
      <c r="H345" t="s">
        <v>696</v>
      </c>
      <c r="I345" t="s">
        <v>57</v>
      </c>
      <c r="J345" s="1">
        <v>45292</v>
      </c>
      <c r="K345">
        <v>8824000</v>
      </c>
    </row>
    <row r="346" spans="5:11" x14ac:dyDescent="0.25">
      <c r="E346" t="s">
        <v>697</v>
      </c>
      <c r="F346">
        <v>93410</v>
      </c>
      <c r="G346" s="1">
        <v>45382</v>
      </c>
      <c r="H346" t="s">
        <v>698</v>
      </c>
      <c r="I346" t="s">
        <v>36</v>
      </c>
      <c r="J346" s="1">
        <v>45292</v>
      </c>
      <c r="K346">
        <v>5501000000</v>
      </c>
    </row>
    <row r="347" spans="5:11" x14ac:dyDescent="0.25">
      <c r="E347" t="s">
        <v>10334</v>
      </c>
      <c r="F347">
        <v>93556</v>
      </c>
      <c r="G347" s="1">
        <v>45381</v>
      </c>
      <c r="H347" t="s">
        <v>699</v>
      </c>
      <c r="I347" t="s">
        <v>27</v>
      </c>
      <c r="J347" s="1">
        <v>45291</v>
      </c>
      <c r="K347">
        <v>19500000</v>
      </c>
    </row>
    <row r="348" spans="5:11" x14ac:dyDescent="0.25">
      <c r="E348" t="s">
        <v>700</v>
      </c>
      <c r="F348">
        <v>93676</v>
      </c>
      <c r="G348" s="1">
        <v>45382</v>
      </c>
      <c r="H348" t="s">
        <v>701</v>
      </c>
      <c r="I348" t="s">
        <v>24</v>
      </c>
      <c r="J348" s="1">
        <v>45292</v>
      </c>
      <c r="K348">
        <v>638000</v>
      </c>
    </row>
    <row r="349" spans="5:11" x14ac:dyDescent="0.25">
      <c r="E349" t="s">
        <v>10335</v>
      </c>
      <c r="F349">
        <v>93751</v>
      </c>
      <c r="G349" s="1">
        <v>45382</v>
      </c>
      <c r="H349" t="s">
        <v>702</v>
      </c>
      <c r="I349" t="s">
        <v>24</v>
      </c>
      <c r="J349" s="1">
        <v>45292</v>
      </c>
      <c r="K349">
        <v>463000000</v>
      </c>
    </row>
    <row r="350" spans="5:11" x14ac:dyDescent="0.25">
      <c r="E350" t="s">
        <v>703</v>
      </c>
      <c r="F350">
        <v>94049</v>
      </c>
      <c r="G350" s="1">
        <v>45382</v>
      </c>
      <c r="H350" t="s">
        <v>704</v>
      </c>
      <c r="I350" t="s">
        <v>19</v>
      </c>
      <c r="J350" s="1">
        <v>45292</v>
      </c>
      <c r="K350">
        <v>13893000</v>
      </c>
    </row>
    <row r="351" spans="5:11" x14ac:dyDescent="0.25">
      <c r="E351" t="s">
        <v>705</v>
      </c>
      <c r="F351">
        <v>94344</v>
      </c>
      <c r="G351" s="1">
        <v>45382</v>
      </c>
      <c r="H351" t="s">
        <v>706</v>
      </c>
      <c r="I351" t="s">
        <v>30</v>
      </c>
      <c r="J351" s="1">
        <v>45292</v>
      </c>
      <c r="K351">
        <v>3130000</v>
      </c>
    </row>
    <row r="352" spans="5:11" x14ac:dyDescent="0.25">
      <c r="E352" t="s">
        <v>707</v>
      </c>
      <c r="F352">
        <v>94845</v>
      </c>
      <c r="G352" s="1">
        <v>45347</v>
      </c>
      <c r="H352" t="s">
        <v>708</v>
      </c>
      <c r="I352" t="s">
        <v>36</v>
      </c>
      <c r="J352" s="1">
        <v>45257</v>
      </c>
      <c r="K352">
        <v>-10600000</v>
      </c>
    </row>
    <row r="353" spans="5:11" x14ac:dyDescent="0.25">
      <c r="E353" t="s">
        <v>709</v>
      </c>
      <c r="F353">
        <v>95029</v>
      </c>
      <c r="G353" s="1">
        <v>45381</v>
      </c>
      <c r="H353" t="s">
        <v>710</v>
      </c>
      <c r="I353" t="s">
        <v>27</v>
      </c>
      <c r="J353" s="1">
        <v>45292</v>
      </c>
      <c r="K353">
        <v>7084000</v>
      </c>
    </row>
    <row r="354" spans="5:11" x14ac:dyDescent="0.25">
      <c r="E354" t="s">
        <v>711</v>
      </c>
      <c r="F354">
        <v>95552</v>
      </c>
      <c r="G354" s="1">
        <v>45382</v>
      </c>
      <c r="H354" t="s">
        <v>712</v>
      </c>
      <c r="I354" t="s">
        <v>329</v>
      </c>
      <c r="J354" s="1">
        <v>45292</v>
      </c>
      <c r="K354">
        <v>-32749000</v>
      </c>
    </row>
    <row r="355" spans="5:11" x14ac:dyDescent="0.25">
      <c r="E355" t="s">
        <v>713</v>
      </c>
      <c r="F355">
        <v>95574</v>
      </c>
      <c r="G355" s="1">
        <v>45382</v>
      </c>
      <c r="H355" t="s">
        <v>714</v>
      </c>
      <c r="I355" t="s">
        <v>33</v>
      </c>
      <c r="J355" s="1">
        <v>45292</v>
      </c>
      <c r="K355">
        <v>3912000</v>
      </c>
    </row>
    <row r="356" spans="5:11" x14ac:dyDescent="0.25">
      <c r="E356" t="s">
        <v>715</v>
      </c>
      <c r="F356">
        <v>95953</v>
      </c>
      <c r="G356" s="1">
        <v>45382</v>
      </c>
      <c r="H356" t="s">
        <v>716</v>
      </c>
      <c r="I356" t="s">
        <v>19</v>
      </c>
      <c r="J356" s="1">
        <v>45292</v>
      </c>
      <c r="K356">
        <v>-5493000</v>
      </c>
    </row>
    <row r="357" spans="5:11" x14ac:dyDescent="0.25">
      <c r="E357" t="s">
        <v>717</v>
      </c>
      <c r="F357">
        <v>96021</v>
      </c>
      <c r="G357" s="1">
        <v>45381</v>
      </c>
      <c r="H357" t="s">
        <v>718</v>
      </c>
      <c r="I357" t="s">
        <v>30</v>
      </c>
      <c r="J357" s="1">
        <v>45291</v>
      </c>
      <c r="K357">
        <v>424688000</v>
      </c>
    </row>
    <row r="358" spans="5:11" x14ac:dyDescent="0.25">
      <c r="E358" t="s">
        <v>719</v>
      </c>
      <c r="F358">
        <v>96271</v>
      </c>
      <c r="G358" s="1">
        <v>45382</v>
      </c>
      <c r="H358" t="s">
        <v>720</v>
      </c>
      <c r="I358" t="s">
        <v>33</v>
      </c>
      <c r="J358" s="1">
        <v>45292</v>
      </c>
      <c r="K358">
        <v>63000000</v>
      </c>
    </row>
    <row r="359" spans="5:11" x14ac:dyDescent="0.25">
      <c r="E359" t="s">
        <v>721</v>
      </c>
      <c r="F359">
        <v>96536</v>
      </c>
      <c r="G359" s="1">
        <v>45351</v>
      </c>
      <c r="H359" t="s">
        <v>722</v>
      </c>
      <c r="I359" t="s">
        <v>57</v>
      </c>
      <c r="J359" s="1">
        <v>45261</v>
      </c>
      <c r="K359">
        <v>2696921</v>
      </c>
    </row>
    <row r="360" spans="5:11" x14ac:dyDescent="0.25">
      <c r="E360" t="s">
        <v>723</v>
      </c>
      <c r="F360">
        <v>96793</v>
      </c>
      <c r="G360" s="1">
        <v>45382</v>
      </c>
      <c r="H360" t="s">
        <v>724</v>
      </c>
      <c r="I360" t="s">
        <v>64</v>
      </c>
      <c r="J360" s="1">
        <v>45292</v>
      </c>
      <c r="K360">
        <v>-1396000</v>
      </c>
    </row>
    <row r="361" spans="5:11" x14ac:dyDescent="0.25">
      <c r="E361" t="s">
        <v>725</v>
      </c>
      <c r="F361">
        <v>96869</v>
      </c>
      <c r="G361" s="1">
        <v>45382</v>
      </c>
      <c r="H361" t="s">
        <v>726</v>
      </c>
      <c r="I361" t="s">
        <v>36</v>
      </c>
      <c r="J361" s="1">
        <v>45292</v>
      </c>
      <c r="K361">
        <v>-914000</v>
      </c>
    </row>
    <row r="362" spans="5:11" x14ac:dyDescent="0.25">
      <c r="E362" t="s">
        <v>10336</v>
      </c>
      <c r="F362">
        <v>96943</v>
      </c>
      <c r="G362" s="1">
        <v>45382</v>
      </c>
      <c r="H362" t="s">
        <v>727</v>
      </c>
      <c r="I362" t="s">
        <v>39</v>
      </c>
      <c r="J362" s="1">
        <v>45292</v>
      </c>
      <c r="K362">
        <v>15289000</v>
      </c>
    </row>
    <row r="363" spans="5:11" x14ac:dyDescent="0.25">
      <c r="E363" t="s">
        <v>728</v>
      </c>
      <c r="F363">
        <v>97134</v>
      </c>
      <c r="G363" s="1">
        <v>45382</v>
      </c>
      <c r="H363" t="s">
        <v>729</v>
      </c>
      <c r="I363" t="s">
        <v>213</v>
      </c>
      <c r="J363" s="1">
        <v>45292</v>
      </c>
      <c r="K363">
        <v>28400000</v>
      </c>
    </row>
    <row r="364" spans="5:11" x14ac:dyDescent="0.25">
      <c r="E364" t="s">
        <v>730</v>
      </c>
      <c r="F364">
        <v>97210</v>
      </c>
      <c r="G364" s="1">
        <v>45382</v>
      </c>
      <c r="H364" t="s">
        <v>731</v>
      </c>
      <c r="I364" t="s">
        <v>24</v>
      </c>
      <c r="J364" s="1">
        <v>45292</v>
      </c>
      <c r="K364">
        <v>64197000</v>
      </c>
    </row>
    <row r="365" spans="5:11" x14ac:dyDescent="0.25">
      <c r="E365" t="s">
        <v>732</v>
      </c>
      <c r="F365">
        <v>97216</v>
      </c>
      <c r="G365" s="1">
        <v>45382</v>
      </c>
      <c r="H365" t="s">
        <v>733</v>
      </c>
      <c r="I365" t="s">
        <v>27</v>
      </c>
      <c r="J365" s="1">
        <v>45292</v>
      </c>
      <c r="K365">
        <v>108500000</v>
      </c>
    </row>
    <row r="366" spans="5:11" x14ac:dyDescent="0.25">
      <c r="E366" t="s">
        <v>734</v>
      </c>
      <c r="F366">
        <v>97476</v>
      </c>
      <c r="G366" s="1">
        <v>45382</v>
      </c>
      <c r="H366" t="s">
        <v>735</v>
      </c>
      <c r="I366" t="s">
        <v>30</v>
      </c>
      <c r="J366" s="1">
        <v>45292</v>
      </c>
      <c r="K366">
        <v>1105000000</v>
      </c>
    </row>
    <row r="367" spans="5:11" x14ac:dyDescent="0.25">
      <c r="E367" t="s">
        <v>736</v>
      </c>
      <c r="F367">
        <v>98222</v>
      </c>
      <c r="G367" s="1">
        <v>45382</v>
      </c>
      <c r="H367" t="s">
        <v>737</v>
      </c>
      <c r="I367" t="s">
        <v>30</v>
      </c>
      <c r="J367" s="1">
        <v>45292</v>
      </c>
      <c r="K367">
        <v>47026000</v>
      </c>
    </row>
    <row r="368" spans="5:11" x14ac:dyDescent="0.25">
      <c r="E368" t="s">
        <v>738</v>
      </c>
      <c r="F368">
        <v>98338</v>
      </c>
      <c r="G368" s="1">
        <v>45351</v>
      </c>
      <c r="H368" t="s">
        <v>739</v>
      </c>
      <c r="I368" t="s">
        <v>57</v>
      </c>
      <c r="J368" s="1">
        <v>45261</v>
      </c>
      <c r="K368">
        <v>411092</v>
      </c>
    </row>
    <row r="369" spans="5:11" x14ac:dyDescent="0.25">
      <c r="E369" t="s">
        <v>740</v>
      </c>
      <c r="F369">
        <v>98362</v>
      </c>
      <c r="G369" s="1">
        <v>45382</v>
      </c>
      <c r="H369" t="s">
        <v>741</v>
      </c>
      <c r="I369" t="s">
        <v>60</v>
      </c>
      <c r="J369" s="1">
        <v>45292</v>
      </c>
      <c r="K369">
        <v>103500000</v>
      </c>
    </row>
    <row r="370" spans="5:11" x14ac:dyDescent="0.25">
      <c r="E370" t="s">
        <v>742</v>
      </c>
      <c r="F370">
        <v>98677</v>
      </c>
      <c r="G370" s="1">
        <v>45382</v>
      </c>
      <c r="H370" t="s">
        <v>743</v>
      </c>
      <c r="I370" t="s">
        <v>19</v>
      </c>
      <c r="J370" s="1">
        <v>45292</v>
      </c>
      <c r="K370">
        <v>15834000</v>
      </c>
    </row>
    <row r="371" spans="5:11" x14ac:dyDescent="0.25">
      <c r="E371" t="s">
        <v>744</v>
      </c>
      <c r="F371">
        <v>99106</v>
      </c>
      <c r="G371" s="1">
        <v>45382</v>
      </c>
      <c r="H371" t="s">
        <v>745</v>
      </c>
      <c r="I371" t="s">
        <v>57</v>
      </c>
      <c r="J371" s="1">
        <v>45292</v>
      </c>
      <c r="K371">
        <v>-1269000</v>
      </c>
    </row>
    <row r="372" spans="5:11" x14ac:dyDescent="0.25">
      <c r="E372" t="s">
        <v>746</v>
      </c>
      <c r="F372">
        <v>99250</v>
      </c>
      <c r="G372" s="1">
        <v>45382</v>
      </c>
      <c r="H372" t="s">
        <v>747</v>
      </c>
      <c r="I372" t="s">
        <v>30</v>
      </c>
      <c r="J372" s="1">
        <v>45292</v>
      </c>
      <c r="K372">
        <v>347835000</v>
      </c>
    </row>
    <row r="373" spans="5:11" x14ac:dyDescent="0.25">
      <c r="E373" t="s">
        <v>748</v>
      </c>
      <c r="F373">
        <v>99780</v>
      </c>
      <c r="G373" s="1">
        <v>45382</v>
      </c>
      <c r="H373" t="s">
        <v>749</v>
      </c>
      <c r="I373" t="s">
        <v>30</v>
      </c>
      <c r="J373" s="1">
        <v>45292</v>
      </c>
      <c r="K373">
        <v>23700000</v>
      </c>
    </row>
    <row r="374" spans="5:11" x14ac:dyDescent="0.25">
      <c r="E374" t="s">
        <v>750</v>
      </c>
      <c r="F374">
        <v>100378</v>
      </c>
      <c r="G374" s="1">
        <v>45380</v>
      </c>
      <c r="H374" t="s">
        <v>751</v>
      </c>
      <c r="I374" t="s">
        <v>83</v>
      </c>
      <c r="J374" s="1">
        <v>45290</v>
      </c>
      <c r="K374">
        <v>3822000</v>
      </c>
    </row>
    <row r="375" spans="5:11" x14ac:dyDescent="0.25">
      <c r="E375" t="s">
        <v>752</v>
      </c>
      <c r="F375">
        <v>100493</v>
      </c>
      <c r="G375" s="1">
        <v>45381</v>
      </c>
      <c r="H375" t="s">
        <v>753</v>
      </c>
      <c r="I375" t="s">
        <v>251</v>
      </c>
      <c r="J375" s="1">
        <v>45291</v>
      </c>
      <c r="K375">
        <v>145000000</v>
      </c>
    </row>
    <row r="376" spans="5:11" x14ac:dyDescent="0.25">
      <c r="E376" t="s">
        <v>754</v>
      </c>
      <c r="F376">
        <v>100517</v>
      </c>
      <c r="G376" s="1">
        <v>45382</v>
      </c>
      <c r="H376" t="s">
        <v>755</v>
      </c>
      <c r="I376" t="s">
        <v>19</v>
      </c>
      <c r="J376" s="1">
        <v>45292</v>
      </c>
      <c r="K376">
        <v>-124000000</v>
      </c>
    </row>
    <row r="377" spans="5:11" x14ac:dyDescent="0.25">
      <c r="E377" t="s">
        <v>756</v>
      </c>
      <c r="F377">
        <v>100591</v>
      </c>
      <c r="G377" s="1">
        <v>45412</v>
      </c>
      <c r="H377" t="s">
        <v>757</v>
      </c>
      <c r="I377" t="s">
        <v>299</v>
      </c>
      <c r="J377" s="1">
        <v>45323</v>
      </c>
      <c r="K377">
        <v>7882000</v>
      </c>
    </row>
    <row r="378" spans="5:11" x14ac:dyDescent="0.25">
      <c r="E378" t="s">
        <v>10337</v>
      </c>
      <c r="F378">
        <v>100726</v>
      </c>
      <c r="G378" s="1">
        <v>45382</v>
      </c>
      <c r="H378" t="s">
        <v>758</v>
      </c>
      <c r="I378" t="s">
        <v>172</v>
      </c>
      <c r="J378" s="1">
        <v>45292</v>
      </c>
      <c r="K378">
        <v>-10295000</v>
      </c>
    </row>
    <row r="379" spans="5:11" x14ac:dyDescent="0.25">
      <c r="E379" t="s">
        <v>759</v>
      </c>
      <c r="F379">
        <v>100790</v>
      </c>
      <c r="G379" s="1">
        <v>45382</v>
      </c>
      <c r="H379" t="s">
        <v>760</v>
      </c>
      <c r="I379" t="s">
        <v>30</v>
      </c>
      <c r="J379" s="1">
        <v>45292</v>
      </c>
      <c r="K379">
        <v>129000000</v>
      </c>
    </row>
    <row r="380" spans="5:11" x14ac:dyDescent="0.25">
      <c r="E380" t="s">
        <v>761</v>
      </c>
      <c r="F380">
        <v>100885</v>
      </c>
      <c r="G380" s="1">
        <v>45382</v>
      </c>
      <c r="H380" t="s">
        <v>762</v>
      </c>
      <c r="I380" t="s">
        <v>763</v>
      </c>
      <c r="J380" s="1">
        <v>45292</v>
      </c>
      <c r="K380">
        <v>1641000000</v>
      </c>
    </row>
    <row r="381" spans="5:11" x14ac:dyDescent="0.25">
      <c r="E381" t="s">
        <v>764</v>
      </c>
      <c r="F381">
        <v>101199</v>
      </c>
      <c r="G381" s="1">
        <v>45382</v>
      </c>
      <c r="H381" t="s">
        <v>765</v>
      </c>
      <c r="I381" t="s">
        <v>95</v>
      </c>
      <c r="J381" s="1">
        <v>45292</v>
      </c>
      <c r="K381">
        <v>13502000</v>
      </c>
    </row>
    <row r="382" spans="5:11" x14ac:dyDescent="0.25">
      <c r="E382" t="s">
        <v>766</v>
      </c>
      <c r="F382">
        <v>101295</v>
      </c>
      <c r="G382" s="1">
        <v>45382</v>
      </c>
      <c r="H382" t="s">
        <v>767</v>
      </c>
      <c r="I382" t="s">
        <v>57</v>
      </c>
      <c r="J382" s="1">
        <v>45292</v>
      </c>
      <c r="K382">
        <v>925442</v>
      </c>
    </row>
    <row r="383" spans="5:11" x14ac:dyDescent="0.25">
      <c r="E383" t="s">
        <v>768</v>
      </c>
      <c r="F383">
        <v>101382</v>
      </c>
      <c r="G383" s="1">
        <v>45382</v>
      </c>
      <c r="H383" t="s">
        <v>769</v>
      </c>
      <c r="I383" t="s">
        <v>137</v>
      </c>
      <c r="J383" s="1">
        <v>45292</v>
      </c>
      <c r="K383">
        <v>110258000</v>
      </c>
    </row>
    <row r="384" spans="5:11" x14ac:dyDescent="0.25">
      <c r="E384" t="s">
        <v>770</v>
      </c>
      <c r="F384">
        <v>101538</v>
      </c>
      <c r="G384" s="1">
        <v>45382</v>
      </c>
      <c r="H384" t="s">
        <v>771</v>
      </c>
      <c r="I384" t="s">
        <v>772</v>
      </c>
      <c r="J384" s="1">
        <v>45292</v>
      </c>
      <c r="K384">
        <v>-322768</v>
      </c>
    </row>
    <row r="385" spans="5:11" x14ac:dyDescent="0.25">
      <c r="E385" t="s">
        <v>773</v>
      </c>
      <c r="F385">
        <v>101594</v>
      </c>
      <c r="G385" s="1">
        <v>45382</v>
      </c>
      <c r="H385" t="s">
        <v>774</v>
      </c>
      <c r="I385" t="s">
        <v>30</v>
      </c>
      <c r="J385" s="1">
        <v>45292</v>
      </c>
      <c r="K385">
        <v>-9537000</v>
      </c>
    </row>
    <row r="386" spans="5:11" x14ac:dyDescent="0.25">
      <c r="E386" t="s">
        <v>775</v>
      </c>
      <c r="F386">
        <v>101778</v>
      </c>
      <c r="G386" s="1">
        <v>45382</v>
      </c>
      <c r="H386" t="s">
        <v>776</v>
      </c>
      <c r="I386" t="s">
        <v>30</v>
      </c>
      <c r="J386" s="1">
        <v>45292</v>
      </c>
      <c r="K386">
        <v>297000000</v>
      </c>
    </row>
    <row r="387" spans="5:11" x14ac:dyDescent="0.25">
      <c r="E387" t="s">
        <v>777</v>
      </c>
      <c r="F387">
        <v>101829</v>
      </c>
      <c r="G387" s="1">
        <v>45382</v>
      </c>
      <c r="H387" t="s">
        <v>778</v>
      </c>
      <c r="I387" t="s">
        <v>123</v>
      </c>
      <c r="J387" s="1">
        <v>45292</v>
      </c>
      <c r="K387">
        <v>1709000000</v>
      </c>
    </row>
    <row r="388" spans="5:11" x14ac:dyDescent="0.25">
      <c r="E388" t="s">
        <v>779</v>
      </c>
      <c r="F388">
        <v>101984</v>
      </c>
      <c r="G388" s="1">
        <v>45382</v>
      </c>
      <c r="H388" t="s">
        <v>780</v>
      </c>
      <c r="I388" t="s">
        <v>113</v>
      </c>
      <c r="J388" s="1">
        <v>45292</v>
      </c>
      <c r="K388">
        <v>-8649000</v>
      </c>
    </row>
    <row r="389" spans="5:11" x14ac:dyDescent="0.25">
      <c r="E389" t="s">
        <v>781</v>
      </c>
      <c r="F389">
        <v>102212</v>
      </c>
      <c r="G389" s="1">
        <v>45382</v>
      </c>
      <c r="H389" t="s">
        <v>782</v>
      </c>
      <c r="I389" t="s">
        <v>39</v>
      </c>
      <c r="J389" s="1">
        <v>45292</v>
      </c>
      <c r="K389">
        <v>20305000</v>
      </c>
    </row>
    <row r="390" spans="5:11" x14ac:dyDescent="0.25">
      <c r="E390" t="s">
        <v>10338</v>
      </c>
      <c r="F390">
        <v>102729</v>
      </c>
      <c r="G390" s="1">
        <v>45381</v>
      </c>
      <c r="H390" t="s">
        <v>783</v>
      </c>
      <c r="I390" t="s">
        <v>763</v>
      </c>
      <c r="J390" s="1">
        <v>45291</v>
      </c>
      <c r="K390">
        <v>87822000</v>
      </c>
    </row>
    <row r="391" spans="5:11" x14ac:dyDescent="0.25">
      <c r="E391" t="s">
        <v>784</v>
      </c>
      <c r="F391">
        <v>102752</v>
      </c>
      <c r="G391" s="1">
        <v>45382</v>
      </c>
      <c r="H391" t="s">
        <v>785</v>
      </c>
      <c r="I391" t="s">
        <v>123</v>
      </c>
      <c r="J391" s="1">
        <v>45292</v>
      </c>
      <c r="K391">
        <v>-6611000</v>
      </c>
    </row>
    <row r="392" spans="5:11" x14ac:dyDescent="0.25">
      <c r="E392" t="s">
        <v>786</v>
      </c>
      <c r="F392">
        <v>103145</v>
      </c>
      <c r="G392" s="1">
        <v>45382</v>
      </c>
      <c r="H392" t="s">
        <v>787</v>
      </c>
      <c r="I392" t="s">
        <v>57</v>
      </c>
      <c r="J392" s="1">
        <v>45292</v>
      </c>
      <c r="K392">
        <v>21854000</v>
      </c>
    </row>
    <row r="393" spans="5:11" x14ac:dyDescent="0.25">
      <c r="E393" t="s">
        <v>788</v>
      </c>
      <c r="F393">
        <v>103595</v>
      </c>
      <c r="G393" s="1">
        <v>45409</v>
      </c>
      <c r="H393" t="s">
        <v>789</v>
      </c>
      <c r="I393" t="s">
        <v>46</v>
      </c>
      <c r="J393" s="1">
        <v>45319</v>
      </c>
      <c r="K393">
        <v>8966000</v>
      </c>
    </row>
    <row r="394" spans="5:11" x14ac:dyDescent="0.25">
      <c r="E394" t="s">
        <v>790</v>
      </c>
      <c r="F394">
        <v>103730</v>
      </c>
      <c r="G394" s="1">
        <v>45381</v>
      </c>
      <c r="H394" t="s">
        <v>791</v>
      </c>
      <c r="I394" t="s">
        <v>39</v>
      </c>
      <c r="J394" s="1">
        <v>45292</v>
      </c>
      <c r="K394">
        <v>30924000</v>
      </c>
    </row>
    <row r="395" spans="5:11" x14ac:dyDescent="0.25">
      <c r="E395" t="s">
        <v>792</v>
      </c>
      <c r="F395">
        <v>104169</v>
      </c>
      <c r="G395" s="1">
        <v>45412</v>
      </c>
      <c r="H395" t="s">
        <v>793</v>
      </c>
      <c r="I395" t="s">
        <v>251</v>
      </c>
      <c r="J395" s="1">
        <v>45323</v>
      </c>
      <c r="K395">
        <v>5104000000</v>
      </c>
    </row>
    <row r="396" spans="5:11" x14ac:dyDescent="0.25">
      <c r="E396" t="s">
        <v>794</v>
      </c>
      <c r="F396">
        <v>104889</v>
      </c>
      <c r="G396" s="1">
        <v>45382</v>
      </c>
      <c r="H396" t="s">
        <v>795</v>
      </c>
      <c r="I396" t="s">
        <v>123</v>
      </c>
      <c r="J396" s="1">
        <v>45292</v>
      </c>
      <c r="K396">
        <v>124380000</v>
      </c>
    </row>
    <row r="397" spans="5:11" x14ac:dyDescent="0.25">
      <c r="E397" t="s">
        <v>796</v>
      </c>
      <c r="F397">
        <v>104894</v>
      </c>
      <c r="G397" s="1">
        <v>45382</v>
      </c>
      <c r="H397" t="s">
        <v>797</v>
      </c>
      <c r="I397" t="s">
        <v>299</v>
      </c>
      <c r="J397" s="1">
        <v>45292</v>
      </c>
      <c r="K397">
        <v>-3647000</v>
      </c>
    </row>
    <row r="398" spans="5:11" x14ac:dyDescent="0.25">
      <c r="E398" t="s">
        <v>798</v>
      </c>
      <c r="F398">
        <v>104918</v>
      </c>
      <c r="G398" s="1">
        <v>45382</v>
      </c>
      <c r="H398" t="s">
        <v>799</v>
      </c>
      <c r="I398" t="s">
        <v>504</v>
      </c>
      <c r="J398" s="1">
        <v>45292</v>
      </c>
      <c r="K398">
        <v>71495000</v>
      </c>
    </row>
    <row r="399" spans="5:11" x14ac:dyDescent="0.25">
      <c r="E399" t="s">
        <v>800</v>
      </c>
      <c r="F399">
        <v>105016</v>
      </c>
      <c r="G399" s="1">
        <v>45382</v>
      </c>
      <c r="H399" t="s">
        <v>801</v>
      </c>
      <c r="I399" t="s">
        <v>33</v>
      </c>
      <c r="J399" s="1">
        <v>45292</v>
      </c>
      <c r="K399">
        <v>87004000</v>
      </c>
    </row>
    <row r="400" spans="5:11" x14ac:dyDescent="0.25">
      <c r="E400" t="s">
        <v>802</v>
      </c>
      <c r="F400">
        <v>105132</v>
      </c>
      <c r="G400" s="1">
        <v>45351</v>
      </c>
      <c r="H400" t="s">
        <v>803</v>
      </c>
      <c r="I400" t="s">
        <v>36</v>
      </c>
      <c r="J400" s="1">
        <v>45261</v>
      </c>
      <c r="K400">
        <v>15536000</v>
      </c>
    </row>
    <row r="401" spans="5:11" x14ac:dyDescent="0.25">
      <c r="E401" t="s">
        <v>804</v>
      </c>
      <c r="F401">
        <v>105319</v>
      </c>
      <c r="G401" s="1">
        <v>45381</v>
      </c>
      <c r="H401" t="s">
        <v>805</v>
      </c>
      <c r="I401" t="s">
        <v>57</v>
      </c>
      <c r="J401" s="1">
        <v>45291</v>
      </c>
      <c r="K401">
        <v>-347902000</v>
      </c>
    </row>
    <row r="402" spans="5:11" x14ac:dyDescent="0.25">
      <c r="E402" t="s">
        <v>806</v>
      </c>
      <c r="F402">
        <v>105418</v>
      </c>
      <c r="G402" s="1">
        <v>45381</v>
      </c>
      <c r="H402" t="s">
        <v>807</v>
      </c>
      <c r="I402" t="s">
        <v>39</v>
      </c>
      <c r="J402" s="1">
        <v>45291</v>
      </c>
      <c r="K402">
        <v>23165000</v>
      </c>
    </row>
    <row r="403" spans="5:11" x14ac:dyDescent="0.25">
      <c r="E403" t="s">
        <v>808</v>
      </c>
      <c r="F403">
        <v>105634</v>
      </c>
      <c r="G403" s="1">
        <v>45382</v>
      </c>
      <c r="H403" t="s">
        <v>809</v>
      </c>
      <c r="I403" t="s">
        <v>27</v>
      </c>
      <c r="J403" s="1">
        <v>45292</v>
      </c>
      <c r="K403">
        <v>197149000</v>
      </c>
    </row>
    <row r="404" spans="5:11" x14ac:dyDescent="0.25">
      <c r="E404" t="s">
        <v>810</v>
      </c>
      <c r="F404">
        <v>105744</v>
      </c>
      <c r="G404" s="1">
        <v>45382</v>
      </c>
      <c r="H404" t="s">
        <v>811</v>
      </c>
      <c r="I404" t="s">
        <v>30</v>
      </c>
      <c r="J404" s="1">
        <v>45292</v>
      </c>
      <c r="K404">
        <v>2000</v>
      </c>
    </row>
    <row r="405" spans="5:11" x14ac:dyDescent="0.25">
      <c r="E405" t="s">
        <v>10339</v>
      </c>
      <c r="F405">
        <v>105770</v>
      </c>
      <c r="G405" s="1">
        <v>45382</v>
      </c>
      <c r="H405" t="s">
        <v>812</v>
      </c>
      <c r="I405" t="s">
        <v>39</v>
      </c>
      <c r="J405" s="1">
        <v>45292</v>
      </c>
      <c r="K405">
        <v>115300000</v>
      </c>
    </row>
    <row r="406" spans="5:11" x14ac:dyDescent="0.25">
      <c r="E406" t="s">
        <v>813</v>
      </c>
      <c r="F406">
        <v>106040</v>
      </c>
      <c r="G406" s="1">
        <v>45380</v>
      </c>
      <c r="H406" t="s">
        <v>814</v>
      </c>
      <c r="I406" t="s">
        <v>36</v>
      </c>
      <c r="J406" s="1">
        <v>45290</v>
      </c>
      <c r="K406">
        <v>135000000</v>
      </c>
    </row>
    <row r="407" spans="5:11" x14ac:dyDescent="0.25">
      <c r="E407" t="s">
        <v>815</v>
      </c>
      <c r="F407">
        <v>106532</v>
      </c>
      <c r="G407" s="1">
        <v>45382</v>
      </c>
      <c r="H407" t="s">
        <v>816</v>
      </c>
      <c r="I407" t="s">
        <v>83</v>
      </c>
      <c r="J407" s="1">
        <v>45292</v>
      </c>
      <c r="K407">
        <v>6650000</v>
      </c>
    </row>
    <row r="408" spans="5:11" x14ac:dyDescent="0.25">
      <c r="E408" t="s">
        <v>817</v>
      </c>
      <c r="F408">
        <v>106535</v>
      </c>
      <c r="G408" s="1">
        <v>45382</v>
      </c>
      <c r="H408" t="s">
        <v>818</v>
      </c>
      <c r="I408" t="s">
        <v>504</v>
      </c>
      <c r="J408" s="1">
        <v>45292</v>
      </c>
      <c r="K408">
        <v>114000000</v>
      </c>
    </row>
    <row r="409" spans="5:11" x14ac:dyDescent="0.25">
      <c r="E409" t="s">
        <v>819</v>
      </c>
      <c r="F409">
        <v>106640</v>
      </c>
      <c r="G409" s="1">
        <v>45382</v>
      </c>
      <c r="H409" t="s">
        <v>820</v>
      </c>
      <c r="I409" t="s">
        <v>329</v>
      </c>
      <c r="J409" s="1">
        <v>45292</v>
      </c>
      <c r="K409">
        <v>-259000000</v>
      </c>
    </row>
    <row r="410" spans="5:11" x14ac:dyDescent="0.25">
      <c r="E410" t="s">
        <v>821</v>
      </c>
      <c r="F410">
        <v>107263</v>
      </c>
      <c r="G410" s="1">
        <v>45382</v>
      </c>
      <c r="H410" t="s">
        <v>822</v>
      </c>
      <c r="I410" t="s">
        <v>277</v>
      </c>
      <c r="J410" s="1">
        <v>45292</v>
      </c>
      <c r="K410">
        <v>632000000</v>
      </c>
    </row>
    <row r="411" spans="5:11" x14ac:dyDescent="0.25">
      <c r="E411" t="s">
        <v>823</v>
      </c>
      <c r="F411">
        <v>107687</v>
      </c>
      <c r="G411" s="1">
        <v>45346</v>
      </c>
      <c r="H411" t="s">
        <v>824</v>
      </c>
      <c r="I411" t="s">
        <v>213</v>
      </c>
      <c r="J411" s="1">
        <v>45256</v>
      </c>
      <c r="K411">
        <v>-12700000</v>
      </c>
    </row>
    <row r="412" spans="5:11" x14ac:dyDescent="0.25">
      <c r="E412" t="s">
        <v>825</v>
      </c>
      <c r="F412">
        <v>107833</v>
      </c>
      <c r="G412" s="1">
        <v>45382</v>
      </c>
      <c r="H412" t="s">
        <v>826</v>
      </c>
      <c r="I412" t="s">
        <v>83</v>
      </c>
      <c r="J412" s="1">
        <v>45292</v>
      </c>
      <c r="K412">
        <v>67400000</v>
      </c>
    </row>
    <row r="413" spans="5:11" x14ac:dyDescent="0.25">
      <c r="E413" t="s">
        <v>827</v>
      </c>
      <c r="F413">
        <v>108312</v>
      </c>
      <c r="G413" s="1">
        <v>45382</v>
      </c>
      <c r="H413" t="s">
        <v>828</v>
      </c>
      <c r="I413" t="s">
        <v>92</v>
      </c>
      <c r="J413" s="1">
        <v>45292</v>
      </c>
      <c r="K413">
        <v>97556000</v>
      </c>
    </row>
    <row r="414" spans="5:11" x14ac:dyDescent="0.25">
      <c r="E414" t="s">
        <v>829</v>
      </c>
      <c r="F414">
        <v>108385</v>
      </c>
      <c r="G414" s="1">
        <v>45382</v>
      </c>
      <c r="H414" t="s">
        <v>830</v>
      </c>
      <c r="I414" t="s">
        <v>686</v>
      </c>
      <c r="J414" s="1">
        <v>45292</v>
      </c>
      <c r="K414">
        <v>35058000</v>
      </c>
    </row>
    <row r="415" spans="5:11" x14ac:dyDescent="0.25">
      <c r="E415" t="s">
        <v>831</v>
      </c>
      <c r="F415">
        <v>108516</v>
      </c>
      <c r="G415" s="1">
        <v>45351</v>
      </c>
      <c r="H415" t="s">
        <v>832</v>
      </c>
      <c r="I415" t="s">
        <v>60</v>
      </c>
      <c r="J415" s="1">
        <v>45261</v>
      </c>
      <c r="K415">
        <v>22000000</v>
      </c>
    </row>
    <row r="416" spans="5:11" x14ac:dyDescent="0.25">
      <c r="E416" t="s">
        <v>833</v>
      </c>
      <c r="F416">
        <v>108985</v>
      </c>
      <c r="G416" s="1">
        <v>45382</v>
      </c>
      <c r="H416" t="s">
        <v>834</v>
      </c>
      <c r="I416" t="s">
        <v>39</v>
      </c>
      <c r="J416" s="1">
        <v>45292</v>
      </c>
      <c r="K416">
        <v>4327000</v>
      </c>
    </row>
    <row r="417" spans="5:11" x14ac:dyDescent="0.25">
      <c r="E417" t="s">
        <v>835</v>
      </c>
      <c r="F417">
        <v>109177</v>
      </c>
      <c r="G417" s="1">
        <v>45382</v>
      </c>
      <c r="H417" t="s">
        <v>836</v>
      </c>
      <c r="I417" t="s">
        <v>83</v>
      </c>
      <c r="J417" s="1">
        <v>45292</v>
      </c>
      <c r="K417">
        <v>61100000</v>
      </c>
    </row>
    <row r="418" spans="5:11" x14ac:dyDescent="0.25">
      <c r="E418" t="s">
        <v>837</v>
      </c>
      <c r="F418">
        <v>109198</v>
      </c>
      <c r="G418" s="1">
        <v>45416</v>
      </c>
      <c r="H418" t="s">
        <v>838</v>
      </c>
      <c r="I418" t="s">
        <v>24</v>
      </c>
      <c r="J418" s="1">
        <v>45326</v>
      </c>
      <c r="K418">
        <v>1070000000</v>
      </c>
    </row>
    <row r="419" spans="5:11" x14ac:dyDescent="0.25">
      <c r="E419" t="s">
        <v>839</v>
      </c>
      <c r="F419">
        <v>109380</v>
      </c>
      <c r="G419" s="1">
        <v>45382</v>
      </c>
      <c r="H419" t="s">
        <v>840</v>
      </c>
      <c r="I419" t="s">
        <v>406</v>
      </c>
      <c r="J419" s="1">
        <v>45292</v>
      </c>
      <c r="K419">
        <v>153000000</v>
      </c>
    </row>
    <row r="420" spans="5:11" x14ac:dyDescent="0.25">
      <c r="E420" t="s">
        <v>841</v>
      </c>
      <c r="F420">
        <v>109563</v>
      </c>
      <c r="G420" s="1">
        <v>45382</v>
      </c>
      <c r="H420" t="s">
        <v>842</v>
      </c>
      <c r="I420" t="s">
        <v>60</v>
      </c>
      <c r="J420" s="1">
        <v>45292</v>
      </c>
      <c r="K420">
        <v>97217000</v>
      </c>
    </row>
    <row r="421" spans="5:11" x14ac:dyDescent="0.25">
      <c r="E421" t="s">
        <v>843</v>
      </c>
      <c r="F421">
        <v>109657</v>
      </c>
      <c r="G421" s="1">
        <v>45382</v>
      </c>
      <c r="H421" t="s">
        <v>844</v>
      </c>
      <c r="I421" t="s">
        <v>36</v>
      </c>
      <c r="J421" s="1">
        <v>45292</v>
      </c>
      <c r="K421">
        <v>-2266000</v>
      </c>
    </row>
    <row r="422" spans="5:11" x14ac:dyDescent="0.25">
      <c r="E422" t="s">
        <v>845</v>
      </c>
      <c r="F422">
        <v>110019</v>
      </c>
      <c r="G422" s="1">
        <v>45382</v>
      </c>
      <c r="H422" t="s">
        <v>846</v>
      </c>
      <c r="I422" t="s">
        <v>277</v>
      </c>
      <c r="J422" s="1">
        <v>45292</v>
      </c>
      <c r="K422">
        <v>53095000</v>
      </c>
    </row>
    <row r="423" spans="5:11" x14ac:dyDescent="0.25">
      <c r="E423" t="s">
        <v>847</v>
      </c>
      <c r="F423">
        <v>110471</v>
      </c>
      <c r="G423" s="1">
        <v>45381</v>
      </c>
      <c r="H423" t="s">
        <v>848</v>
      </c>
      <c r="I423" t="s">
        <v>329</v>
      </c>
      <c r="J423" s="1">
        <v>45291</v>
      </c>
      <c r="K423">
        <v>-14500000</v>
      </c>
    </row>
    <row r="424" spans="5:11" x14ac:dyDescent="0.25">
      <c r="E424" t="s">
        <v>849</v>
      </c>
      <c r="F424">
        <v>110621</v>
      </c>
      <c r="G424" s="1">
        <v>45351</v>
      </c>
      <c r="H424" t="s">
        <v>850</v>
      </c>
      <c r="I424" t="s">
        <v>60</v>
      </c>
      <c r="J424" s="1">
        <v>45261</v>
      </c>
      <c r="K424">
        <v>61199000</v>
      </c>
    </row>
    <row r="425" spans="5:11" x14ac:dyDescent="0.25">
      <c r="E425" t="s">
        <v>851</v>
      </c>
      <c r="F425">
        <v>200406</v>
      </c>
      <c r="G425" s="1">
        <v>45382</v>
      </c>
      <c r="H425" t="s">
        <v>852</v>
      </c>
      <c r="I425" t="s">
        <v>46</v>
      </c>
      <c r="J425" s="1">
        <v>45292</v>
      </c>
      <c r="K425">
        <v>3255000000</v>
      </c>
    </row>
    <row r="426" spans="5:11" x14ac:dyDescent="0.25">
      <c r="E426" t="s">
        <v>853</v>
      </c>
      <c r="F426">
        <v>202058</v>
      </c>
      <c r="G426" s="1">
        <v>45380</v>
      </c>
      <c r="H426" t="s">
        <v>854</v>
      </c>
      <c r="I426" t="s">
        <v>33</v>
      </c>
      <c r="J426" s="1">
        <v>45290</v>
      </c>
      <c r="K426">
        <v>283000000</v>
      </c>
    </row>
    <row r="427" spans="5:11" x14ac:dyDescent="0.25">
      <c r="E427" t="s">
        <v>855</v>
      </c>
      <c r="F427">
        <v>202947</v>
      </c>
      <c r="G427" s="1">
        <v>45382</v>
      </c>
      <c r="H427" t="s">
        <v>856</v>
      </c>
      <c r="I427" t="s">
        <v>101</v>
      </c>
      <c r="J427" s="1">
        <v>45292</v>
      </c>
      <c r="K427">
        <v>488000</v>
      </c>
    </row>
    <row r="428" spans="5:11" x14ac:dyDescent="0.25">
      <c r="E428" t="s">
        <v>857</v>
      </c>
      <c r="F428">
        <v>203596</v>
      </c>
      <c r="G428" s="1">
        <v>45382</v>
      </c>
      <c r="H428" t="s">
        <v>858</v>
      </c>
      <c r="I428" t="s">
        <v>859</v>
      </c>
      <c r="J428" s="1">
        <v>45292</v>
      </c>
      <c r="K428">
        <v>35693000</v>
      </c>
    </row>
    <row r="429" spans="5:11" x14ac:dyDescent="0.25">
      <c r="E429" t="s">
        <v>860</v>
      </c>
      <c r="F429">
        <v>205402</v>
      </c>
      <c r="G429" s="1">
        <v>45382</v>
      </c>
      <c r="H429" t="s">
        <v>861</v>
      </c>
      <c r="I429" t="s">
        <v>137</v>
      </c>
      <c r="J429" s="1">
        <v>45292</v>
      </c>
      <c r="K429">
        <v>105200000</v>
      </c>
    </row>
    <row r="430" spans="5:11" x14ac:dyDescent="0.25">
      <c r="E430" t="s">
        <v>862</v>
      </c>
      <c r="F430">
        <v>215466</v>
      </c>
      <c r="G430" s="1">
        <v>45382</v>
      </c>
      <c r="H430" t="s">
        <v>863</v>
      </c>
      <c r="I430" t="s">
        <v>19</v>
      </c>
      <c r="J430" s="1">
        <v>45292</v>
      </c>
      <c r="K430">
        <v>-29117000</v>
      </c>
    </row>
    <row r="431" spans="5:11" x14ac:dyDescent="0.25">
      <c r="E431" t="s">
        <v>864</v>
      </c>
      <c r="F431">
        <v>216085</v>
      </c>
      <c r="G431" s="1">
        <v>45382</v>
      </c>
      <c r="H431" t="s">
        <v>865</v>
      </c>
      <c r="I431" t="s">
        <v>64</v>
      </c>
      <c r="J431" s="1">
        <v>45292</v>
      </c>
      <c r="K431">
        <v>2393000</v>
      </c>
    </row>
    <row r="432" spans="5:11" x14ac:dyDescent="0.25">
      <c r="E432" t="s">
        <v>866</v>
      </c>
      <c r="F432">
        <v>216228</v>
      </c>
      <c r="G432" s="1">
        <v>45381</v>
      </c>
      <c r="H432" t="s">
        <v>867</v>
      </c>
      <c r="I432" t="s">
        <v>27</v>
      </c>
      <c r="J432" s="1">
        <v>45292</v>
      </c>
      <c r="K432">
        <v>111000000</v>
      </c>
    </row>
    <row r="433" spans="5:11" x14ac:dyDescent="0.25">
      <c r="E433" t="s">
        <v>868</v>
      </c>
      <c r="F433">
        <v>216877</v>
      </c>
      <c r="G433" s="1">
        <v>45382</v>
      </c>
      <c r="H433" t="s">
        <v>869</v>
      </c>
      <c r="I433" t="s">
        <v>36</v>
      </c>
      <c r="J433" s="1">
        <v>45292</v>
      </c>
      <c r="K433">
        <v>16819</v>
      </c>
    </row>
    <row r="434" spans="5:11" x14ac:dyDescent="0.25">
      <c r="E434" t="s">
        <v>870</v>
      </c>
      <c r="F434">
        <v>217346</v>
      </c>
      <c r="G434" s="1">
        <v>45381</v>
      </c>
      <c r="H434" t="s">
        <v>871</v>
      </c>
      <c r="I434" t="s">
        <v>101</v>
      </c>
      <c r="J434" s="1">
        <v>45291</v>
      </c>
      <c r="K434">
        <v>201000000</v>
      </c>
    </row>
    <row r="435" spans="5:11" x14ac:dyDescent="0.25">
      <c r="E435" t="s">
        <v>872</v>
      </c>
      <c r="F435">
        <v>230557</v>
      </c>
      <c r="G435" s="1">
        <v>45382</v>
      </c>
      <c r="H435" t="s">
        <v>873</v>
      </c>
      <c r="I435" t="s">
        <v>46</v>
      </c>
      <c r="J435" s="1">
        <v>45292</v>
      </c>
      <c r="K435">
        <v>82518000</v>
      </c>
    </row>
    <row r="436" spans="5:11" x14ac:dyDescent="0.25">
      <c r="E436" t="s">
        <v>874</v>
      </c>
      <c r="F436">
        <v>275053</v>
      </c>
      <c r="G436" s="1">
        <v>45382</v>
      </c>
      <c r="H436" t="s">
        <v>875</v>
      </c>
      <c r="I436" t="s">
        <v>406</v>
      </c>
      <c r="J436" s="1">
        <v>45292</v>
      </c>
      <c r="K436">
        <v>2321000</v>
      </c>
    </row>
    <row r="437" spans="5:11" x14ac:dyDescent="0.25">
      <c r="E437" t="s">
        <v>876</v>
      </c>
      <c r="F437">
        <v>275880</v>
      </c>
      <c r="G437" s="1">
        <v>45382</v>
      </c>
      <c r="H437" t="s">
        <v>877</v>
      </c>
      <c r="I437" t="s">
        <v>123</v>
      </c>
      <c r="J437" s="1">
        <v>45292</v>
      </c>
      <c r="K437">
        <v>-107355000</v>
      </c>
    </row>
    <row r="438" spans="5:11" x14ac:dyDescent="0.25">
      <c r="E438" t="s">
        <v>878</v>
      </c>
      <c r="F438">
        <v>276720</v>
      </c>
      <c r="G438" s="1">
        <v>45351</v>
      </c>
      <c r="H438" t="s">
        <v>879</v>
      </c>
      <c r="I438" t="s">
        <v>92</v>
      </c>
      <c r="J438" s="1">
        <v>45261</v>
      </c>
      <c r="K438">
        <v>118000</v>
      </c>
    </row>
    <row r="439" spans="5:11" x14ac:dyDescent="0.25">
      <c r="E439" t="s">
        <v>880</v>
      </c>
      <c r="F439">
        <v>277135</v>
      </c>
      <c r="G439" s="1">
        <v>45382</v>
      </c>
      <c r="H439" t="s">
        <v>881</v>
      </c>
      <c r="I439" t="s">
        <v>19</v>
      </c>
      <c r="J439" s="1">
        <v>45292</v>
      </c>
      <c r="K439">
        <v>478000000</v>
      </c>
    </row>
    <row r="440" spans="5:11" x14ac:dyDescent="0.25">
      <c r="E440" t="s">
        <v>882</v>
      </c>
      <c r="F440">
        <v>277509</v>
      </c>
      <c r="G440" s="1">
        <v>45382</v>
      </c>
      <c r="H440" t="s">
        <v>883</v>
      </c>
      <c r="I440" t="s">
        <v>19</v>
      </c>
      <c r="J440" s="1">
        <v>45292</v>
      </c>
      <c r="K440">
        <v>51600000</v>
      </c>
    </row>
    <row r="441" spans="5:11" x14ac:dyDescent="0.25">
      <c r="E441" t="s">
        <v>884</v>
      </c>
      <c r="F441">
        <v>277638</v>
      </c>
      <c r="G441" s="1">
        <v>45381</v>
      </c>
      <c r="H441" t="s">
        <v>885</v>
      </c>
      <c r="I441" t="s">
        <v>60</v>
      </c>
      <c r="J441" s="1">
        <v>45292</v>
      </c>
      <c r="K441">
        <v>-2275000</v>
      </c>
    </row>
    <row r="442" spans="5:11" x14ac:dyDescent="0.25">
      <c r="E442" t="s">
        <v>886</v>
      </c>
      <c r="F442">
        <v>277948</v>
      </c>
      <c r="G442" s="1">
        <v>45382</v>
      </c>
      <c r="H442" t="s">
        <v>887</v>
      </c>
      <c r="I442" t="s">
        <v>33</v>
      </c>
      <c r="J442" s="1">
        <v>45292</v>
      </c>
      <c r="K442">
        <v>880000000</v>
      </c>
    </row>
    <row r="443" spans="5:11" x14ac:dyDescent="0.25">
      <c r="E443" t="s">
        <v>888</v>
      </c>
      <c r="F443">
        <v>278165</v>
      </c>
      <c r="G443" s="1">
        <v>45382</v>
      </c>
      <c r="H443" t="s">
        <v>889</v>
      </c>
      <c r="I443" t="s">
        <v>406</v>
      </c>
      <c r="J443" s="1">
        <v>45292</v>
      </c>
      <c r="K443">
        <v>-2098000</v>
      </c>
    </row>
    <row r="444" spans="5:11" x14ac:dyDescent="0.25">
      <c r="E444" t="s">
        <v>890</v>
      </c>
      <c r="F444">
        <v>310142</v>
      </c>
      <c r="G444" s="1">
        <v>45382</v>
      </c>
      <c r="H444" t="s">
        <v>891</v>
      </c>
      <c r="I444" t="s">
        <v>83</v>
      </c>
      <c r="J444" s="1">
        <v>45292</v>
      </c>
      <c r="K444">
        <v>30940000</v>
      </c>
    </row>
    <row r="445" spans="5:11" x14ac:dyDescent="0.25">
      <c r="E445" t="s">
        <v>892</v>
      </c>
      <c r="F445">
        <v>310158</v>
      </c>
      <c r="G445" s="1">
        <v>45382</v>
      </c>
      <c r="H445" t="s">
        <v>893</v>
      </c>
      <c r="I445" t="s">
        <v>46</v>
      </c>
      <c r="J445" s="1">
        <v>45292</v>
      </c>
      <c r="K445">
        <v>4762000000</v>
      </c>
    </row>
    <row r="446" spans="5:11" x14ac:dyDescent="0.25">
      <c r="E446" t="s">
        <v>894</v>
      </c>
      <c r="F446">
        <v>310354</v>
      </c>
      <c r="G446" s="1">
        <v>45382</v>
      </c>
      <c r="H446" t="s">
        <v>895</v>
      </c>
      <c r="I446" t="s">
        <v>896</v>
      </c>
      <c r="J446" s="1">
        <v>45292</v>
      </c>
      <c r="K446">
        <v>15798000</v>
      </c>
    </row>
    <row r="447" spans="5:11" x14ac:dyDescent="0.25">
      <c r="E447" t="s">
        <v>897</v>
      </c>
      <c r="F447">
        <v>310522</v>
      </c>
      <c r="G447" s="1">
        <v>45382</v>
      </c>
      <c r="H447" t="s">
        <v>898</v>
      </c>
      <c r="I447" t="s">
        <v>899</v>
      </c>
      <c r="J447" s="1">
        <v>45292</v>
      </c>
      <c r="K447">
        <v>4320000000</v>
      </c>
    </row>
    <row r="448" spans="5:11" x14ac:dyDescent="0.25">
      <c r="E448" t="s">
        <v>900</v>
      </c>
      <c r="F448">
        <v>310764</v>
      </c>
      <c r="G448" s="1">
        <v>45382</v>
      </c>
      <c r="H448" t="s">
        <v>901</v>
      </c>
      <c r="I448" t="s">
        <v>329</v>
      </c>
      <c r="J448" s="1">
        <v>45292</v>
      </c>
      <c r="K448">
        <v>788000000</v>
      </c>
    </row>
    <row r="449" spans="5:11" x14ac:dyDescent="0.25">
      <c r="E449" t="s">
        <v>902</v>
      </c>
      <c r="F449">
        <v>311094</v>
      </c>
      <c r="G449" s="1">
        <v>45382</v>
      </c>
      <c r="H449" t="s">
        <v>903</v>
      </c>
      <c r="I449" t="s">
        <v>36</v>
      </c>
      <c r="J449" s="1">
        <v>45292</v>
      </c>
      <c r="K449">
        <v>36417000</v>
      </c>
    </row>
    <row r="450" spans="5:11" x14ac:dyDescent="0.25">
      <c r="E450" t="s">
        <v>904</v>
      </c>
      <c r="F450">
        <v>312257</v>
      </c>
      <c r="G450" s="1">
        <v>45382</v>
      </c>
      <c r="H450" t="s">
        <v>905</v>
      </c>
      <c r="I450" t="s">
        <v>33</v>
      </c>
      <c r="J450" s="1">
        <v>45292</v>
      </c>
      <c r="K450">
        <v>1425874</v>
      </c>
    </row>
    <row r="451" spans="5:11" x14ac:dyDescent="0.25">
      <c r="E451" t="s">
        <v>906</v>
      </c>
      <c r="F451">
        <v>313616</v>
      </c>
      <c r="G451" s="1">
        <v>45380</v>
      </c>
      <c r="H451" t="s">
        <v>907</v>
      </c>
      <c r="I451" t="s">
        <v>899</v>
      </c>
      <c r="J451" s="1">
        <v>45292</v>
      </c>
      <c r="K451">
        <v>1088000000</v>
      </c>
    </row>
    <row r="452" spans="5:11" x14ac:dyDescent="0.25">
      <c r="E452" t="s">
        <v>908</v>
      </c>
      <c r="F452">
        <v>313927</v>
      </c>
      <c r="G452" s="1">
        <v>45382</v>
      </c>
      <c r="H452" t="s">
        <v>909</v>
      </c>
      <c r="I452" t="s">
        <v>46</v>
      </c>
      <c r="J452" s="1">
        <v>45292</v>
      </c>
      <c r="K452">
        <v>227700000</v>
      </c>
    </row>
    <row r="453" spans="5:11" x14ac:dyDescent="0.25">
      <c r="E453" t="s">
        <v>910</v>
      </c>
      <c r="F453">
        <v>314203</v>
      </c>
      <c r="G453" s="1">
        <v>45382</v>
      </c>
      <c r="H453" t="s">
        <v>911</v>
      </c>
      <c r="I453" t="s">
        <v>912</v>
      </c>
      <c r="J453" s="1">
        <v>45292</v>
      </c>
      <c r="K453">
        <v>-20383000</v>
      </c>
    </row>
    <row r="454" spans="5:11" x14ac:dyDescent="0.25">
      <c r="E454" t="s">
        <v>913</v>
      </c>
      <c r="F454">
        <v>314227</v>
      </c>
      <c r="G454" s="1">
        <v>45382</v>
      </c>
      <c r="H454" t="s">
        <v>914</v>
      </c>
      <c r="I454" t="s">
        <v>299</v>
      </c>
      <c r="J454" s="1">
        <v>45292</v>
      </c>
      <c r="K454">
        <v>-1310190</v>
      </c>
    </row>
    <row r="455" spans="5:11" x14ac:dyDescent="0.25">
      <c r="E455" t="s">
        <v>915</v>
      </c>
      <c r="F455">
        <v>314489</v>
      </c>
      <c r="G455" s="1">
        <v>45382</v>
      </c>
      <c r="H455" t="s">
        <v>916</v>
      </c>
      <c r="I455" t="s">
        <v>19</v>
      </c>
      <c r="J455" s="1">
        <v>45292</v>
      </c>
      <c r="K455">
        <v>26225000</v>
      </c>
    </row>
    <row r="456" spans="5:11" x14ac:dyDescent="0.25">
      <c r="E456" t="s">
        <v>917</v>
      </c>
      <c r="F456">
        <v>314808</v>
      </c>
      <c r="G456" s="1">
        <v>45382</v>
      </c>
      <c r="H456" t="s">
        <v>918</v>
      </c>
      <c r="I456" t="s">
        <v>919</v>
      </c>
      <c r="J456" s="1">
        <v>45292</v>
      </c>
      <c r="K456">
        <v>25500000</v>
      </c>
    </row>
    <row r="457" spans="5:11" x14ac:dyDescent="0.25">
      <c r="E457" t="s">
        <v>920</v>
      </c>
      <c r="F457">
        <v>315131</v>
      </c>
      <c r="G457" s="1">
        <v>45382</v>
      </c>
      <c r="H457" t="s">
        <v>921</v>
      </c>
      <c r="I457" t="s">
        <v>30</v>
      </c>
      <c r="J457" s="1">
        <v>45292</v>
      </c>
      <c r="K457">
        <v>-183615</v>
      </c>
    </row>
    <row r="458" spans="5:11" x14ac:dyDescent="0.25">
      <c r="E458" t="s">
        <v>922</v>
      </c>
      <c r="F458">
        <v>315189</v>
      </c>
      <c r="G458" s="1">
        <v>45410</v>
      </c>
      <c r="H458" t="s">
        <v>923</v>
      </c>
      <c r="I458" t="s">
        <v>19</v>
      </c>
      <c r="J458" s="1">
        <v>45320</v>
      </c>
      <c r="K458">
        <v>2370000000</v>
      </c>
    </row>
    <row r="459" spans="5:11" x14ac:dyDescent="0.25">
      <c r="E459" t="s">
        <v>10340</v>
      </c>
      <c r="F459">
        <v>315213</v>
      </c>
      <c r="G459" s="1">
        <v>45382</v>
      </c>
      <c r="H459" t="s">
        <v>924</v>
      </c>
      <c r="I459" t="s">
        <v>36</v>
      </c>
      <c r="J459" s="1">
        <v>45292</v>
      </c>
      <c r="K459">
        <v>63701000</v>
      </c>
    </row>
    <row r="460" spans="5:11" x14ac:dyDescent="0.25">
      <c r="E460" t="s">
        <v>925</v>
      </c>
      <c r="F460">
        <v>315293</v>
      </c>
      <c r="G460" s="1">
        <v>45382</v>
      </c>
      <c r="H460" t="s">
        <v>926</v>
      </c>
      <c r="I460" t="s">
        <v>927</v>
      </c>
      <c r="J460" s="1">
        <v>45292</v>
      </c>
      <c r="K460">
        <v>1071000000</v>
      </c>
    </row>
    <row r="461" spans="5:11" x14ac:dyDescent="0.25">
      <c r="E461" t="s">
        <v>928</v>
      </c>
      <c r="F461">
        <v>315374</v>
      </c>
      <c r="G461" s="1">
        <v>45412</v>
      </c>
      <c r="H461" t="s">
        <v>929</v>
      </c>
      <c r="I461" t="s">
        <v>288</v>
      </c>
      <c r="J461" s="1">
        <v>45323</v>
      </c>
      <c r="K461">
        <v>-3922000</v>
      </c>
    </row>
    <row r="462" spans="5:11" x14ac:dyDescent="0.25">
      <c r="E462" t="s">
        <v>930</v>
      </c>
      <c r="F462">
        <v>315545</v>
      </c>
      <c r="G462" s="1">
        <v>45382</v>
      </c>
      <c r="H462" t="s">
        <v>931</v>
      </c>
      <c r="I462" t="s">
        <v>69</v>
      </c>
      <c r="J462" s="1">
        <v>45292</v>
      </c>
      <c r="K462">
        <v>-504042</v>
      </c>
    </row>
    <row r="463" spans="5:11" x14ac:dyDescent="0.25">
      <c r="E463" t="s">
        <v>932</v>
      </c>
      <c r="F463">
        <v>315709</v>
      </c>
      <c r="G463" s="1">
        <v>45382</v>
      </c>
      <c r="H463" t="s">
        <v>933</v>
      </c>
      <c r="I463" t="s">
        <v>30</v>
      </c>
      <c r="J463" s="1">
        <v>45292</v>
      </c>
      <c r="K463">
        <v>97331000</v>
      </c>
    </row>
    <row r="464" spans="5:11" x14ac:dyDescent="0.25">
      <c r="E464" t="s">
        <v>934</v>
      </c>
      <c r="F464">
        <v>315852</v>
      </c>
      <c r="G464" s="1">
        <v>45382</v>
      </c>
      <c r="H464" t="s">
        <v>935</v>
      </c>
      <c r="I464" t="s">
        <v>30</v>
      </c>
      <c r="J464" s="1">
        <v>45292</v>
      </c>
      <c r="K464">
        <v>92138000</v>
      </c>
    </row>
    <row r="465" spans="5:11" x14ac:dyDescent="0.25">
      <c r="E465" t="s">
        <v>936</v>
      </c>
      <c r="F465">
        <v>315958</v>
      </c>
      <c r="G465" s="1">
        <v>45382</v>
      </c>
      <c r="H465" t="s">
        <v>937</v>
      </c>
      <c r="I465" t="s">
        <v>57</v>
      </c>
      <c r="J465" s="1">
        <v>45292</v>
      </c>
      <c r="K465">
        <v>127407</v>
      </c>
    </row>
    <row r="466" spans="5:11" x14ac:dyDescent="0.25">
      <c r="E466" t="s">
        <v>938</v>
      </c>
      <c r="F466">
        <v>316253</v>
      </c>
      <c r="G466" s="1">
        <v>45412</v>
      </c>
      <c r="H466" t="s">
        <v>939</v>
      </c>
      <c r="I466" t="s">
        <v>57</v>
      </c>
      <c r="J466" s="1">
        <v>45323</v>
      </c>
      <c r="K466">
        <v>-3020000</v>
      </c>
    </row>
    <row r="467" spans="5:11" x14ac:dyDescent="0.25">
      <c r="E467" t="s">
        <v>940</v>
      </c>
      <c r="F467">
        <v>316709</v>
      </c>
      <c r="G467" s="1">
        <v>45382</v>
      </c>
      <c r="H467" t="s">
        <v>941</v>
      </c>
      <c r="I467" t="s">
        <v>30</v>
      </c>
      <c r="J467" s="1">
        <v>45292</v>
      </c>
      <c r="K467">
        <v>1362000000</v>
      </c>
    </row>
    <row r="468" spans="5:11" x14ac:dyDescent="0.25">
      <c r="E468" t="s">
        <v>942</v>
      </c>
      <c r="F468">
        <v>317540</v>
      </c>
      <c r="G468" s="1">
        <v>45380</v>
      </c>
      <c r="H468" t="s">
        <v>943</v>
      </c>
      <c r="I468" t="s">
        <v>172</v>
      </c>
      <c r="J468" s="1">
        <v>45292</v>
      </c>
      <c r="K468">
        <v>165741000</v>
      </c>
    </row>
    <row r="469" spans="5:11" x14ac:dyDescent="0.25">
      <c r="E469" t="s">
        <v>10341</v>
      </c>
      <c r="F469">
        <v>318154</v>
      </c>
      <c r="G469" s="1">
        <v>45382</v>
      </c>
      <c r="H469" t="s">
        <v>944</v>
      </c>
      <c r="I469" t="s">
        <v>36</v>
      </c>
      <c r="J469" s="1">
        <v>45292</v>
      </c>
      <c r="K469">
        <v>-113000000</v>
      </c>
    </row>
    <row r="470" spans="5:11" x14ac:dyDescent="0.25">
      <c r="E470" t="s">
        <v>945</v>
      </c>
      <c r="F470">
        <v>318300</v>
      </c>
      <c r="G470" s="1">
        <v>45382</v>
      </c>
      <c r="H470" t="s">
        <v>946</v>
      </c>
      <c r="I470" t="s">
        <v>60</v>
      </c>
      <c r="J470" s="1">
        <v>45292</v>
      </c>
      <c r="K470">
        <v>29584000</v>
      </c>
    </row>
    <row r="471" spans="5:11" x14ac:dyDescent="0.25">
      <c r="E471" t="s">
        <v>947</v>
      </c>
      <c r="F471">
        <v>318306</v>
      </c>
      <c r="G471" s="1">
        <v>45382</v>
      </c>
      <c r="H471" t="s">
        <v>948</v>
      </c>
      <c r="I471" t="s">
        <v>60</v>
      </c>
      <c r="J471" s="1">
        <v>45292</v>
      </c>
      <c r="K471">
        <v>-31578000</v>
      </c>
    </row>
    <row r="472" spans="5:11" x14ac:dyDescent="0.25">
      <c r="E472" t="s">
        <v>949</v>
      </c>
      <c r="F472">
        <v>318673</v>
      </c>
      <c r="G472" s="1">
        <v>45382</v>
      </c>
      <c r="H472" t="s">
        <v>950</v>
      </c>
      <c r="I472" t="s">
        <v>406</v>
      </c>
      <c r="J472" s="1">
        <v>45292</v>
      </c>
      <c r="K472">
        <v>7474522</v>
      </c>
    </row>
    <row r="473" spans="5:11" x14ac:dyDescent="0.25">
      <c r="E473" t="s">
        <v>951</v>
      </c>
      <c r="F473">
        <v>318833</v>
      </c>
      <c r="G473" s="1">
        <v>45382</v>
      </c>
      <c r="H473" t="s">
        <v>952</v>
      </c>
      <c r="I473" t="s">
        <v>30</v>
      </c>
      <c r="J473" s="1">
        <v>45292</v>
      </c>
      <c r="K473">
        <v>-17195000</v>
      </c>
    </row>
    <row r="474" spans="5:11" x14ac:dyDescent="0.25">
      <c r="E474" t="s">
        <v>953</v>
      </c>
      <c r="F474">
        <v>319201</v>
      </c>
      <c r="G474" s="1">
        <v>45382</v>
      </c>
      <c r="H474" t="s">
        <v>954</v>
      </c>
      <c r="I474" t="s">
        <v>36</v>
      </c>
      <c r="J474" s="1">
        <v>45292</v>
      </c>
      <c r="K474">
        <v>601541000</v>
      </c>
    </row>
    <row r="475" spans="5:11" x14ac:dyDescent="0.25">
      <c r="E475" t="s">
        <v>955</v>
      </c>
      <c r="F475">
        <v>319458</v>
      </c>
      <c r="G475" s="1">
        <v>45382</v>
      </c>
      <c r="H475" t="s">
        <v>956</v>
      </c>
      <c r="I475" t="s">
        <v>92</v>
      </c>
      <c r="J475" s="1">
        <v>45292</v>
      </c>
      <c r="K475">
        <v>740000</v>
      </c>
    </row>
    <row r="476" spans="5:11" x14ac:dyDescent="0.25">
      <c r="E476" t="s">
        <v>957</v>
      </c>
      <c r="F476">
        <v>320017</v>
      </c>
      <c r="G476" s="1">
        <v>45382</v>
      </c>
      <c r="H476" t="s">
        <v>958</v>
      </c>
      <c r="I476" t="s">
        <v>46</v>
      </c>
      <c r="J476" s="1">
        <v>45292</v>
      </c>
      <c r="K476">
        <v>-5401000</v>
      </c>
    </row>
    <row r="477" spans="5:11" x14ac:dyDescent="0.25">
      <c r="E477" t="s">
        <v>959</v>
      </c>
      <c r="F477">
        <v>320121</v>
      </c>
      <c r="G477" s="1">
        <v>45382</v>
      </c>
      <c r="H477" t="s">
        <v>960</v>
      </c>
      <c r="I477" t="s">
        <v>123</v>
      </c>
      <c r="J477" s="1">
        <v>45292</v>
      </c>
      <c r="K477">
        <v>-7378000</v>
      </c>
    </row>
    <row r="478" spans="5:11" x14ac:dyDescent="0.25">
      <c r="E478" t="s">
        <v>961</v>
      </c>
      <c r="F478">
        <v>320187</v>
      </c>
      <c r="G478" s="1">
        <v>45351</v>
      </c>
      <c r="H478" t="s">
        <v>962</v>
      </c>
      <c r="I478" t="s">
        <v>963</v>
      </c>
      <c r="J478" s="1">
        <v>45261</v>
      </c>
      <c r="K478">
        <v>1172000000</v>
      </c>
    </row>
    <row r="479" spans="5:11" x14ac:dyDescent="0.25">
      <c r="E479" t="s">
        <v>964</v>
      </c>
      <c r="F479">
        <v>320193</v>
      </c>
      <c r="G479" s="1">
        <v>45381</v>
      </c>
      <c r="H479" t="s">
        <v>965</v>
      </c>
      <c r="I479" t="s">
        <v>36</v>
      </c>
      <c r="J479" s="1">
        <v>45291</v>
      </c>
      <c r="K479">
        <v>23636000000</v>
      </c>
    </row>
    <row r="480" spans="5:11" x14ac:dyDescent="0.25">
      <c r="E480" t="s">
        <v>966</v>
      </c>
      <c r="F480">
        <v>320335</v>
      </c>
      <c r="G480" s="1">
        <v>45382</v>
      </c>
      <c r="H480" t="s">
        <v>967</v>
      </c>
      <c r="I480" t="s">
        <v>30</v>
      </c>
      <c r="J480" s="1">
        <v>45292</v>
      </c>
      <c r="K480">
        <v>254217000</v>
      </c>
    </row>
    <row r="481" spans="5:11" x14ac:dyDescent="0.25">
      <c r="E481" t="s">
        <v>10342</v>
      </c>
      <c r="F481">
        <v>320340</v>
      </c>
      <c r="G481" s="1">
        <v>45382</v>
      </c>
      <c r="H481" t="s">
        <v>968</v>
      </c>
      <c r="I481" t="s">
        <v>64</v>
      </c>
      <c r="J481" s="1">
        <v>45292</v>
      </c>
      <c r="K481">
        <v>430000</v>
      </c>
    </row>
    <row r="482" spans="5:11" x14ac:dyDescent="0.25">
      <c r="E482" t="s">
        <v>10343</v>
      </c>
      <c r="F482">
        <v>350698</v>
      </c>
      <c r="G482" s="1">
        <v>45382</v>
      </c>
      <c r="H482" t="s">
        <v>969</v>
      </c>
      <c r="I482" t="s">
        <v>33</v>
      </c>
      <c r="J482" s="1">
        <v>45292</v>
      </c>
      <c r="K482">
        <v>190100000</v>
      </c>
    </row>
    <row r="483" spans="5:11" x14ac:dyDescent="0.25">
      <c r="E483" t="s">
        <v>970</v>
      </c>
      <c r="F483">
        <v>350852</v>
      </c>
      <c r="G483" s="1">
        <v>45382</v>
      </c>
      <c r="H483" t="s">
        <v>971</v>
      </c>
      <c r="I483" t="s">
        <v>190</v>
      </c>
      <c r="J483" s="1">
        <v>45292</v>
      </c>
      <c r="K483">
        <v>18679000</v>
      </c>
    </row>
    <row r="484" spans="5:11" x14ac:dyDescent="0.25">
      <c r="E484" t="s">
        <v>972</v>
      </c>
      <c r="F484">
        <v>350894</v>
      </c>
      <c r="G484" s="1">
        <v>45382</v>
      </c>
      <c r="H484" t="s">
        <v>973</v>
      </c>
      <c r="I484" t="s">
        <v>39</v>
      </c>
      <c r="J484" s="1">
        <v>45292</v>
      </c>
      <c r="K484">
        <v>131400000</v>
      </c>
    </row>
    <row r="485" spans="5:11" x14ac:dyDescent="0.25">
      <c r="E485" t="s">
        <v>974</v>
      </c>
      <c r="F485">
        <v>351569</v>
      </c>
      <c r="G485" s="1">
        <v>45382</v>
      </c>
      <c r="H485" t="s">
        <v>975</v>
      </c>
      <c r="I485" t="s">
        <v>64</v>
      </c>
      <c r="J485" s="1">
        <v>45292</v>
      </c>
      <c r="K485">
        <v>74312000</v>
      </c>
    </row>
    <row r="486" spans="5:11" x14ac:dyDescent="0.25">
      <c r="E486" t="s">
        <v>976</v>
      </c>
      <c r="F486">
        <v>351789</v>
      </c>
      <c r="G486" s="1">
        <v>45382</v>
      </c>
      <c r="H486" t="s">
        <v>977</v>
      </c>
      <c r="I486" t="s">
        <v>213</v>
      </c>
      <c r="J486" s="1">
        <v>45292</v>
      </c>
      <c r="K486">
        <v>11000</v>
      </c>
    </row>
    <row r="487" spans="5:11" x14ac:dyDescent="0.25">
      <c r="E487" t="s">
        <v>978</v>
      </c>
      <c r="F487">
        <v>351817</v>
      </c>
      <c r="G487" s="1">
        <v>45382</v>
      </c>
      <c r="H487" t="s">
        <v>979</v>
      </c>
      <c r="I487" t="s">
        <v>30</v>
      </c>
      <c r="J487" s="1">
        <v>45292</v>
      </c>
      <c r="K487">
        <v>-15528000</v>
      </c>
    </row>
    <row r="488" spans="5:11" x14ac:dyDescent="0.25">
      <c r="E488" t="s">
        <v>980</v>
      </c>
      <c r="F488">
        <v>351998</v>
      </c>
      <c r="G488" s="1">
        <v>45382</v>
      </c>
      <c r="H488" t="s">
        <v>981</v>
      </c>
      <c r="I488" t="s">
        <v>504</v>
      </c>
      <c r="J488" s="1">
        <v>45292</v>
      </c>
      <c r="K488">
        <v>-807000</v>
      </c>
    </row>
    <row r="489" spans="5:11" x14ac:dyDescent="0.25">
      <c r="E489" t="s">
        <v>982</v>
      </c>
      <c r="F489">
        <v>352541</v>
      </c>
      <c r="G489" s="1">
        <v>45382</v>
      </c>
      <c r="H489" t="s">
        <v>983</v>
      </c>
      <c r="I489" t="s">
        <v>83</v>
      </c>
      <c r="J489" s="1">
        <v>45292</v>
      </c>
      <c r="K489">
        <v>158000000</v>
      </c>
    </row>
    <row r="490" spans="5:11" x14ac:dyDescent="0.25">
      <c r="E490" t="s">
        <v>984</v>
      </c>
      <c r="F490">
        <v>352825</v>
      </c>
      <c r="G490" s="1">
        <v>45382</v>
      </c>
      <c r="H490" t="s">
        <v>985</v>
      </c>
      <c r="I490" t="s">
        <v>39</v>
      </c>
      <c r="J490" s="1">
        <v>45292</v>
      </c>
      <c r="K490">
        <v>4436000</v>
      </c>
    </row>
    <row r="491" spans="5:11" x14ac:dyDescent="0.25">
      <c r="E491" t="s">
        <v>986</v>
      </c>
      <c r="F491">
        <v>352915</v>
      </c>
      <c r="G491" s="1">
        <v>45382</v>
      </c>
      <c r="H491" t="s">
        <v>987</v>
      </c>
      <c r="I491" t="s">
        <v>39</v>
      </c>
      <c r="J491" s="1">
        <v>45292</v>
      </c>
      <c r="K491">
        <v>261834000</v>
      </c>
    </row>
    <row r="492" spans="5:11" x14ac:dyDescent="0.25">
      <c r="E492" t="s">
        <v>988</v>
      </c>
      <c r="F492">
        <v>352955</v>
      </c>
      <c r="G492" s="1">
        <v>45382</v>
      </c>
      <c r="H492" t="s">
        <v>989</v>
      </c>
      <c r="I492" t="s">
        <v>179</v>
      </c>
      <c r="J492" s="1">
        <v>45292</v>
      </c>
      <c r="K492">
        <v>-401329</v>
      </c>
    </row>
    <row r="493" spans="5:11" x14ac:dyDescent="0.25">
      <c r="E493" t="s">
        <v>990</v>
      </c>
      <c r="F493">
        <v>352991</v>
      </c>
      <c r="G493" s="1">
        <v>45382</v>
      </c>
      <c r="H493" t="s">
        <v>991</v>
      </c>
      <c r="I493" t="s">
        <v>992</v>
      </c>
      <c r="J493" s="1">
        <v>45292</v>
      </c>
      <c r="K493">
        <v>2520</v>
      </c>
    </row>
    <row r="494" spans="5:11" x14ac:dyDescent="0.25">
      <c r="E494" t="s">
        <v>993</v>
      </c>
      <c r="F494">
        <v>354190</v>
      </c>
      <c r="G494" s="1">
        <v>45382</v>
      </c>
      <c r="H494" t="s">
        <v>994</v>
      </c>
      <c r="I494" t="s">
        <v>19</v>
      </c>
      <c r="J494" s="1">
        <v>45292</v>
      </c>
      <c r="K494">
        <v>608400000</v>
      </c>
    </row>
    <row r="495" spans="5:11" x14ac:dyDescent="0.25">
      <c r="E495" t="s">
        <v>995</v>
      </c>
      <c r="F495">
        <v>354647</v>
      </c>
      <c r="G495" s="1">
        <v>45382</v>
      </c>
      <c r="H495" t="s">
        <v>996</v>
      </c>
      <c r="I495" t="s">
        <v>36</v>
      </c>
      <c r="J495" s="1">
        <v>45292</v>
      </c>
      <c r="K495">
        <v>48599000</v>
      </c>
    </row>
    <row r="496" spans="5:11" x14ac:dyDescent="0.25">
      <c r="E496" t="s">
        <v>997</v>
      </c>
      <c r="F496">
        <v>354707</v>
      </c>
      <c r="G496" s="1">
        <v>45382</v>
      </c>
      <c r="H496" t="s">
        <v>998</v>
      </c>
      <c r="I496" t="s">
        <v>43</v>
      </c>
      <c r="J496" s="1">
        <v>45292</v>
      </c>
      <c r="K496">
        <v>42595000</v>
      </c>
    </row>
    <row r="497" spans="5:11" x14ac:dyDescent="0.25">
      <c r="E497" t="s">
        <v>999</v>
      </c>
      <c r="F497">
        <v>354950</v>
      </c>
      <c r="G497" s="1">
        <v>45410</v>
      </c>
      <c r="H497" t="s">
        <v>1000</v>
      </c>
      <c r="I497" t="s">
        <v>64</v>
      </c>
      <c r="J497" s="1">
        <v>45320</v>
      </c>
      <c r="K497">
        <v>3600000000</v>
      </c>
    </row>
    <row r="498" spans="5:11" x14ac:dyDescent="0.25">
      <c r="E498" t="s">
        <v>1001</v>
      </c>
      <c r="F498">
        <v>354963</v>
      </c>
      <c r="G498" s="1">
        <v>45382</v>
      </c>
      <c r="H498" t="s">
        <v>1002</v>
      </c>
      <c r="I498" t="s">
        <v>123</v>
      </c>
      <c r="J498" s="1">
        <v>45292</v>
      </c>
      <c r="K498">
        <v>214696000</v>
      </c>
    </row>
    <row r="499" spans="5:11" x14ac:dyDescent="0.25">
      <c r="E499" t="s">
        <v>1003</v>
      </c>
      <c r="F499">
        <v>355019</v>
      </c>
      <c r="G499" s="1">
        <v>45382</v>
      </c>
      <c r="H499" t="s">
        <v>1004</v>
      </c>
      <c r="I499" t="s">
        <v>57</v>
      </c>
      <c r="J499" s="1">
        <v>45292</v>
      </c>
      <c r="K499">
        <v>1872000</v>
      </c>
    </row>
    <row r="500" spans="5:11" x14ac:dyDescent="0.25">
      <c r="E500" t="s">
        <v>1005</v>
      </c>
      <c r="F500">
        <v>355811</v>
      </c>
      <c r="G500" s="1">
        <v>45382</v>
      </c>
      <c r="H500" t="s">
        <v>1006</v>
      </c>
      <c r="I500" t="s">
        <v>329</v>
      </c>
      <c r="J500" s="1">
        <v>45292</v>
      </c>
      <c r="K500">
        <v>108230714</v>
      </c>
    </row>
    <row r="501" spans="5:11" x14ac:dyDescent="0.25">
      <c r="E501" t="s">
        <v>1007</v>
      </c>
      <c r="F501">
        <v>355948</v>
      </c>
      <c r="G501" s="1">
        <v>45353</v>
      </c>
      <c r="H501" t="s">
        <v>1008</v>
      </c>
      <c r="I501" t="s">
        <v>19</v>
      </c>
      <c r="J501" s="1">
        <v>45263</v>
      </c>
      <c r="K501">
        <v>750000</v>
      </c>
    </row>
    <row r="502" spans="5:11" x14ac:dyDescent="0.25">
      <c r="E502" t="s">
        <v>1009</v>
      </c>
      <c r="F502">
        <v>356037</v>
      </c>
      <c r="G502" s="1">
        <v>45382</v>
      </c>
      <c r="H502" t="s">
        <v>1010</v>
      </c>
      <c r="I502" t="s">
        <v>24</v>
      </c>
      <c r="J502" s="1">
        <v>45292</v>
      </c>
      <c r="K502">
        <v>1588000</v>
      </c>
    </row>
    <row r="503" spans="5:11" x14ac:dyDescent="0.25">
      <c r="E503" t="s">
        <v>1011</v>
      </c>
      <c r="F503">
        <v>356171</v>
      </c>
      <c r="G503" s="1">
        <v>45382</v>
      </c>
      <c r="H503" t="s">
        <v>1012</v>
      </c>
      <c r="I503" t="s">
        <v>36</v>
      </c>
      <c r="J503" s="1">
        <v>45292</v>
      </c>
      <c r="K503">
        <v>27749000</v>
      </c>
    </row>
    <row r="504" spans="5:11" x14ac:dyDescent="0.25">
      <c r="E504" t="s">
        <v>1013</v>
      </c>
      <c r="F504">
        <v>356309</v>
      </c>
      <c r="G504" s="1">
        <v>45382</v>
      </c>
      <c r="H504" t="s">
        <v>1014</v>
      </c>
      <c r="I504" t="s">
        <v>46</v>
      </c>
      <c r="J504" s="1">
        <v>45292</v>
      </c>
      <c r="K504">
        <v>120812000</v>
      </c>
    </row>
    <row r="505" spans="5:11" x14ac:dyDescent="0.25">
      <c r="E505" t="s">
        <v>1015</v>
      </c>
      <c r="F505">
        <v>357173</v>
      </c>
      <c r="G505" s="1">
        <v>45382</v>
      </c>
      <c r="H505" t="s">
        <v>1016</v>
      </c>
      <c r="I505" t="s">
        <v>19</v>
      </c>
      <c r="J505" s="1">
        <v>45292</v>
      </c>
      <c r="K505">
        <v>21312000</v>
      </c>
    </row>
    <row r="506" spans="5:11" x14ac:dyDescent="0.25">
      <c r="E506" t="s">
        <v>1017</v>
      </c>
      <c r="F506">
        <v>357301</v>
      </c>
      <c r="G506" s="1">
        <v>45382</v>
      </c>
      <c r="H506" t="s">
        <v>1018</v>
      </c>
      <c r="I506" t="s">
        <v>57</v>
      </c>
      <c r="J506" s="1">
        <v>45292</v>
      </c>
      <c r="K506">
        <v>12126000</v>
      </c>
    </row>
    <row r="507" spans="5:11" x14ac:dyDescent="0.25">
      <c r="E507" t="s">
        <v>1019</v>
      </c>
      <c r="F507">
        <v>700564</v>
      </c>
      <c r="G507" s="1">
        <v>45382</v>
      </c>
      <c r="H507" t="s">
        <v>1020</v>
      </c>
      <c r="I507" t="s">
        <v>39</v>
      </c>
      <c r="J507" s="1">
        <v>45292</v>
      </c>
      <c r="K507">
        <v>61941000</v>
      </c>
    </row>
    <row r="508" spans="5:11" x14ac:dyDescent="0.25">
      <c r="E508" t="s">
        <v>1021</v>
      </c>
      <c r="F508">
        <v>700565</v>
      </c>
      <c r="G508" s="1">
        <v>45382</v>
      </c>
      <c r="H508" t="s">
        <v>1022</v>
      </c>
      <c r="I508" t="s">
        <v>19</v>
      </c>
      <c r="J508" s="1">
        <v>45292</v>
      </c>
      <c r="K508">
        <v>20503000</v>
      </c>
    </row>
    <row r="509" spans="5:11" x14ac:dyDescent="0.25">
      <c r="E509" t="s">
        <v>10344</v>
      </c>
      <c r="F509">
        <v>700764</v>
      </c>
      <c r="G509" s="1">
        <v>45382</v>
      </c>
      <c r="H509" t="s">
        <v>1023</v>
      </c>
      <c r="I509" t="s">
        <v>30</v>
      </c>
      <c r="J509" s="1">
        <v>45292</v>
      </c>
      <c r="K509">
        <v>-3821365</v>
      </c>
    </row>
    <row r="510" spans="5:11" x14ac:dyDescent="0.25">
      <c r="E510" t="s">
        <v>1024</v>
      </c>
      <c r="F510">
        <v>700841</v>
      </c>
      <c r="G510" s="1">
        <v>45381</v>
      </c>
      <c r="H510" t="s">
        <v>1025</v>
      </c>
      <c r="I510" t="s">
        <v>46</v>
      </c>
      <c r="J510" s="1">
        <v>45291</v>
      </c>
      <c r="K510">
        <v>3952000</v>
      </c>
    </row>
    <row r="511" spans="5:11" x14ac:dyDescent="0.25">
      <c r="E511" t="s">
        <v>10345</v>
      </c>
      <c r="F511">
        <v>700923</v>
      </c>
      <c r="G511" s="1">
        <v>45382</v>
      </c>
      <c r="H511" t="s">
        <v>1026</v>
      </c>
      <c r="I511" t="s">
        <v>92</v>
      </c>
      <c r="J511" s="1">
        <v>45292</v>
      </c>
      <c r="K511">
        <v>18939000</v>
      </c>
    </row>
    <row r="512" spans="5:11" x14ac:dyDescent="0.25">
      <c r="E512" t="s">
        <v>1027</v>
      </c>
      <c r="F512">
        <v>701288</v>
      </c>
      <c r="G512" s="1">
        <v>45382</v>
      </c>
      <c r="H512" t="s">
        <v>1028</v>
      </c>
      <c r="I512" t="s">
        <v>30</v>
      </c>
      <c r="J512" s="1">
        <v>45292</v>
      </c>
      <c r="K512">
        <v>2792000</v>
      </c>
    </row>
    <row r="513" spans="5:11" x14ac:dyDescent="0.25">
      <c r="E513" t="s">
        <v>10346</v>
      </c>
      <c r="F513">
        <v>701347</v>
      </c>
      <c r="G513" s="1">
        <v>45382</v>
      </c>
      <c r="H513" t="s">
        <v>1029</v>
      </c>
      <c r="I513" t="s">
        <v>43</v>
      </c>
      <c r="J513" s="1">
        <v>45292</v>
      </c>
      <c r="K513">
        <v>12945000</v>
      </c>
    </row>
    <row r="514" spans="5:11" x14ac:dyDescent="0.25">
      <c r="E514" t="s">
        <v>1030</v>
      </c>
      <c r="F514">
        <v>701374</v>
      </c>
      <c r="G514" s="1">
        <v>45382</v>
      </c>
      <c r="H514" t="s">
        <v>1031</v>
      </c>
      <c r="I514" t="s">
        <v>30</v>
      </c>
      <c r="J514" s="1">
        <v>45292</v>
      </c>
      <c r="K514">
        <v>-82726000</v>
      </c>
    </row>
    <row r="515" spans="5:11" x14ac:dyDescent="0.25">
      <c r="E515" t="s">
        <v>1032</v>
      </c>
      <c r="F515">
        <v>701719</v>
      </c>
      <c r="G515" s="1">
        <v>45382</v>
      </c>
      <c r="H515" t="s">
        <v>1033</v>
      </c>
      <c r="I515" t="s">
        <v>30</v>
      </c>
      <c r="J515" s="1">
        <v>45292</v>
      </c>
      <c r="K515">
        <v>1907539</v>
      </c>
    </row>
    <row r="516" spans="5:11" x14ac:dyDescent="0.25">
      <c r="E516" t="s">
        <v>1034</v>
      </c>
      <c r="F516">
        <v>701985</v>
      </c>
      <c r="G516" s="1">
        <v>45416</v>
      </c>
      <c r="H516" t="s">
        <v>1035</v>
      </c>
      <c r="I516" t="s">
        <v>60</v>
      </c>
      <c r="J516" s="1">
        <v>45326</v>
      </c>
      <c r="K516">
        <v>87000000</v>
      </c>
    </row>
    <row r="517" spans="5:11" x14ac:dyDescent="0.25">
      <c r="E517" t="s">
        <v>1036</v>
      </c>
      <c r="F517">
        <v>702165</v>
      </c>
      <c r="G517" s="1">
        <v>45382</v>
      </c>
      <c r="H517" t="s">
        <v>1037</v>
      </c>
      <c r="I517" t="s">
        <v>64</v>
      </c>
      <c r="J517" s="1">
        <v>45292</v>
      </c>
      <c r="K517">
        <v>53000000</v>
      </c>
    </row>
    <row r="518" spans="5:11" x14ac:dyDescent="0.25">
      <c r="E518" t="s">
        <v>1038</v>
      </c>
      <c r="F518">
        <v>703351</v>
      </c>
      <c r="G518" s="1">
        <v>45378</v>
      </c>
      <c r="H518" t="s">
        <v>1039</v>
      </c>
      <c r="I518" t="s">
        <v>30</v>
      </c>
      <c r="J518" s="1">
        <v>45288</v>
      </c>
      <c r="K518">
        <v>48700000</v>
      </c>
    </row>
    <row r="519" spans="5:11" x14ac:dyDescent="0.25">
      <c r="E519" t="s">
        <v>10347</v>
      </c>
      <c r="F519">
        <v>703604</v>
      </c>
      <c r="G519" s="1">
        <v>45382</v>
      </c>
      <c r="H519" t="s">
        <v>1040</v>
      </c>
      <c r="I519" t="s">
        <v>30</v>
      </c>
      <c r="J519" s="1">
        <v>45292</v>
      </c>
      <c r="K519">
        <v>-5224000</v>
      </c>
    </row>
    <row r="520" spans="5:11" x14ac:dyDescent="0.25">
      <c r="E520" t="s">
        <v>1041</v>
      </c>
      <c r="F520">
        <v>704172</v>
      </c>
      <c r="G520" s="1">
        <v>45382</v>
      </c>
      <c r="H520" t="s">
        <v>1042</v>
      </c>
      <c r="I520" t="s">
        <v>36</v>
      </c>
      <c r="J520" s="1">
        <v>45292</v>
      </c>
      <c r="K520">
        <v>-1690405</v>
      </c>
    </row>
    <row r="521" spans="5:11" x14ac:dyDescent="0.25">
      <c r="E521" t="s">
        <v>1043</v>
      </c>
      <c r="F521">
        <v>704440</v>
      </c>
      <c r="G521" s="1">
        <v>45382</v>
      </c>
      <c r="H521" t="s">
        <v>1044</v>
      </c>
      <c r="I521" t="s">
        <v>46</v>
      </c>
      <c r="J521" s="1">
        <v>45292</v>
      </c>
      <c r="K521">
        <v>-1935958</v>
      </c>
    </row>
    <row r="522" spans="5:11" x14ac:dyDescent="0.25">
      <c r="E522" t="s">
        <v>10348</v>
      </c>
      <c r="F522">
        <v>705432</v>
      </c>
      <c r="G522" s="1">
        <v>45382</v>
      </c>
      <c r="H522" t="s">
        <v>1045</v>
      </c>
      <c r="I522" t="s">
        <v>30</v>
      </c>
      <c r="J522" s="1">
        <v>45292</v>
      </c>
      <c r="K522">
        <v>21511000</v>
      </c>
    </row>
    <row r="523" spans="5:11" x14ac:dyDescent="0.25">
      <c r="E523" t="s">
        <v>1046</v>
      </c>
      <c r="F523">
        <v>706129</v>
      </c>
      <c r="G523" s="1">
        <v>45382</v>
      </c>
      <c r="H523" t="s">
        <v>1047</v>
      </c>
      <c r="I523" t="s">
        <v>288</v>
      </c>
      <c r="J523" s="1">
        <v>45292</v>
      </c>
      <c r="K523">
        <v>13991000</v>
      </c>
    </row>
    <row r="524" spans="5:11" x14ac:dyDescent="0.25">
      <c r="E524" t="s">
        <v>1048</v>
      </c>
      <c r="F524">
        <v>706863</v>
      </c>
      <c r="G524" s="1">
        <v>45382</v>
      </c>
      <c r="H524" t="s">
        <v>1049</v>
      </c>
      <c r="I524" t="s">
        <v>992</v>
      </c>
      <c r="J524" s="1">
        <v>45292</v>
      </c>
      <c r="K524">
        <v>2417000</v>
      </c>
    </row>
    <row r="525" spans="5:11" x14ac:dyDescent="0.25">
      <c r="E525" t="s">
        <v>10349</v>
      </c>
      <c r="F525">
        <v>707179</v>
      </c>
      <c r="G525" s="1">
        <v>45382</v>
      </c>
      <c r="H525" t="s">
        <v>1050</v>
      </c>
      <c r="I525" t="s">
        <v>288</v>
      </c>
      <c r="J525" s="1">
        <v>45292</v>
      </c>
      <c r="K525">
        <v>120284000</v>
      </c>
    </row>
    <row r="526" spans="5:11" x14ac:dyDescent="0.25">
      <c r="E526" t="s">
        <v>1051</v>
      </c>
      <c r="F526">
        <v>707388</v>
      </c>
      <c r="G526" s="1">
        <v>45382</v>
      </c>
      <c r="H526" t="s">
        <v>1052</v>
      </c>
      <c r="I526" t="s">
        <v>27</v>
      </c>
      <c r="J526" s="1">
        <v>45292</v>
      </c>
      <c r="K526">
        <v>-2224000</v>
      </c>
    </row>
    <row r="527" spans="5:11" x14ac:dyDescent="0.25">
      <c r="E527" t="s">
        <v>1053</v>
      </c>
      <c r="F527">
        <v>707549</v>
      </c>
      <c r="G527" s="1">
        <v>45382</v>
      </c>
      <c r="H527" t="s">
        <v>1054</v>
      </c>
      <c r="I527" t="s">
        <v>36</v>
      </c>
      <c r="J527" s="1">
        <v>45285</v>
      </c>
      <c r="K527">
        <v>965826000</v>
      </c>
    </row>
    <row r="528" spans="5:11" x14ac:dyDescent="0.25">
      <c r="E528" t="s">
        <v>1055</v>
      </c>
      <c r="F528">
        <v>707605</v>
      </c>
      <c r="G528" s="1">
        <v>45382</v>
      </c>
      <c r="H528" t="s">
        <v>1056</v>
      </c>
      <c r="I528" t="s">
        <v>39</v>
      </c>
      <c r="J528" s="1">
        <v>45292</v>
      </c>
      <c r="K528">
        <v>1904000</v>
      </c>
    </row>
    <row r="529" spans="5:11" x14ac:dyDescent="0.25">
      <c r="E529" t="s">
        <v>1057</v>
      </c>
      <c r="F529">
        <v>708781</v>
      </c>
      <c r="G529" s="1">
        <v>45382</v>
      </c>
      <c r="H529" t="s">
        <v>1058</v>
      </c>
      <c r="I529" t="s">
        <v>137</v>
      </c>
      <c r="J529" s="1">
        <v>45292</v>
      </c>
      <c r="K529">
        <v>7152000</v>
      </c>
    </row>
    <row r="530" spans="5:11" x14ac:dyDescent="0.25">
      <c r="E530" t="s">
        <v>1059</v>
      </c>
      <c r="F530">
        <v>708821</v>
      </c>
      <c r="G530" s="1">
        <v>45382</v>
      </c>
      <c r="H530" t="s">
        <v>1060</v>
      </c>
      <c r="I530" t="s">
        <v>57</v>
      </c>
      <c r="J530" s="1">
        <v>45292</v>
      </c>
      <c r="K530">
        <v>-18288000</v>
      </c>
    </row>
    <row r="531" spans="5:11" x14ac:dyDescent="0.25">
      <c r="E531" t="s">
        <v>1061</v>
      </c>
      <c r="F531">
        <v>708955</v>
      </c>
      <c r="G531" s="1">
        <v>45382</v>
      </c>
      <c r="H531" t="s">
        <v>1062</v>
      </c>
      <c r="I531" t="s">
        <v>60</v>
      </c>
      <c r="J531" s="1">
        <v>45292</v>
      </c>
      <c r="K531">
        <v>50689000</v>
      </c>
    </row>
    <row r="532" spans="5:11" x14ac:dyDescent="0.25">
      <c r="E532" t="s">
        <v>1063</v>
      </c>
      <c r="F532">
        <v>709005</v>
      </c>
      <c r="G532" s="1">
        <v>45382</v>
      </c>
      <c r="H532" t="s">
        <v>1064</v>
      </c>
      <c r="I532" t="s">
        <v>288</v>
      </c>
      <c r="J532" s="1">
        <v>45292</v>
      </c>
      <c r="K532">
        <v>-86477</v>
      </c>
    </row>
    <row r="533" spans="5:11" x14ac:dyDescent="0.25">
      <c r="E533" t="s">
        <v>1065</v>
      </c>
      <c r="F533">
        <v>709283</v>
      </c>
      <c r="G533" s="1">
        <v>45382</v>
      </c>
      <c r="H533" t="s">
        <v>1066</v>
      </c>
      <c r="I533" t="s">
        <v>36</v>
      </c>
      <c r="J533" s="1">
        <v>45292</v>
      </c>
      <c r="K533">
        <v>-18943000</v>
      </c>
    </row>
    <row r="534" spans="5:11" x14ac:dyDescent="0.25">
      <c r="E534" t="s">
        <v>1067</v>
      </c>
      <c r="F534">
        <v>709337</v>
      </c>
      <c r="G534" s="1">
        <v>45382</v>
      </c>
      <c r="H534" t="s">
        <v>1068</v>
      </c>
      <c r="I534" t="s">
        <v>60</v>
      </c>
      <c r="J534" s="1">
        <v>45292</v>
      </c>
      <c r="K534">
        <v>11240000</v>
      </c>
    </row>
    <row r="535" spans="5:11" x14ac:dyDescent="0.25">
      <c r="E535" t="s">
        <v>1069</v>
      </c>
      <c r="F535">
        <v>711034</v>
      </c>
      <c r="G535" s="1">
        <v>45382</v>
      </c>
      <c r="H535" t="s">
        <v>1070</v>
      </c>
      <c r="I535" t="s">
        <v>1071</v>
      </c>
      <c r="J535" s="1">
        <v>45292</v>
      </c>
      <c r="K535">
        <v>-205560</v>
      </c>
    </row>
    <row r="536" spans="5:11" x14ac:dyDescent="0.25">
      <c r="E536" t="s">
        <v>1072</v>
      </c>
      <c r="F536">
        <v>711377</v>
      </c>
      <c r="G536" s="1">
        <v>45351</v>
      </c>
      <c r="H536" t="s">
        <v>1073</v>
      </c>
      <c r="I536" t="s">
        <v>329</v>
      </c>
      <c r="J536" s="1">
        <v>45261</v>
      </c>
      <c r="K536">
        <v>-2022000</v>
      </c>
    </row>
    <row r="537" spans="5:11" x14ac:dyDescent="0.25">
      <c r="E537" t="s">
        <v>1074</v>
      </c>
      <c r="F537">
        <v>711404</v>
      </c>
      <c r="G537" s="1">
        <v>45412</v>
      </c>
      <c r="H537" t="s">
        <v>1075</v>
      </c>
      <c r="I537" t="s">
        <v>36</v>
      </c>
      <c r="J537" s="1">
        <v>45323</v>
      </c>
      <c r="K537">
        <v>88900000</v>
      </c>
    </row>
    <row r="538" spans="5:11" x14ac:dyDescent="0.25">
      <c r="E538" t="s">
        <v>1076</v>
      </c>
      <c r="F538">
        <v>711669</v>
      </c>
      <c r="G538" s="1">
        <v>45382</v>
      </c>
      <c r="H538" t="s">
        <v>1077</v>
      </c>
      <c r="I538" t="s">
        <v>64</v>
      </c>
      <c r="J538" s="1">
        <v>45292</v>
      </c>
      <c r="K538">
        <v>5333000</v>
      </c>
    </row>
    <row r="539" spans="5:11" x14ac:dyDescent="0.25">
      <c r="E539" t="s">
        <v>1078</v>
      </c>
      <c r="F539">
        <v>711772</v>
      </c>
      <c r="G539" s="1">
        <v>45382</v>
      </c>
      <c r="H539" t="s">
        <v>1079</v>
      </c>
      <c r="I539" t="s">
        <v>24</v>
      </c>
      <c r="J539" s="1">
        <v>45292</v>
      </c>
      <c r="K539">
        <v>6888000</v>
      </c>
    </row>
    <row r="540" spans="5:11" x14ac:dyDescent="0.25">
      <c r="E540" t="s">
        <v>10614</v>
      </c>
      <c r="F540">
        <v>712034</v>
      </c>
      <c r="G540" s="1">
        <v>45382</v>
      </c>
      <c r="H540" t="s">
        <v>1080</v>
      </c>
      <c r="I540" t="s">
        <v>19</v>
      </c>
      <c r="J540" s="1">
        <v>45292</v>
      </c>
      <c r="K540">
        <v>-6300000</v>
      </c>
    </row>
    <row r="541" spans="5:11" x14ac:dyDescent="0.25">
      <c r="E541" t="s">
        <v>1081</v>
      </c>
      <c r="F541">
        <v>712534</v>
      </c>
      <c r="G541" s="1">
        <v>45382</v>
      </c>
      <c r="H541" t="s">
        <v>1082</v>
      </c>
      <c r="I541" t="s">
        <v>288</v>
      </c>
      <c r="J541" s="1">
        <v>45292</v>
      </c>
      <c r="K541">
        <v>47941000</v>
      </c>
    </row>
    <row r="542" spans="5:11" x14ac:dyDescent="0.25">
      <c r="E542" t="s">
        <v>1083</v>
      </c>
      <c r="F542">
        <v>712537</v>
      </c>
      <c r="G542" s="1">
        <v>45382</v>
      </c>
      <c r="H542" t="s">
        <v>1084</v>
      </c>
      <c r="I542" t="s">
        <v>39</v>
      </c>
      <c r="J542" s="1">
        <v>45292</v>
      </c>
      <c r="K542">
        <v>37549000</v>
      </c>
    </row>
    <row r="543" spans="5:11" x14ac:dyDescent="0.25">
      <c r="E543" t="s">
        <v>1085</v>
      </c>
      <c r="F543">
        <v>712770</v>
      </c>
      <c r="G543" s="1">
        <v>45382</v>
      </c>
      <c r="H543" t="s">
        <v>1086</v>
      </c>
      <c r="I543" t="s">
        <v>57</v>
      </c>
      <c r="J543" s="1">
        <v>45292</v>
      </c>
      <c r="K543">
        <v>5155000</v>
      </c>
    </row>
    <row r="544" spans="5:11" x14ac:dyDescent="0.25">
      <c r="E544" t="s">
        <v>1087</v>
      </c>
      <c r="F544">
        <v>712771</v>
      </c>
      <c r="G544" s="1">
        <v>45382</v>
      </c>
      <c r="H544" t="s">
        <v>1088</v>
      </c>
      <c r="I544" t="s">
        <v>46</v>
      </c>
      <c r="J544" s="1">
        <v>45292</v>
      </c>
      <c r="K544">
        <v>17205000</v>
      </c>
    </row>
    <row r="545" spans="5:11" x14ac:dyDescent="0.25">
      <c r="E545" t="s">
        <v>1089</v>
      </c>
      <c r="F545">
        <v>714256</v>
      </c>
      <c r="G545" s="1">
        <v>45382</v>
      </c>
      <c r="H545" t="s">
        <v>1090</v>
      </c>
      <c r="I545" t="s">
        <v>30</v>
      </c>
      <c r="J545" s="1">
        <v>45292</v>
      </c>
      <c r="K545">
        <v>-1764184</v>
      </c>
    </row>
    <row r="546" spans="5:11" x14ac:dyDescent="0.25">
      <c r="E546" t="s">
        <v>1091</v>
      </c>
      <c r="F546">
        <v>714310</v>
      </c>
      <c r="G546" s="1">
        <v>45382</v>
      </c>
      <c r="H546" t="s">
        <v>1092</v>
      </c>
      <c r="I546" t="s">
        <v>57</v>
      </c>
      <c r="J546" s="1">
        <v>45292</v>
      </c>
      <c r="K546">
        <v>96280000</v>
      </c>
    </row>
    <row r="547" spans="5:11" x14ac:dyDescent="0.25">
      <c r="E547" t="s">
        <v>1093</v>
      </c>
      <c r="F547">
        <v>714395</v>
      </c>
      <c r="G547" s="1">
        <v>45382</v>
      </c>
      <c r="H547" t="s">
        <v>1094</v>
      </c>
      <c r="I547" t="s">
        <v>288</v>
      </c>
      <c r="J547" s="1">
        <v>45292</v>
      </c>
      <c r="K547">
        <v>19022000</v>
      </c>
    </row>
    <row r="548" spans="5:11" x14ac:dyDescent="0.25">
      <c r="E548" t="s">
        <v>1095</v>
      </c>
      <c r="F548">
        <v>714562</v>
      </c>
      <c r="G548" s="1">
        <v>45382</v>
      </c>
      <c r="H548" t="s">
        <v>1096</v>
      </c>
      <c r="I548" t="s">
        <v>288</v>
      </c>
      <c r="J548" s="1">
        <v>45292</v>
      </c>
      <c r="K548">
        <v>10924000</v>
      </c>
    </row>
    <row r="549" spans="5:11" x14ac:dyDescent="0.25">
      <c r="E549" t="s">
        <v>1097</v>
      </c>
      <c r="F549">
        <v>714712</v>
      </c>
      <c r="G549" s="1">
        <v>45382</v>
      </c>
      <c r="H549" t="s">
        <v>1098</v>
      </c>
      <c r="I549" t="s">
        <v>39</v>
      </c>
      <c r="J549" s="1">
        <v>45292</v>
      </c>
      <c r="K549">
        <v>1355000</v>
      </c>
    </row>
    <row r="550" spans="5:11" x14ac:dyDescent="0.25">
      <c r="E550" t="s">
        <v>1099</v>
      </c>
      <c r="F550">
        <v>715072</v>
      </c>
      <c r="G550" s="1">
        <v>45382</v>
      </c>
      <c r="H550" t="s">
        <v>1100</v>
      </c>
      <c r="I550" t="s">
        <v>162</v>
      </c>
      <c r="J550" s="1">
        <v>45292</v>
      </c>
      <c r="K550">
        <v>39409000</v>
      </c>
    </row>
    <row r="551" spans="5:11" x14ac:dyDescent="0.25">
      <c r="E551" t="s">
        <v>1101</v>
      </c>
      <c r="F551">
        <v>715446</v>
      </c>
      <c r="G551" s="1">
        <v>45412</v>
      </c>
      <c r="H551" t="s">
        <v>1102</v>
      </c>
      <c r="I551" t="s">
        <v>36</v>
      </c>
      <c r="J551" s="1">
        <v>45323</v>
      </c>
      <c r="K551">
        <v>-3139000</v>
      </c>
    </row>
    <row r="552" spans="5:11" x14ac:dyDescent="0.25">
      <c r="E552" t="s">
        <v>1103</v>
      </c>
      <c r="F552">
        <v>715579</v>
      </c>
      <c r="G552" s="1">
        <v>45382</v>
      </c>
      <c r="H552" t="s">
        <v>1104</v>
      </c>
      <c r="I552" t="s">
        <v>39</v>
      </c>
      <c r="J552" s="1">
        <v>45292</v>
      </c>
      <c r="K552">
        <v>6768000</v>
      </c>
    </row>
    <row r="553" spans="5:11" x14ac:dyDescent="0.25">
      <c r="E553" t="s">
        <v>1105</v>
      </c>
      <c r="F553">
        <v>715787</v>
      </c>
      <c r="G553" s="1">
        <v>45382</v>
      </c>
      <c r="H553" t="s">
        <v>1106</v>
      </c>
      <c r="I553" t="s">
        <v>64</v>
      </c>
      <c r="J553" s="1">
        <v>45292</v>
      </c>
      <c r="K553">
        <v>14179000</v>
      </c>
    </row>
    <row r="554" spans="5:11" x14ac:dyDescent="0.25">
      <c r="E554" t="s">
        <v>1107</v>
      </c>
      <c r="F554">
        <v>715957</v>
      </c>
      <c r="G554" s="1">
        <v>45382</v>
      </c>
      <c r="H554" t="s">
        <v>1108</v>
      </c>
      <c r="I554" t="s">
        <v>123</v>
      </c>
      <c r="J554" s="1">
        <v>45292</v>
      </c>
      <c r="K554">
        <v>674000000</v>
      </c>
    </row>
    <row r="555" spans="5:11" x14ac:dyDescent="0.25">
      <c r="E555" t="s">
        <v>1109</v>
      </c>
      <c r="F555">
        <v>716133</v>
      </c>
      <c r="G555" s="1">
        <v>45382</v>
      </c>
      <c r="H555" t="s">
        <v>1110</v>
      </c>
      <c r="I555" t="s">
        <v>60</v>
      </c>
      <c r="J555" s="1">
        <v>45292</v>
      </c>
      <c r="K555">
        <v>-40900000</v>
      </c>
    </row>
    <row r="556" spans="5:11" x14ac:dyDescent="0.25">
      <c r="E556" t="s">
        <v>1111</v>
      </c>
      <c r="F556">
        <v>716605</v>
      </c>
      <c r="G556" s="1">
        <v>45382</v>
      </c>
      <c r="H556" t="s">
        <v>1112</v>
      </c>
      <c r="I556" t="s">
        <v>39</v>
      </c>
      <c r="J556" s="1">
        <v>45292</v>
      </c>
      <c r="K556">
        <v>3808000</v>
      </c>
    </row>
    <row r="557" spans="5:11" x14ac:dyDescent="0.25">
      <c r="E557" t="s">
        <v>1113</v>
      </c>
      <c r="F557">
        <v>716634</v>
      </c>
      <c r="G557" s="1">
        <v>45382</v>
      </c>
      <c r="H557" t="s">
        <v>1114</v>
      </c>
      <c r="I557" t="s">
        <v>57</v>
      </c>
      <c r="J557" s="1">
        <v>45292</v>
      </c>
      <c r="K557">
        <v>-13228000</v>
      </c>
    </row>
    <row r="558" spans="5:11" x14ac:dyDescent="0.25">
      <c r="E558" t="s">
        <v>1115</v>
      </c>
      <c r="F558">
        <v>716643</v>
      </c>
      <c r="G558" s="1">
        <v>45382</v>
      </c>
      <c r="H558" t="s">
        <v>1116</v>
      </c>
      <c r="I558" t="s">
        <v>213</v>
      </c>
      <c r="J558" s="1">
        <v>45292</v>
      </c>
      <c r="K558">
        <v>-2332000</v>
      </c>
    </row>
    <row r="559" spans="5:11" x14ac:dyDescent="0.25">
      <c r="E559" t="s">
        <v>1117</v>
      </c>
      <c r="F559">
        <v>717423</v>
      </c>
      <c r="G559" s="1">
        <v>45382</v>
      </c>
      <c r="H559" t="s">
        <v>1118</v>
      </c>
      <c r="I559" t="s">
        <v>30</v>
      </c>
      <c r="J559" s="1">
        <v>45292</v>
      </c>
      <c r="K559">
        <v>90002000</v>
      </c>
    </row>
    <row r="560" spans="5:11" x14ac:dyDescent="0.25">
      <c r="E560" t="s">
        <v>1119</v>
      </c>
      <c r="F560">
        <v>717538</v>
      </c>
      <c r="G560" s="1">
        <v>45382</v>
      </c>
      <c r="H560" t="s">
        <v>1120</v>
      </c>
      <c r="I560" t="s">
        <v>57</v>
      </c>
      <c r="J560" s="1">
        <v>45292</v>
      </c>
      <c r="K560">
        <v>7660000</v>
      </c>
    </row>
    <row r="561" spans="5:11" x14ac:dyDescent="0.25">
      <c r="E561" t="s">
        <v>1121</v>
      </c>
      <c r="F561">
        <v>717806</v>
      </c>
      <c r="G561" s="1">
        <v>45382</v>
      </c>
      <c r="H561" t="s">
        <v>1122</v>
      </c>
      <c r="I561" t="s">
        <v>1123</v>
      </c>
      <c r="J561" s="1">
        <v>45292</v>
      </c>
      <c r="K561">
        <v>2107000</v>
      </c>
    </row>
    <row r="562" spans="5:11" x14ac:dyDescent="0.25">
      <c r="E562" t="s">
        <v>1124</v>
      </c>
      <c r="F562">
        <v>717954</v>
      </c>
      <c r="G562" s="1">
        <v>45346</v>
      </c>
      <c r="H562" t="s">
        <v>1125</v>
      </c>
      <c r="I562" t="s">
        <v>24</v>
      </c>
      <c r="J562" s="1">
        <v>45256</v>
      </c>
      <c r="K562">
        <v>20457000</v>
      </c>
    </row>
    <row r="563" spans="5:11" x14ac:dyDescent="0.25">
      <c r="E563" t="s">
        <v>1126</v>
      </c>
      <c r="F563">
        <v>718332</v>
      </c>
      <c r="G563" s="1">
        <v>45375</v>
      </c>
      <c r="H563" t="s">
        <v>1127</v>
      </c>
      <c r="I563" t="s">
        <v>30</v>
      </c>
      <c r="J563" s="1">
        <v>45285</v>
      </c>
      <c r="K563">
        <v>654000</v>
      </c>
    </row>
    <row r="564" spans="5:11" x14ac:dyDescent="0.25">
      <c r="E564" t="s">
        <v>1128</v>
      </c>
      <c r="F564">
        <v>718413</v>
      </c>
      <c r="G564" s="1">
        <v>45382</v>
      </c>
      <c r="H564" t="s">
        <v>1129</v>
      </c>
      <c r="I564" t="s">
        <v>992</v>
      </c>
      <c r="J564" s="1">
        <v>45292</v>
      </c>
      <c r="K564">
        <v>2822901</v>
      </c>
    </row>
    <row r="565" spans="5:11" x14ac:dyDescent="0.25">
      <c r="E565" t="s">
        <v>1130</v>
      </c>
      <c r="F565">
        <v>718937</v>
      </c>
      <c r="G565" s="1">
        <v>45380</v>
      </c>
      <c r="H565" t="s">
        <v>1131</v>
      </c>
      <c r="I565" t="s">
        <v>36</v>
      </c>
      <c r="J565" s="1">
        <v>45290</v>
      </c>
      <c r="K565">
        <v>-3339000</v>
      </c>
    </row>
    <row r="566" spans="5:11" x14ac:dyDescent="0.25">
      <c r="E566" t="s">
        <v>1132</v>
      </c>
      <c r="F566">
        <v>719135</v>
      </c>
      <c r="G566" s="1">
        <v>45382</v>
      </c>
      <c r="H566" t="s">
        <v>1133</v>
      </c>
      <c r="I566" t="s">
        <v>33</v>
      </c>
      <c r="J566" s="1">
        <v>45292</v>
      </c>
      <c r="K566">
        <v>-7576000</v>
      </c>
    </row>
    <row r="567" spans="5:11" x14ac:dyDescent="0.25">
      <c r="E567" t="s">
        <v>1134</v>
      </c>
      <c r="F567">
        <v>719220</v>
      </c>
      <c r="G567" s="1">
        <v>45382</v>
      </c>
      <c r="H567" t="s">
        <v>1135</v>
      </c>
      <c r="I567" t="s">
        <v>39</v>
      </c>
      <c r="J567" s="1">
        <v>45292</v>
      </c>
      <c r="K567">
        <v>31239000</v>
      </c>
    </row>
    <row r="568" spans="5:11" x14ac:dyDescent="0.25">
      <c r="E568" t="s">
        <v>1136</v>
      </c>
      <c r="F568">
        <v>719274</v>
      </c>
      <c r="G568" s="1">
        <v>45382</v>
      </c>
      <c r="H568" t="s">
        <v>1137</v>
      </c>
      <c r="I568" t="s">
        <v>113</v>
      </c>
      <c r="J568" s="1">
        <v>45292</v>
      </c>
      <c r="K568">
        <v>-4407000</v>
      </c>
    </row>
    <row r="569" spans="5:11" x14ac:dyDescent="0.25">
      <c r="E569" t="s">
        <v>1138</v>
      </c>
      <c r="F569">
        <v>719402</v>
      </c>
      <c r="G569" s="1">
        <v>45382</v>
      </c>
      <c r="H569" t="s">
        <v>1139</v>
      </c>
      <c r="I569" t="s">
        <v>123</v>
      </c>
      <c r="J569" s="1">
        <v>45292</v>
      </c>
      <c r="K569">
        <v>3209000</v>
      </c>
    </row>
    <row r="570" spans="5:11" x14ac:dyDescent="0.25">
      <c r="E570" t="s">
        <v>1140</v>
      </c>
      <c r="F570">
        <v>719413</v>
      </c>
      <c r="G570" s="1">
        <v>45382</v>
      </c>
      <c r="H570" t="s">
        <v>1141</v>
      </c>
      <c r="I570" t="s">
        <v>1071</v>
      </c>
      <c r="J570" s="1">
        <v>45292</v>
      </c>
      <c r="K570">
        <v>-5753000</v>
      </c>
    </row>
    <row r="571" spans="5:11" x14ac:dyDescent="0.25">
      <c r="E571" t="s">
        <v>1142</v>
      </c>
      <c r="F571">
        <v>719494</v>
      </c>
      <c r="G571" s="1">
        <v>45382</v>
      </c>
      <c r="H571" t="s">
        <v>1143</v>
      </c>
      <c r="I571" t="s">
        <v>46</v>
      </c>
      <c r="J571" s="1">
        <v>45292</v>
      </c>
      <c r="K571">
        <v>978117</v>
      </c>
    </row>
    <row r="572" spans="5:11" x14ac:dyDescent="0.25">
      <c r="E572" t="s">
        <v>1144</v>
      </c>
      <c r="F572">
        <v>719733</v>
      </c>
      <c r="G572" s="1">
        <v>45381</v>
      </c>
      <c r="H572" t="s">
        <v>1145</v>
      </c>
      <c r="I572" t="s">
        <v>504</v>
      </c>
      <c r="J572" s="1">
        <v>45291</v>
      </c>
      <c r="K572">
        <v>-2221000</v>
      </c>
    </row>
    <row r="573" spans="5:11" x14ac:dyDescent="0.25">
      <c r="E573" t="s">
        <v>10350</v>
      </c>
      <c r="F573">
        <v>719955</v>
      </c>
      <c r="G573" s="1">
        <v>45410</v>
      </c>
      <c r="H573" t="s">
        <v>10351</v>
      </c>
      <c r="I573" t="s">
        <v>36</v>
      </c>
      <c r="J573" s="1">
        <v>45320</v>
      </c>
      <c r="K573">
        <v>265666000</v>
      </c>
    </row>
    <row r="574" spans="5:11" x14ac:dyDescent="0.25">
      <c r="E574" t="s">
        <v>1146</v>
      </c>
      <c r="F574">
        <v>720005</v>
      </c>
      <c r="G574" s="1">
        <v>45382</v>
      </c>
      <c r="H574" t="s">
        <v>1147</v>
      </c>
      <c r="I574" t="s">
        <v>33</v>
      </c>
      <c r="J574" s="1">
        <v>45292</v>
      </c>
      <c r="K574">
        <v>476000000</v>
      </c>
    </row>
    <row r="575" spans="5:11" x14ac:dyDescent="0.25">
      <c r="E575" t="s">
        <v>1148</v>
      </c>
      <c r="F575">
        <v>720154</v>
      </c>
      <c r="G575" s="1">
        <v>45382</v>
      </c>
      <c r="H575" t="s">
        <v>1149</v>
      </c>
      <c r="I575" t="s">
        <v>288</v>
      </c>
      <c r="J575" s="1">
        <v>45292</v>
      </c>
      <c r="K575">
        <v>-48079000</v>
      </c>
    </row>
    <row r="576" spans="5:11" x14ac:dyDescent="0.25">
      <c r="E576" t="s">
        <v>1150</v>
      </c>
      <c r="F576">
        <v>720500</v>
      </c>
      <c r="G576" s="1">
        <v>45382</v>
      </c>
      <c r="H576" t="s">
        <v>1151</v>
      </c>
      <c r="I576" t="s">
        <v>113</v>
      </c>
      <c r="J576" s="1">
        <v>45292</v>
      </c>
      <c r="K576">
        <v>970000</v>
      </c>
    </row>
    <row r="577" spans="5:11" x14ac:dyDescent="0.25">
      <c r="E577" t="s">
        <v>1152</v>
      </c>
      <c r="F577">
        <v>720672</v>
      </c>
      <c r="G577" s="1">
        <v>45382</v>
      </c>
      <c r="H577" t="s">
        <v>1153</v>
      </c>
      <c r="I577" t="s">
        <v>137</v>
      </c>
      <c r="J577" s="1">
        <v>45292</v>
      </c>
      <c r="K577">
        <v>163575000</v>
      </c>
    </row>
    <row r="578" spans="5:11" x14ac:dyDescent="0.25">
      <c r="E578" t="s">
        <v>1154</v>
      </c>
      <c r="F578">
        <v>720762</v>
      </c>
      <c r="G578" s="1">
        <v>45412</v>
      </c>
      <c r="H578" t="s">
        <v>1155</v>
      </c>
      <c r="I578" t="s">
        <v>33</v>
      </c>
      <c r="J578" s="1">
        <v>45323</v>
      </c>
      <c r="K578">
        <v>-44000</v>
      </c>
    </row>
    <row r="579" spans="5:11" x14ac:dyDescent="0.25">
      <c r="E579" t="s">
        <v>1156</v>
      </c>
      <c r="F579">
        <v>720858</v>
      </c>
      <c r="G579" s="1">
        <v>45382</v>
      </c>
      <c r="H579" t="s">
        <v>1157</v>
      </c>
      <c r="I579" t="s">
        <v>172</v>
      </c>
      <c r="J579" s="1">
        <v>45292</v>
      </c>
      <c r="K579">
        <v>4525000</v>
      </c>
    </row>
    <row r="580" spans="5:11" x14ac:dyDescent="0.25">
      <c r="E580" t="s">
        <v>1158</v>
      </c>
      <c r="F580">
        <v>720875</v>
      </c>
      <c r="G580" s="1">
        <v>45382</v>
      </c>
      <c r="H580" t="s">
        <v>1159</v>
      </c>
      <c r="I580" t="s">
        <v>213</v>
      </c>
      <c r="J580" s="1">
        <v>45292</v>
      </c>
      <c r="K580">
        <v>-667722</v>
      </c>
    </row>
    <row r="581" spans="5:11" x14ac:dyDescent="0.25">
      <c r="E581" t="s">
        <v>1160</v>
      </c>
      <c r="F581">
        <v>721371</v>
      </c>
      <c r="G581" s="1">
        <v>45382</v>
      </c>
      <c r="H581" t="s">
        <v>1161</v>
      </c>
      <c r="I581" t="s">
        <v>60</v>
      </c>
      <c r="J581" s="1">
        <v>45292</v>
      </c>
      <c r="K581">
        <v>261000000</v>
      </c>
    </row>
    <row r="582" spans="5:11" x14ac:dyDescent="0.25">
      <c r="E582" t="s">
        <v>1162</v>
      </c>
      <c r="F582">
        <v>721693</v>
      </c>
      <c r="G582" s="1">
        <v>45382</v>
      </c>
      <c r="H582" t="s">
        <v>1163</v>
      </c>
      <c r="I582" t="s">
        <v>1164</v>
      </c>
      <c r="J582" s="1">
        <v>45292</v>
      </c>
      <c r="K582">
        <v>-279797</v>
      </c>
    </row>
    <row r="583" spans="5:11" x14ac:dyDescent="0.25">
      <c r="E583" t="s">
        <v>1165</v>
      </c>
      <c r="F583">
        <v>721994</v>
      </c>
      <c r="G583" s="1">
        <v>45382</v>
      </c>
      <c r="H583" t="s">
        <v>1166</v>
      </c>
      <c r="I583" t="s">
        <v>288</v>
      </c>
      <c r="J583" s="1">
        <v>45292</v>
      </c>
      <c r="K583">
        <v>23401000</v>
      </c>
    </row>
    <row r="584" spans="5:11" x14ac:dyDescent="0.25">
      <c r="E584" t="s">
        <v>1167</v>
      </c>
      <c r="F584">
        <v>722313</v>
      </c>
      <c r="G584" s="1">
        <v>45382</v>
      </c>
      <c r="H584" t="s">
        <v>1168</v>
      </c>
      <c r="I584" t="s">
        <v>213</v>
      </c>
      <c r="J584" s="1">
        <v>45292</v>
      </c>
      <c r="K584">
        <v>765000</v>
      </c>
    </row>
    <row r="585" spans="5:11" x14ac:dyDescent="0.25">
      <c r="E585" t="s">
        <v>1169</v>
      </c>
      <c r="F585">
        <v>722572</v>
      </c>
      <c r="G585" s="1">
        <v>45382</v>
      </c>
      <c r="H585" t="s">
        <v>1170</v>
      </c>
      <c r="I585" t="s">
        <v>36</v>
      </c>
      <c r="J585" s="1">
        <v>45292</v>
      </c>
      <c r="K585">
        <v>-1175680</v>
      </c>
    </row>
    <row r="586" spans="5:11" x14ac:dyDescent="0.25">
      <c r="E586" t="s">
        <v>1171</v>
      </c>
      <c r="F586">
        <v>723125</v>
      </c>
      <c r="G586" s="1">
        <v>45351</v>
      </c>
      <c r="H586" t="s">
        <v>1172</v>
      </c>
      <c r="I586" t="s">
        <v>1071</v>
      </c>
      <c r="J586" s="1">
        <v>45261</v>
      </c>
      <c r="K586">
        <v>793000000</v>
      </c>
    </row>
    <row r="587" spans="5:11" x14ac:dyDescent="0.25">
      <c r="E587" t="s">
        <v>1173</v>
      </c>
      <c r="F587">
        <v>723188</v>
      </c>
      <c r="G587" s="1">
        <v>45382</v>
      </c>
      <c r="H587" t="s">
        <v>1174</v>
      </c>
      <c r="I587" t="s">
        <v>57</v>
      </c>
      <c r="J587" s="1">
        <v>45292</v>
      </c>
      <c r="K587">
        <v>40872000</v>
      </c>
    </row>
    <row r="588" spans="5:11" x14ac:dyDescent="0.25">
      <c r="E588" t="s">
        <v>1175</v>
      </c>
      <c r="F588">
        <v>723254</v>
      </c>
      <c r="G588" s="1">
        <v>45351</v>
      </c>
      <c r="H588" t="s">
        <v>1176</v>
      </c>
      <c r="I588" t="s">
        <v>60</v>
      </c>
      <c r="J588" s="1">
        <v>45261</v>
      </c>
      <c r="K588">
        <v>397579000</v>
      </c>
    </row>
    <row r="589" spans="5:11" x14ac:dyDescent="0.25">
      <c r="E589" t="s">
        <v>1177</v>
      </c>
      <c r="F589">
        <v>723533</v>
      </c>
      <c r="G589" s="1">
        <v>45382</v>
      </c>
      <c r="H589" t="s">
        <v>1178</v>
      </c>
      <c r="I589" t="s">
        <v>1164</v>
      </c>
      <c r="J589" s="1">
        <v>45292</v>
      </c>
      <c r="K589">
        <v>-479351</v>
      </c>
    </row>
    <row r="590" spans="5:11" x14ac:dyDescent="0.25">
      <c r="E590" t="s">
        <v>1179</v>
      </c>
      <c r="F590">
        <v>723612</v>
      </c>
      <c r="G590" s="1">
        <v>45382</v>
      </c>
      <c r="H590" t="s">
        <v>1180</v>
      </c>
      <c r="I590" t="s">
        <v>46</v>
      </c>
      <c r="J590" s="1">
        <v>45292</v>
      </c>
      <c r="K590">
        <v>-114000000</v>
      </c>
    </row>
    <row r="591" spans="5:11" x14ac:dyDescent="0.25">
      <c r="E591" t="s">
        <v>1181</v>
      </c>
      <c r="F591">
        <v>723646</v>
      </c>
      <c r="G591" s="1">
        <v>45382</v>
      </c>
      <c r="H591" t="s">
        <v>1182</v>
      </c>
      <c r="I591" t="s">
        <v>39</v>
      </c>
      <c r="J591" s="1">
        <v>45292</v>
      </c>
      <c r="K591">
        <v>3361000</v>
      </c>
    </row>
    <row r="592" spans="5:11" x14ac:dyDescent="0.25">
      <c r="E592" t="s">
        <v>1183</v>
      </c>
      <c r="F592">
        <v>723733</v>
      </c>
      <c r="G592" s="1">
        <v>45412</v>
      </c>
      <c r="H592" t="s">
        <v>1184</v>
      </c>
      <c r="I592" t="s">
        <v>33</v>
      </c>
      <c r="J592" s="1">
        <v>45323</v>
      </c>
      <c r="K592">
        <v>-26697</v>
      </c>
    </row>
    <row r="593" spans="5:11" x14ac:dyDescent="0.25">
      <c r="E593" t="s">
        <v>1185</v>
      </c>
      <c r="F593">
        <v>724742</v>
      </c>
      <c r="G593" s="1">
        <v>45382</v>
      </c>
      <c r="H593" t="s">
        <v>1186</v>
      </c>
      <c r="I593" t="s">
        <v>57</v>
      </c>
      <c r="J593" s="1">
        <v>45292</v>
      </c>
      <c r="K593">
        <v>8853000</v>
      </c>
    </row>
    <row r="594" spans="5:11" x14ac:dyDescent="0.25">
      <c r="E594" t="s">
        <v>1187</v>
      </c>
      <c r="F594">
        <v>725363</v>
      </c>
      <c r="G594" s="1">
        <v>45382</v>
      </c>
      <c r="H594" t="s">
        <v>1188</v>
      </c>
      <c r="I594" t="s">
        <v>123</v>
      </c>
      <c r="J594" s="1">
        <v>45292</v>
      </c>
      <c r="K594">
        <v>-7244891</v>
      </c>
    </row>
    <row r="595" spans="5:11" x14ac:dyDescent="0.25">
      <c r="E595" t="s">
        <v>1189</v>
      </c>
      <c r="F595">
        <v>725394</v>
      </c>
      <c r="G595" s="1">
        <v>45382</v>
      </c>
      <c r="H595" t="s">
        <v>1190</v>
      </c>
      <c r="I595" t="s">
        <v>36</v>
      </c>
      <c r="J595" s="1">
        <v>45292</v>
      </c>
      <c r="K595">
        <v>-2882820</v>
      </c>
    </row>
    <row r="596" spans="5:11" x14ac:dyDescent="0.25">
      <c r="E596" t="s">
        <v>1191</v>
      </c>
      <c r="F596">
        <v>726601</v>
      </c>
      <c r="G596" s="1">
        <v>45382</v>
      </c>
      <c r="H596" t="s">
        <v>1192</v>
      </c>
      <c r="I596" t="s">
        <v>33</v>
      </c>
      <c r="J596" s="1">
        <v>45292</v>
      </c>
      <c r="K596">
        <v>12557000</v>
      </c>
    </row>
    <row r="597" spans="5:11" x14ac:dyDescent="0.25">
      <c r="E597" t="s">
        <v>1193</v>
      </c>
      <c r="F597">
        <v>726728</v>
      </c>
      <c r="G597" s="1">
        <v>45382</v>
      </c>
      <c r="H597" t="s">
        <v>1194</v>
      </c>
      <c r="I597" t="s">
        <v>36</v>
      </c>
      <c r="J597" s="1">
        <v>45292</v>
      </c>
      <c r="K597">
        <v>132284000</v>
      </c>
    </row>
    <row r="598" spans="5:11" x14ac:dyDescent="0.25">
      <c r="E598" t="s">
        <v>1195</v>
      </c>
      <c r="F598">
        <v>726854</v>
      </c>
      <c r="G598" s="1">
        <v>45382</v>
      </c>
      <c r="H598" t="s">
        <v>1196</v>
      </c>
      <c r="I598" t="s">
        <v>859</v>
      </c>
      <c r="J598" s="1">
        <v>45292</v>
      </c>
      <c r="K598">
        <v>29523000</v>
      </c>
    </row>
    <row r="599" spans="5:11" x14ac:dyDescent="0.25">
      <c r="E599" t="s">
        <v>1197</v>
      </c>
      <c r="F599">
        <v>726865</v>
      </c>
      <c r="G599" s="1">
        <v>45382</v>
      </c>
      <c r="H599" t="s">
        <v>1198</v>
      </c>
      <c r="I599" t="s">
        <v>288</v>
      </c>
      <c r="J599" s="1">
        <v>45292</v>
      </c>
      <c r="K599">
        <v>657000000</v>
      </c>
    </row>
    <row r="600" spans="5:11" x14ac:dyDescent="0.25">
      <c r="E600" t="s">
        <v>1199</v>
      </c>
      <c r="F600">
        <v>727207</v>
      </c>
      <c r="G600" s="1">
        <v>45382</v>
      </c>
      <c r="H600" t="s">
        <v>1200</v>
      </c>
      <c r="I600" t="s">
        <v>113</v>
      </c>
      <c r="J600" s="1">
        <v>45292</v>
      </c>
      <c r="K600">
        <v>-14230000</v>
      </c>
    </row>
    <row r="601" spans="5:11" x14ac:dyDescent="0.25">
      <c r="E601" t="s">
        <v>1201</v>
      </c>
      <c r="F601">
        <v>727273</v>
      </c>
      <c r="G601" s="1">
        <v>45382</v>
      </c>
      <c r="H601" t="s">
        <v>1202</v>
      </c>
      <c r="I601" t="s">
        <v>36</v>
      </c>
      <c r="J601" s="1">
        <v>45292</v>
      </c>
      <c r="K601">
        <v>-6850000</v>
      </c>
    </row>
    <row r="602" spans="5:11" x14ac:dyDescent="0.25">
      <c r="E602" t="s">
        <v>1203</v>
      </c>
      <c r="F602">
        <v>727346</v>
      </c>
      <c r="G602" s="1">
        <v>45382</v>
      </c>
      <c r="H602" t="s">
        <v>1204</v>
      </c>
      <c r="I602" t="s">
        <v>92</v>
      </c>
      <c r="J602" s="1">
        <v>45292</v>
      </c>
      <c r="K602">
        <v>-1034720</v>
      </c>
    </row>
    <row r="603" spans="5:11" x14ac:dyDescent="0.25">
      <c r="E603" t="s">
        <v>1205</v>
      </c>
      <c r="F603">
        <v>727510</v>
      </c>
      <c r="G603" s="1">
        <v>45382</v>
      </c>
      <c r="H603" t="s">
        <v>1206</v>
      </c>
      <c r="I603" t="s">
        <v>46</v>
      </c>
      <c r="J603" s="1">
        <v>45292</v>
      </c>
      <c r="K603">
        <v>320000</v>
      </c>
    </row>
    <row r="604" spans="5:11" x14ac:dyDescent="0.25">
      <c r="E604" t="s">
        <v>1207</v>
      </c>
      <c r="F604">
        <v>727892</v>
      </c>
      <c r="G604" s="1">
        <v>45382</v>
      </c>
      <c r="H604" t="s">
        <v>1208</v>
      </c>
      <c r="I604" t="s">
        <v>213</v>
      </c>
      <c r="J604" s="1">
        <v>45292</v>
      </c>
      <c r="K604">
        <v>366000000</v>
      </c>
    </row>
    <row r="605" spans="5:11" x14ac:dyDescent="0.25">
      <c r="E605" t="s">
        <v>1209</v>
      </c>
      <c r="F605">
        <v>727920</v>
      </c>
      <c r="G605" s="1">
        <v>45382</v>
      </c>
      <c r="H605" t="s">
        <v>1210</v>
      </c>
      <c r="I605" t="s">
        <v>57</v>
      </c>
      <c r="J605" s="1">
        <v>45292</v>
      </c>
      <c r="K605">
        <v>-54000000</v>
      </c>
    </row>
    <row r="606" spans="5:11" x14ac:dyDescent="0.25">
      <c r="E606" t="s">
        <v>1211</v>
      </c>
      <c r="F606">
        <v>728385</v>
      </c>
      <c r="G606" s="1">
        <v>45382</v>
      </c>
      <c r="H606" t="s">
        <v>1212</v>
      </c>
      <c r="I606" t="s">
        <v>30</v>
      </c>
      <c r="J606" s="1">
        <v>45292</v>
      </c>
      <c r="K606">
        <v>-2558991</v>
      </c>
    </row>
    <row r="607" spans="5:11" x14ac:dyDescent="0.25">
      <c r="E607" t="s">
        <v>1213</v>
      </c>
      <c r="F607">
        <v>728387</v>
      </c>
      <c r="G607" s="1">
        <v>45382</v>
      </c>
      <c r="H607" t="s">
        <v>1214</v>
      </c>
      <c r="I607" t="s">
        <v>504</v>
      </c>
      <c r="J607" s="1">
        <v>45292</v>
      </c>
      <c r="K607">
        <v>-12284000</v>
      </c>
    </row>
    <row r="608" spans="5:11" x14ac:dyDescent="0.25">
      <c r="E608" t="s">
        <v>1215</v>
      </c>
      <c r="F608">
        <v>728391</v>
      </c>
      <c r="G608" s="1">
        <v>45382</v>
      </c>
      <c r="H608" t="s">
        <v>1216</v>
      </c>
      <c r="I608" t="s">
        <v>288</v>
      </c>
      <c r="J608" s="1">
        <v>45292</v>
      </c>
      <c r="K608">
        <v>14610000</v>
      </c>
    </row>
    <row r="609" spans="5:11" x14ac:dyDescent="0.25">
      <c r="E609" t="s">
        <v>1217</v>
      </c>
      <c r="F609">
        <v>728535</v>
      </c>
      <c r="G609" s="1">
        <v>45382</v>
      </c>
      <c r="H609" t="s">
        <v>1218</v>
      </c>
      <c r="I609" t="s">
        <v>251</v>
      </c>
      <c r="J609" s="1">
        <v>45292</v>
      </c>
      <c r="K609">
        <v>127493000</v>
      </c>
    </row>
    <row r="610" spans="5:11" x14ac:dyDescent="0.25">
      <c r="E610" t="s">
        <v>10352</v>
      </c>
      <c r="F610">
        <v>729580</v>
      </c>
      <c r="G610" s="1">
        <v>45382</v>
      </c>
      <c r="H610" t="s">
        <v>1219</v>
      </c>
      <c r="I610" t="s">
        <v>46</v>
      </c>
      <c r="J610" s="1">
        <v>45292</v>
      </c>
      <c r="K610">
        <v>15874000</v>
      </c>
    </row>
    <row r="611" spans="5:11" x14ac:dyDescent="0.25">
      <c r="E611" t="s">
        <v>1220</v>
      </c>
      <c r="F611">
        <v>729986</v>
      </c>
      <c r="G611" s="1">
        <v>45382</v>
      </c>
      <c r="H611" t="s">
        <v>1221</v>
      </c>
      <c r="I611" t="s">
        <v>859</v>
      </c>
      <c r="J611" s="1">
        <v>45292</v>
      </c>
      <c r="K611">
        <v>86814000</v>
      </c>
    </row>
    <row r="612" spans="5:11" x14ac:dyDescent="0.25">
      <c r="E612" t="s">
        <v>1222</v>
      </c>
      <c r="F612">
        <v>730263</v>
      </c>
      <c r="G612" s="1">
        <v>45412</v>
      </c>
      <c r="H612" t="s">
        <v>1223</v>
      </c>
      <c r="I612" t="s">
        <v>288</v>
      </c>
      <c r="J612" s="1">
        <v>45323</v>
      </c>
      <c r="K612">
        <v>114511000</v>
      </c>
    </row>
    <row r="613" spans="5:11" x14ac:dyDescent="0.25">
      <c r="E613" t="s">
        <v>1224</v>
      </c>
      <c r="F613">
        <v>730272</v>
      </c>
      <c r="G613" s="1">
        <v>45382</v>
      </c>
      <c r="H613" t="s">
        <v>1225</v>
      </c>
      <c r="I613" t="s">
        <v>24</v>
      </c>
      <c r="J613" s="1">
        <v>45292</v>
      </c>
      <c r="K613">
        <v>2094000</v>
      </c>
    </row>
    <row r="614" spans="5:11" x14ac:dyDescent="0.25">
      <c r="E614" t="s">
        <v>1226</v>
      </c>
      <c r="F614">
        <v>730349</v>
      </c>
      <c r="G614" s="1">
        <v>45381</v>
      </c>
      <c r="H614" t="s">
        <v>1227</v>
      </c>
      <c r="I614" t="s">
        <v>46</v>
      </c>
      <c r="J614" s="1">
        <v>45291</v>
      </c>
      <c r="K614">
        <v>-303000</v>
      </c>
    </row>
    <row r="615" spans="5:11" x14ac:dyDescent="0.25">
      <c r="E615" t="s">
        <v>1228</v>
      </c>
      <c r="F615">
        <v>730464</v>
      </c>
      <c r="G615" s="1">
        <v>45382</v>
      </c>
      <c r="H615" t="s">
        <v>1229</v>
      </c>
      <c r="I615" t="s">
        <v>19</v>
      </c>
      <c r="J615" s="1">
        <v>45292</v>
      </c>
      <c r="K615">
        <v>36821000</v>
      </c>
    </row>
    <row r="616" spans="5:11" x14ac:dyDescent="0.25">
      <c r="E616" t="s">
        <v>1230</v>
      </c>
      <c r="F616">
        <v>730708</v>
      </c>
      <c r="G616" s="1">
        <v>45382</v>
      </c>
      <c r="H616" t="s">
        <v>1231</v>
      </c>
      <c r="I616" t="s">
        <v>33</v>
      </c>
      <c r="J616" s="1">
        <v>45292</v>
      </c>
      <c r="K616">
        <v>26006000</v>
      </c>
    </row>
    <row r="617" spans="5:11" x14ac:dyDescent="0.25">
      <c r="E617" t="s">
        <v>10353</v>
      </c>
      <c r="F617">
        <v>731012</v>
      </c>
      <c r="G617" s="1">
        <v>45382</v>
      </c>
      <c r="H617" t="s">
        <v>1232</v>
      </c>
      <c r="I617" t="s">
        <v>39</v>
      </c>
      <c r="J617" s="1">
        <v>45292</v>
      </c>
      <c r="K617">
        <v>15309000</v>
      </c>
    </row>
    <row r="618" spans="5:11" x14ac:dyDescent="0.25">
      <c r="E618" t="s">
        <v>1233</v>
      </c>
      <c r="F618">
        <v>731122</v>
      </c>
      <c r="G618" s="1">
        <v>45382</v>
      </c>
      <c r="H618" t="s">
        <v>1234</v>
      </c>
      <c r="I618" t="s">
        <v>39</v>
      </c>
      <c r="J618" s="1">
        <v>45292</v>
      </c>
      <c r="K618">
        <v>4036000</v>
      </c>
    </row>
    <row r="619" spans="5:11" x14ac:dyDescent="0.25">
      <c r="E619" t="s">
        <v>1235</v>
      </c>
      <c r="F619">
        <v>731288</v>
      </c>
      <c r="G619" s="1">
        <v>45382</v>
      </c>
      <c r="H619" t="s">
        <v>1236</v>
      </c>
      <c r="I619" t="s">
        <v>504</v>
      </c>
      <c r="J619" s="1">
        <v>45292</v>
      </c>
      <c r="K619">
        <v>29200000</v>
      </c>
    </row>
    <row r="620" spans="5:11" x14ac:dyDescent="0.25">
      <c r="E620" t="s">
        <v>1237</v>
      </c>
      <c r="F620">
        <v>731653</v>
      </c>
      <c r="G620" s="1">
        <v>45382</v>
      </c>
      <c r="H620" t="s">
        <v>1238</v>
      </c>
      <c r="I620" t="s">
        <v>60</v>
      </c>
      <c r="J620" s="1">
        <v>45292</v>
      </c>
      <c r="K620">
        <v>1993000</v>
      </c>
    </row>
    <row r="621" spans="5:11" x14ac:dyDescent="0.25">
      <c r="E621" t="s">
        <v>1239</v>
      </c>
      <c r="F621">
        <v>731766</v>
      </c>
      <c r="G621" s="1">
        <v>45382</v>
      </c>
      <c r="H621" t="s">
        <v>1240</v>
      </c>
      <c r="I621" t="s">
        <v>213</v>
      </c>
      <c r="J621" s="1">
        <v>45292</v>
      </c>
      <c r="K621">
        <v>-1409000000</v>
      </c>
    </row>
    <row r="622" spans="5:11" x14ac:dyDescent="0.25">
      <c r="E622" t="s">
        <v>1241</v>
      </c>
      <c r="F622">
        <v>731802</v>
      </c>
      <c r="G622" s="1">
        <v>45382</v>
      </c>
      <c r="H622" t="s">
        <v>1242</v>
      </c>
      <c r="I622" t="s">
        <v>30</v>
      </c>
      <c r="J622" s="1">
        <v>45292</v>
      </c>
      <c r="K622">
        <v>432023000</v>
      </c>
    </row>
    <row r="623" spans="5:11" x14ac:dyDescent="0.25">
      <c r="E623" t="s">
        <v>1243</v>
      </c>
      <c r="F623">
        <v>732026</v>
      </c>
      <c r="G623" s="1">
        <v>45382</v>
      </c>
      <c r="H623" t="s">
        <v>1244</v>
      </c>
      <c r="I623" t="s">
        <v>1245</v>
      </c>
      <c r="J623" s="1">
        <v>45292</v>
      </c>
      <c r="K623">
        <v>70000</v>
      </c>
    </row>
    <row r="624" spans="5:11" x14ac:dyDescent="0.25">
      <c r="E624" t="s">
        <v>1246</v>
      </c>
      <c r="F624">
        <v>732417</v>
      </c>
      <c r="G624" s="1">
        <v>45382</v>
      </c>
      <c r="H624" t="s">
        <v>1247</v>
      </c>
      <c r="I624" t="s">
        <v>95</v>
      </c>
      <c r="J624" s="1">
        <v>45292</v>
      </c>
      <c r="K624">
        <v>12100000</v>
      </c>
    </row>
    <row r="625" spans="5:11" x14ac:dyDescent="0.25">
      <c r="E625" t="s">
        <v>1248</v>
      </c>
      <c r="F625">
        <v>732712</v>
      </c>
      <c r="G625" s="1">
        <v>45382</v>
      </c>
      <c r="H625" t="s">
        <v>1249</v>
      </c>
      <c r="I625" t="s">
        <v>57</v>
      </c>
      <c r="J625" s="1">
        <v>45292</v>
      </c>
      <c r="K625">
        <v>4602000000</v>
      </c>
    </row>
    <row r="626" spans="5:11" x14ac:dyDescent="0.25">
      <c r="E626" t="s">
        <v>1250</v>
      </c>
      <c r="F626">
        <v>732717</v>
      </c>
      <c r="G626" s="1">
        <v>45382</v>
      </c>
      <c r="H626" t="s">
        <v>1251</v>
      </c>
      <c r="I626" t="s">
        <v>30</v>
      </c>
      <c r="J626" s="1">
        <v>45292</v>
      </c>
      <c r="K626">
        <v>3445000000</v>
      </c>
    </row>
    <row r="627" spans="5:11" x14ac:dyDescent="0.25">
      <c r="E627" t="s">
        <v>1252</v>
      </c>
      <c r="F627">
        <v>732834</v>
      </c>
      <c r="G627" s="1">
        <v>45382</v>
      </c>
      <c r="H627" t="s">
        <v>1253</v>
      </c>
      <c r="I627" t="s">
        <v>277</v>
      </c>
      <c r="J627" s="1">
        <v>45292</v>
      </c>
      <c r="K627">
        <v>427122000</v>
      </c>
    </row>
    <row r="628" spans="5:11" x14ac:dyDescent="0.25">
      <c r="E628" t="s">
        <v>1254</v>
      </c>
      <c r="F628">
        <v>733590</v>
      </c>
      <c r="G628" s="1">
        <v>45382</v>
      </c>
      <c r="H628" t="s">
        <v>1255</v>
      </c>
      <c r="I628" t="s">
        <v>30</v>
      </c>
      <c r="J628" s="1">
        <v>45292</v>
      </c>
      <c r="K628">
        <v>2549000</v>
      </c>
    </row>
    <row r="629" spans="5:11" x14ac:dyDescent="0.25">
      <c r="E629" t="s">
        <v>1256</v>
      </c>
      <c r="F629">
        <v>736012</v>
      </c>
      <c r="G629" s="1">
        <v>45382</v>
      </c>
      <c r="H629" t="s">
        <v>1257</v>
      </c>
      <c r="I629" t="s">
        <v>30</v>
      </c>
      <c r="J629" s="1">
        <v>45292</v>
      </c>
      <c r="K629">
        <v>-1716000</v>
      </c>
    </row>
    <row r="630" spans="5:11" x14ac:dyDescent="0.25">
      <c r="E630" t="s">
        <v>1258</v>
      </c>
      <c r="F630">
        <v>736772</v>
      </c>
      <c r="G630" s="1">
        <v>45382</v>
      </c>
      <c r="H630" t="s">
        <v>1259</v>
      </c>
      <c r="I630" t="s">
        <v>39</v>
      </c>
      <c r="J630" s="1">
        <v>45292</v>
      </c>
      <c r="K630">
        <v>12600000</v>
      </c>
    </row>
    <row r="631" spans="5:11" x14ac:dyDescent="0.25">
      <c r="E631" t="s">
        <v>1260</v>
      </c>
      <c r="F631">
        <v>737468</v>
      </c>
      <c r="G631" s="1">
        <v>45382</v>
      </c>
      <c r="H631" t="s">
        <v>1261</v>
      </c>
      <c r="I631" t="s">
        <v>101</v>
      </c>
      <c r="J631" s="1">
        <v>45292</v>
      </c>
      <c r="K631">
        <v>10936000</v>
      </c>
    </row>
    <row r="632" spans="5:11" x14ac:dyDescent="0.25">
      <c r="E632" t="s">
        <v>1262</v>
      </c>
      <c r="F632">
        <v>737875</v>
      </c>
      <c r="G632" s="1">
        <v>45382</v>
      </c>
      <c r="H632" t="s">
        <v>1263</v>
      </c>
      <c r="I632" t="s">
        <v>39</v>
      </c>
      <c r="J632" s="1">
        <v>45292</v>
      </c>
      <c r="K632">
        <v>-18377000</v>
      </c>
    </row>
    <row r="633" spans="5:11" x14ac:dyDescent="0.25">
      <c r="E633" t="s">
        <v>1264</v>
      </c>
      <c r="F633">
        <v>738214</v>
      </c>
      <c r="G633" s="1">
        <v>45382</v>
      </c>
      <c r="H633" t="s">
        <v>1265</v>
      </c>
      <c r="I633" t="s">
        <v>36</v>
      </c>
      <c r="J633" s="1">
        <v>45292</v>
      </c>
      <c r="K633">
        <v>-24231000</v>
      </c>
    </row>
    <row r="634" spans="5:11" x14ac:dyDescent="0.25">
      <c r="E634" t="s">
        <v>1266</v>
      </c>
      <c r="F634">
        <v>739421</v>
      </c>
      <c r="G634" s="1">
        <v>45382</v>
      </c>
      <c r="H634" t="s">
        <v>1267</v>
      </c>
      <c r="I634" t="s">
        <v>39</v>
      </c>
      <c r="J634" s="1">
        <v>45292</v>
      </c>
      <c r="K634">
        <v>7024000</v>
      </c>
    </row>
    <row r="635" spans="5:11" x14ac:dyDescent="0.25">
      <c r="E635" t="s">
        <v>10354</v>
      </c>
      <c r="F635">
        <v>740663</v>
      </c>
      <c r="G635" s="1">
        <v>45382</v>
      </c>
      <c r="H635" t="s">
        <v>1268</v>
      </c>
      <c r="I635" t="s">
        <v>57</v>
      </c>
      <c r="J635" s="1">
        <v>45292</v>
      </c>
      <c r="K635">
        <v>4435000</v>
      </c>
    </row>
    <row r="636" spans="5:11" x14ac:dyDescent="0.25">
      <c r="E636" t="s">
        <v>1269</v>
      </c>
      <c r="F636">
        <v>740664</v>
      </c>
      <c r="G636" s="1">
        <v>45412</v>
      </c>
      <c r="H636" t="s">
        <v>1270</v>
      </c>
      <c r="I636" t="s">
        <v>36</v>
      </c>
      <c r="J636" s="1">
        <v>45323</v>
      </c>
      <c r="K636">
        <v>-4294000</v>
      </c>
    </row>
    <row r="637" spans="5:11" x14ac:dyDescent="0.25">
      <c r="E637" t="s">
        <v>1271</v>
      </c>
      <c r="F637">
        <v>740806</v>
      </c>
      <c r="G637" s="1">
        <v>45382</v>
      </c>
      <c r="H637" t="s">
        <v>1272</v>
      </c>
      <c r="I637" t="s">
        <v>123</v>
      </c>
      <c r="J637" s="1">
        <v>45292</v>
      </c>
      <c r="K637">
        <v>1217000</v>
      </c>
    </row>
    <row r="638" spans="5:11" x14ac:dyDescent="0.25">
      <c r="E638" t="s">
        <v>1273</v>
      </c>
      <c r="F638">
        <v>740971</v>
      </c>
      <c r="G638" s="1">
        <v>45382</v>
      </c>
      <c r="H638" t="s">
        <v>1274</v>
      </c>
      <c r="I638" t="s">
        <v>123</v>
      </c>
      <c r="J638" s="1">
        <v>45292</v>
      </c>
      <c r="K638">
        <v>1717000</v>
      </c>
    </row>
    <row r="639" spans="5:11" x14ac:dyDescent="0.25">
      <c r="E639" t="s">
        <v>10355</v>
      </c>
      <c r="F639">
        <v>742278</v>
      </c>
      <c r="G639" s="1">
        <v>45382</v>
      </c>
      <c r="H639" t="s">
        <v>1275</v>
      </c>
      <c r="I639" t="s">
        <v>64</v>
      </c>
      <c r="J639" s="1">
        <v>45292</v>
      </c>
      <c r="K639">
        <v>27467000</v>
      </c>
    </row>
    <row r="640" spans="5:11" x14ac:dyDescent="0.25">
      <c r="E640" t="s">
        <v>1276</v>
      </c>
      <c r="F640">
        <v>743238</v>
      </c>
      <c r="G640" s="1">
        <v>45382</v>
      </c>
      <c r="H640" t="s">
        <v>1277</v>
      </c>
      <c r="I640" t="s">
        <v>329</v>
      </c>
      <c r="J640" s="1">
        <v>45292</v>
      </c>
      <c r="K640">
        <v>-4669000</v>
      </c>
    </row>
    <row r="641" spans="5:11" x14ac:dyDescent="0.25">
      <c r="E641" t="s">
        <v>1278</v>
      </c>
      <c r="F641">
        <v>743367</v>
      </c>
      <c r="G641" s="1">
        <v>45382</v>
      </c>
      <c r="H641" t="s">
        <v>1279</v>
      </c>
      <c r="I641" t="s">
        <v>1280</v>
      </c>
      <c r="J641" s="1">
        <v>45292</v>
      </c>
      <c r="K641">
        <v>10095000</v>
      </c>
    </row>
    <row r="642" spans="5:11" x14ac:dyDescent="0.25">
      <c r="E642" t="s">
        <v>1281</v>
      </c>
      <c r="F642">
        <v>743758</v>
      </c>
      <c r="G642" s="1">
        <v>45382</v>
      </c>
      <c r="H642" t="s">
        <v>1282</v>
      </c>
      <c r="I642" t="s">
        <v>30</v>
      </c>
      <c r="J642" s="1">
        <v>45292</v>
      </c>
      <c r="K642">
        <v>-1860809</v>
      </c>
    </row>
    <row r="643" spans="5:11" x14ac:dyDescent="0.25">
      <c r="E643" t="s">
        <v>1283</v>
      </c>
      <c r="F643">
        <v>744452</v>
      </c>
      <c r="G643" s="1">
        <v>45382</v>
      </c>
      <c r="H643" t="s">
        <v>1284</v>
      </c>
      <c r="I643" t="s">
        <v>57</v>
      </c>
      <c r="J643" s="1">
        <v>45292</v>
      </c>
      <c r="K643">
        <v>-4470474</v>
      </c>
    </row>
    <row r="644" spans="5:11" x14ac:dyDescent="0.25">
      <c r="E644" t="s">
        <v>1285</v>
      </c>
      <c r="F644">
        <v>744825</v>
      </c>
      <c r="G644" s="1">
        <v>45382</v>
      </c>
      <c r="H644" t="s">
        <v>1286</v>
      </c>
      <c r="I644" t="s">
        <v>36</v>
      </c>
      <c r="J644" s="1">
        <v>45292</v>
      </c>
      <c r="K644">
        <v>119000</v>
      </c>
    </row>
    <row r="645" spans="5:11" x14ac:dyDescent="0.25">
      <c r="E645" t="s">
        <v>1287</v>
      </c>
      <c r="F645">
        <v>745308</v>
      </c>
      <c r="G645" s="1">
        <v>45382</v>
      </c>
      <c r="H645" t="s">
        <v>1288</v>
      </c>
      <c r="I645" t="s">
        <v>33</v>
      </c>
      <c r="J645" s="1">
        <v>45292</v>
      </c>
      <c r="K645">
        <v>13915000</v>
      </c>
    </row>
    <row r="646" spans="5:11" x14ac:dyDescent="0.25">
      <c r="E646" t="s">
        <v>1289</v>
      </c>
      <c r="F646">
        <v>745732</v>
      </c>
      <c r="G646" s="1">
        <v>45416</v>
      </c>
      <c r="H646" t="s">
        <v>1290</v>
      </c>
      <c r="I646" t="s">
        <v>36</v>
      </c>
      <c r="J646" s="1">
        <v>45326</v>
      </c>
      <c r="K646">
        <v>487990000</v>
      </c>
    </row>
    <row r="647" spans="5:11" x14ac:dyDescent="0.25">
      <c r="E647" t="s">
        <v>1291</v>
      </c>
      <c r="F647">
        <v>746210</v>
      </c>
      <c r="G647" s="1">
        <v>45382</v>
      </c>
      <c r="H647" t="s">
        <v>1292</v>
      </c>
      <c r="I647" t="s">
        <v>92</v>
      </c>
      <c r="J647" s="1">
        <v>45292</v>
      </c>
      <c r="K647">
        <v>-1136000</v>
      </c>
    </row>
    <row r="648" spans="5:11" x14ac:dyDescent="0.25">
      <c r="E648" t="s">
        <v>1293</v>
      </c>
      <c r="F648">
        <v>746514</v>
      </c>
      <c r="G648" s="1">
        <v>45382</v>
      </c>
      <c r="H648" t="s">
        <v>1294</v>
      </c>
      <c r="I648" t="s">
        <v>24</v>
      </c>
      <c r="J648" s="1">
        <v>45292</v>
      </c>
      <c r="K648">
        <v>3463596</v>
      </c>
    </row>
    <row r="649" spans="5:11" x14ac:dyDescent="0.25">
      <c r="E649" t="s">
        <v>1295</v>
      </c>
      <c r="F649">
        <v>746515</v>
      </c>
      <c r="G649" s="1">
        <v>45382</v>
      </c>
      <c r="H649" t="s">
        <v>1296</v>
      </c>
      <c r="I649" t="s">
        <v>504</v>
      </c>
      <c r="J649" s="1">
        <v>45292</v>
      </c>
      <c r="K649">
        <v>169152000</v>
      </c>
    </row>
    <row r="650" spans="5:11" x14ac:dyDescent="0.25">
      <c r="E650" t="s">
        <v>1297</v>
      </c>
      <c r="F650">
        <v>746598</v>
      </c>
      <c r="G650" s="1">
        <v>45412</v>
      </c>
      <c r="H650" t="s">
        <v>1298</v>
      </c>
      <c r="I650" t="s">
        <v>83</v>
      </c>
      <c r="J650" s="1">
        <v>45323</v>
      </c>
      <c r="K650">
        <v>50890000</v>
      </c>
    </row>
    <row r="651" spans="5:11" x14ac:dyDescent="0.25">
      <c r="E651" t="s">
        <v>1299</v>
      </c>
      <c r="F651">
        <v>746838</v>
      </c>
      <c r="G651" s="1">
        <v>45382</v>
      </c>
      <c r="H651" t="s">
        <v>1300</v>
      </c>
      <c r="I651" t="s">
        <v>39</v>
      </c>
      <c r="J651" s="1">
        <v>45292</v>
      </c>
      <c r="K651">
        <v>-149500000</v>
      </c>
    </row>
    <row r="652" spans="5:11" x14ac:dyDescent="0.25">
      <c r="E652" t="s">
        <v>1301</v>
      </c>
      <c r="F652">
        <v>747540</v>
      </c>
      <c r="G652" s="1">
        <v>45351</v>
      </c>
      <c r="H652" t="s">
        <v>1302</v>
      </c>
      <c r="I652" t="s">
        <v>57</v>
      </c>
      <c r="J652" s="1">
        <v>45261</v>
      </c>
      <c r="K652">
        <v>-72001</v>
      </c>
    </row>
    <row r="653" spans="5:11" x14ac:dyDescent="0.25">
      <c r="E653" t="s">
        <v>1303</v>
      </c>
      <c r="F653">
        <v>748592</v>
      </c>
      <c r="G653" s="1">
        <v>45382</v>
      </c>
      <c r="H653" t="s">
        <v>1304</v>
      </c>
      <c r="I653" t="s">
        <v>24</v>
      </c>
      <c r="J653" s="1">
        <v>45292</v>
      </c>
      <c r="K653">
        <v>-6647000</v>
      </c>
    </row>
    <row r="654" spans="5:11" x14ac:dyDescent="0.25">
      <c r="E654" t="s">
        <v>1305</v>
      </c>
      <c r="F654">
        <v>748790</v>
      </c>
      <c r="G654" s="1">
        <v>45382</v>
      </c>
      <c r="H654" t="s">
        <v>1306</v>
      </c>
      <c r="I654" t="s">
        <v>36</v>
      </c>
      <c r="J654" s="1">
        <v>45292</v>
      </c>
      <c r="K654">
        <v>-27954000</v>
      </c>
    </row>
    <row r="655" spans="5:11" x14ac:dyDescent="0.25">
      <c r="E655" t="s">
        <v>1307</v>
      </c>
      <c r="F655">
        <v>749251</v>
      </c>
      <c r="G655" s="1">
        <v>45382</v>
      </c>
      <c r="H655" t="s">
        <v>1308</v>
      </c>
      <c r="I655" t="s">
        <v>27</v>
      </c>
      <c r="J655" s="1">
        <v>45292</v>
      </c>
      <c r="K655">
        <v>210545000</v>
      </c>
    </row>
    <row r="656" spans="5:11" x14ac:dyDescent="0.25">
      <c r="E656" t="s">
        <v>1309</v>
      </c>
      <c r="F656">
        <v>749647</v>
      </c>
      <c r="G656" s="1">
        <v>45382</v>
      </c>
      <c r="H656" t="s">
        <v>1310</v>
      </c>
      <c r="I656" t="s">
        <v>46</v>
      </c>
      <c r="J656" s="1">
        <v>45292</v>
      </c>
      <c r="K656">
        <v>-4929525</v>
      </c>
    </row>
    <row r="657" spans="5:11" x14ac:dyDescent="0.25">
      <c r="E657" t="s">
        <v>1311</v>
      </c>
      <c r="F657">
        <v>749660</v>
      </c>
      <c r="G657" s="1">
        <v>45382</v>
      </c>
      <c r="H657" t="s">
        <v>1312</v>
      </c>
      <c r="I657" t="s">
        <v>896</v>
      </c>
      <c r="J657" s="1">
        <v>45292</v>
      </c>
      <c r="K657">
        <v>-1222000</v>
      </c>
    </row>
    <row r="658" spans="5:11" x14ac:dyDescent="0.25">
      <c r="E658" t="s">
        <v>1313</v>
      </c>
      <c r="F658">
        <v>750004</v>
      </c>
      <c r="G658" s="1">
        <v>45382</v>
      </c>
      <c r="H658" t="s">
        <v>1314</v>
      </c>
      <c r="I658" t="s">
        <v>142</v>
      </c>
      <c r="J658" s="1">
        <v>45292</v>
      </c>
      <c r="K658">
        <v>82000000</v>
      </c>
    </row>
    <row r="659" spans="5:11" x14ac:dyDescent="0.25">
      <c r="E659" t="s">
        <v>1315</v>
      </c>
      <c r="F659">
        <v>750558</v>
      </c>
      <c r="G659" s="1">
        <v>45382</v>
      </c>
      <c r="H659" t="s">
        <v>1316</v>
      </c>
      <c r="I659" t="s">
        <v>39</v>
      </c>
      <c r="J659" s="1">
        <v>45292</v>
      </c>
      <c r="K659">
        <v>2594000</v>
      </c>
    </row>
    <row r="660" spans="5:11" x14ac:dyDescent="0.25">
      <c r="E660" t="s">
        <v>1317</v>
      </c>
      <c r="F660">
        <v>750686</v>
      </c>
      <c r="G660" s="1">
        <v>45382</v>
      </c>
      <c r="H660" t="s">
        <v>1318</v>
      </c>
      <c r="I660" t="s">
        <v>1280</v>
      </c>
      <c r="J660" s="1">
        <v>45292</v>
      </c>
      <c r="K660">
        <v>13272000</v>
      </c>
    </row>
    <row r="661" spans="5:11" x14ac:dyDescent="0.25">
      <c r="E661" t="s">
        <v>1319</v>
      </c>
      <c r="F661">
        <v>751364</v>
      </c>
      <c r="G661" s="1">
        <v>45382</v>
      </c>
      <c r="H661" t="s">
        <v>1320</v>
      </c>
      <c r="I661" t="s">
        <v>33</v>
      </c>
      <c r="J661" s="1">
        <v>45292</v>
      </c>
      <c r="K661">
        <v>94371000</v>
      </c>
    </row>
    <row r="662" spans="5:11" x14ac:dyDescent="0.25">
      <c r="E662" t="s">
        <v>1321</v>
      </c>
      <c r="F662">
        <v>751365</v>
      </c>
      <c r="G662" s="1">
        <v>45412</v>
      </c>
      <c r="H662" t="s">
        <v>1322</v>
      </c>
      <c r="I662" t="s">
        <v>36</v>
      </c>
      <c r="J662" s="1">
        <v>45323</v>
      </c>
      <c r="K662">
        <v>2140000</v>
      </c>
    </row>
    <row r="663" spans="5:11" x14ac:dyDescent="0.25">
      <c r="E663" t="s">
        <v>1323</v>
      </c>
      <c r="F663">
        <v>751978</v>
      </c>
      <c r="G663" s="1">
        <v>45382</v>
      </c>
      <c r="H663" t="s">
        <v>1324</v>
      </c>
      <c r="I663" t="s">
        <v>24</v>
      </c>
      <c r="J663" s="1">
        <v>45292</v>
      </c>
      <c r="K663">
        <v>-14473000</v>
      </c>
    </row>
    <row r="664" spans="5:11" x14ac:dyDescent="0.25">
      <c r="E664" t="s">
        <v>10356</v>
      </c>
      <c r="F664">
        <v>752294</v>
      </c>
      <c r="G664" s="1">
        <v>45382</v>
      </c>
      <c r="H664" t="s">
        <v>1325</v>
      </c>
      <c r="I664" t="s">
        <v>504</v>
      </c>
      <c r="J664" s="1">
        <v>45292</v>
      </c>
      <c r="K664">
        <v>-85574</v>
      </c>
    </row>
    <row r="665" spans="5:11" x14ac:dyDescent="0.25">
      <c r="E665" t="s">
        <v>10357</v>
      </c>
      <c r="F665">
        <v>752714</v>
      </c>
      <c r="G665" s="1">
        <v>45382</v>
      </c>
      <c r="H665" t="s">
        <v>1326</v>
      </c>
      <c r="I665" t="s">
        <v>36</v>
      </c>
      <c r="J665" s="1">
        <v>45292</v>
      </c>
      <c r="K665">
        <v>22848000</v>
      </c>
    </row>
    <row r="666" spans="5:11" x14ac:dyDescent="0.25">
      <c r="E666" t="s">
        <v>1327</v>
      </c>
      <c r="F666">
        <v>753308</v>
      </c>
      <c r="G666" s="1">
        <v>45382</v>
      </c>
      <c r="H666" t="s">
        <v>1328</v>
      </c>
      <c r="I666" t="s">
        <v>33</v>
      </c>
      <c r="J666" s="1">
        <v>45292</v>
      </c>
      <c r="K666">
        <v>2268000000</v>
      </c>
    </row>
    <row r="667" spans="5:11" x14ac:dyDescent="0.25">
      <c r="E667" t="s">
        <v>1329</v>
      </c>
      <c r="F667">
        <v>754811</v>
      </c>
      <c r="G667" s="1">
        <v>45382</v>
      </c>
      <c r="H667" t="s">
        <v>1330</v>
      </c>
      <c r="I667" t="s">
        <v>30</v>
      </c>
      <c r="J667" s="1">
        <v>45292</v>
      </c>
      <c r="K667">
        <v>-35000</v>
      </c>
    </row>
    <row r="668" spans="5:11" x14ac:dyDescent="0.25">
      <c r="E668" t="s">
        <v>1331</v>
      </c>
      <c r="F668">
        <v>755001</v>
      </c>
      <c r="G668" s="1">
        <v>45382</v>
      </c>
      <c r="H668" t="s">
        <v>1332</v>
      </c>
      <c r="I668" t="s">
        <v>896</v>
      </c>
      <c r="J668" s="1">
        <v>45292</v>
      </c>
      <c r="K668">
        <v>27200000</v>
      </c>
    </row>
    <row r="669" spans="5:11" x14ac:dyDescent="0.25">
      <c r="E669" t="s">
        <v>1333</v>
      </c>
      <c r="F669">
        <v>759944</v>
      </c>
      <c r="G669" s="1">
        <v>45382</v>
      </c>
      <c r="H669" t="s">
        <v>1334</v>
      </c>
      <c r="I669" t="s">
        <v>101</v>
      </c>
      <c r="J669" s="1">
        <v>45292</v>
      </c>
      <c r="K669">
        <v>334000000</v>
      </c>
    </row>
    <row r="670" spans="5:11" x14ac:dyDescent="0.25">
      <c r="E670" t="s">
        <v>1335</v>
      </c>
      <c r="F670">
        <v>760498</v>
      </c>
      <c r="G670" s="1">
        <v>45382</v>
      </c>
      <c r="H670" t="s">
        <v>1336</v>
      </c>
      <c r="I670" t="s">
        <v>277</v>
      </c>
      <c r="J670" s="1">
        <v>45292</v>
      </c>
      <c r="K670">
        <v>50334000</v>
      </c>
    </row>
    <row r="671" spans="5:11" x14ac:dyDescent="0.25">
      <c r="E671" t="s">
        <v>1337</v>
      </c>
      <c r="F671">
        <v>761648</v>
      </c>
      <c r="G671" s="1">
        <v>45382</v>
      </c>
      <c r="H671" t="s">
        <v>1338</v>
      </c>
      <c r="I671" t="s">
        <v>123</v>
      </c>
      <c r="J671" s="1">
        <v>45292</v>
      </c>
      <c r="K671">
        <v>323000</v>
      </c>
    </row>
    <row r="672" spans="5:11" x14ac:dyDescent="0.25">
      <c r="E672" t="s">
        <v>1339</v>
      </c>
      <c r="F672">
        <v>763532</v>
      </c>
      <c r="G672" s="1">
        <v>45382</v>
      </c>
      <c r="H672" t="s">
        <v>1340</v>
      </c>
      <c r="I672" t="s">
        <v>60</v>
      </c>
      <c r="J672" s="1">
        <v>45292</v>
      </c>
      <c r="K672">
        <v>5375000</v>
      </c>
    </row>
    <row r="673" spans="5:11" x14ac:dyDescent="0.25">
      <c r="E673" t="s">
        <v>1341</v>
      </c>
      <c r="F673">
        <v>763563</v>
      </c>
      <c r="G673" s="1">
        <v>45382</v>
      </c>
      <c r="H673" t="s">
        <v>1342</v>
      </c>
      <c r="I673" t="s">
        <v>57</v>
      </c>
      <c r="J673" s="1">
        <v>45292</v>
      </c>
      <c r="K673">
        <v>7050000</v>
      </c>
    </row>
    <row r="674" spans="5:11" x14ac:dyDescent="0.25">
      <c r="E674" t="s">
        <v>1343</v>
      </c>
      <c r="F674">
        <v>763744</v>
      </c>
      <c r="G674" s="1">
        <v>45382</v>
      </c>
      <c r="H674" t="s">
        <v>1344</v>
      </c>
      <c r="I674" t="s">
        <v>288</v>
      </c>
      <c r="J674" s="1">
        <v>45292</v>
      </c>
      <c r="K674">
        <v>36545000</v>
      </c>
    </row>
    <row r="675" spans="5:11" x14ac:dyDescent="0.25">
      <c r="E675" t="s">
        <v>1345</v>
      </c>
      <c r="F675">
        <v>763901</v>
      </c>
      <c r="G675" s="1">
        <v>45382</v>
      </c>
      <c r="H675" t="s">
        <v>1346</v>
      </c>
      <c r="I675" t="s">
        <v>1347</v>
      </c>
      <c r="J675" s="1">
        <v>45292</v>
      </c>
      <c r="K675">
        <v>103283000</v>
      </c>
    </row>
    <row r="676" spans="5:11" x14ac:dyDescent="0.25">
      <c r="E676" t="s">
        <v>1348</v>
      </c>
      <c r="F676">
        <v>763907</v>
      </c>
      <c r="G676" s="1">
        <v>45382</v>
      </c>
      <c r="H676" t="s">
        <v>1349</v>
      </c>
      <c r="I676" t="s">
        <v>299</v>
      </c>
      <c r="J676" s="1">
        <v>45292</v>
      </c>
      <c r="K676">
        <v>3698000</v>
      </c>
    </row>
    <row r="677" spans="5:11" x14ac:dyDescent="0.25">
      <c r="E677" t="s">
        <v>1350</v>
      </c>
      <c r="F677">
        <v>764038</v>
      </c>
      <c r="G677" s="1">
        <v>45382</v>
      </c>
      <c r="H677" t="s">
        <v>1351</v>
      </c>
      <c r="I677" t="s">
        <v>33</v>
      </c>
      <c r="J677" s="1">
        <v>45292</v>
      </c>
      <c r="K677">
        <v>115056000</v>
      </c>
    </row>
    <row r="678" spans="5:11" x14ac:dyDescent="0.25">
      <c r="E678" t="s">
        <v>1352</v>
      </c>
      <c r="F678">
        <v>764065</v>
      </c>
      <c r="G678" s="1">
        <v>45382</v>
      </c>
      <c r="H678" t="s">
        <v>1353</v>
      </c>
      <c r="I678" t="s">
        <v>60</v>
      </c>
      <c r="J678" s="1">
        <v>45292</v>
      </c>
      <c r="K678">
        <v>-67000000</v>
      </c>
    </row>
    <row r="679" spans="5:11" x14ac:dyDescent="0.25">
      <c r="E679" t="s">
        <v>1354</v>
      </c>
      <c r="F679">
        <v>764180</v>
      </c>
      <c r="G679" s="1">
        <v>45382</v>
      </c>
      <c r="H679" t="s">
        <v>1355</v>
      </c>
      <c r="I679" t="s">
        <v>123</v>
      </c>
      <c r="J679" s="1">
        <v>45292</v>
      </c>
      <c r="K679">
        <v>2129000000</v>
      </c>
    </row>
    <row r="680" spans="5:11" x14ac:dyDescent="0.25">
      <c r="E680" t="s">
        <v>1356</v>
      </c>
      <c r="F680">
        <v>764195</v>
      </c>
      <c r="G680" s="1">
        <v>45382</v>
      </c>
      <c r="H680" t="s">
        <v>1357</v>
      </c>
      <c r="I680" t="s">
        <v>24</v>
      </c>
      <c r="J680" s="1">
        <v>45292</v>
      </c>
      <c r="K680">
        <v>-17900000</v>
      </c>
    </row>
    <row r="681" spans="5:11" x14ac:dyDescent="0.25">
      <c r="E681" t="s">
        <v>1358</v>
      </c>
      <c r="F681">
        <v>764401</v>
      </c>
      <c r="G681" s="1">
        <v>45381</v>
      </c>
      <c r="H681" t="s">
        <v>1359</v>
      </c>
      <c r="I681" t="s">
        <v>172</v>
      </c>
      <c r="J681" s="1">
        <v>45291</v>
      </c>
      <c r="K681">
        <v>6939000</v>
      </c>
    </row>
    <row r="682" spans="5:11" x14ac:dyDescent="0.25">
      <c r="E682" t="s">
        <v>1360</v>
      </c>
      <c r="F682">
        <v>764478</v>
      </c>
      <c r="G682" s="1">
        <v>45416</v>
      </c>
      <c r="H682" t="s">
        <v>1361</v>
      </c>
      <c r="I682" t="s">
        <v>213</v>
      </c>
      <c r="J682" s="1">
        <v>45326</v>
      </c>
      <c r="K682">
        <v>246000000</v>
      </c>
    </row>
    <row r="683" spans="5:11" x14ac:dyDescent="0.25">
      <c r="E683" t="s">
        <v>1362</v>
      </c>
      <c r="F683">
        <v>764764</v>
      </c>
      <c r="G683" s="1">
        <v>45382</v>
      </c>
      <c r="H683" t="s">
        <v>1363</v>
      </c>
      <c r="I683" t="s">
        <v>69</v>
      </c>
      <c r="J683" s="1">
        <v>45292</v>
      </c>
      <c r="K683">
        <v>169000000</v>
      </c>
    </row>
    <row r="684" spans="5:11" x14ac:dyDescent="0.25">
      <c r="E684" t="s">
        <v>1364</v>
      </c>
      <c r="F684">
        <v>765207</v>
      </c>
      <c r="G684" s="1">
        <v>45382</v>
      </c>
      <c r="H684" t="s">
        <v>1365</v>
      </c>
      <c r="I684" t="s">
        <v>1280</v>
      </c>
      <c r="J684" s="1">
        <v>45292</v>
      </c>
      <c r="K684">
        <v>6021000</v>
      </c>
    </row>
    <row r="685" spans="5:11" x14ac:dyDescent="0.25">
      <c r="E685" t="s">
        <v>1366</v>
      </c>
      <c r="F685">
        <v>765880</v>
      </c>
      <c r="G685" s="1">
        <v>45382</v>
      </c>
      <c r="H685" t="s">
        <v>1367</v>
      </c>
      <c r="I685" t="s">
        <v>92</v>
      </c>
      <c r="J685" s="1">
        <v>45292</v>
      </c>
      <c r="K685">
        <v>6676000</v>
      </c>
    </row>
    <row r="686" spans="5:11" x14ac:dyDescent="0.25">
      <c r="E686" t="s">
        <v>1368</v>
      </c>
      <c r="F686">
        <v>766404</v>
      </c>
      <c r="G686" s="1">
        <v>45412</v>
      </c>
      <c r="H686" t="s">
        <v>1369</v>
      </c>
      <c r="I686" t="s">
        <v>33</v>
      </c>
      <c r="J686" s="1">
        <v>45323</v>
      </c>
      <c r="K686">
        <v>-26344</v>
      </c>
    </row>
    <row r="687" spans="5:11" x14ac:dyDescent="0.25">
      <c r="E687" t="s">
        <v>1370</v>
      </c>
      <c r="F687">
        <v>766421</v>
      </c>
      <c r="G687" s="1">
        <v>45382</v>
      </c>
      <c r="H687" t="s">
        <v>1371</v>
      </c>
      <c r="I687" t="s">
        <v>504</v>
      </c>
      <c r="J687" s="1">
        <v>45292</v>
      </c>
      <c r="K687">
        <v>-132000000</v>
      </c>
    </row>
    <row r="688" spans="5:11" x14ac:dyDescent="0.25">
      <c r="E688" t="s">
        <v>1372</v>
      </c>
      <c r="F688">
        <v>766792</v>
      </c>
      <c r="G688" s="1">
        <v>45382</v>
      </c>
      <c r="H688" t="s">
        <v>1373</v>
      </c>
      <c r="I688" t="s">
        <v>57</v>
      </c>
      <c r="J688" s="1">
        <v>45292</v>
      </c>
      <c r="K688">
        <v>-1472000</v>
      </c>
    </row>
    <row r="689" spans="5:11" x14ac:dyDescent="0.25">
      <c r="E689" t="s">
        <v>10358</v>
      </c>
      <c r="F689">
        <v>766829</v>
      </c>
      <c r="G689" s="1">
        <v>45382</v>
      </c>
      <c r="H689" t="s">
        <v>1374</v>
      </c>
      <c r="I689" t="s">
        <v>36</v>
      </c>
      <c r="J689" s="1">
        <v>45292</v>
      </c>
      <c r="K689">
        <v>11699000</v>
      </c>
    </row>
    <row r="690" spans="5:11" x14ac:dyDescent="0.25">
      <c r="E690" t="s">
        <v>1375</v>
      </c>
      <c r="F690">
        <v>768216</v>
      </c>
      <c r="G690" s="1">
        <v>45382</v>
      </c>
      <c r="H690" t="s">
        <v>1376</v>
      </c>
      <c r="I690" t="s">
        <v>36</v>
      </c>
      <c r="J690" s="1">
        <v>45292</v>
      </c>
      <c r="K690">
        <v>-29526</v>
      </c>
    </row>
    <row r="691" spans="5:11" x14ac:dyDescent="0.25">
      <c r="E691" t="s">
        <v>1377</v>
      </c>
      <c r="F691">
        <v>768835</v>
      </c>
      <c r="G691" s="1">
        <v>45416</v>
      </c>
      <c r="H691" t="s">
        <v>1378</v>
      </c>
      <c r="I691" t="s">
        <v>60</v>
      </c>
      <c r="J691" s="1">
        <v>45326</v>
      </c>
      <c r="K691">
        <v>-205035000</v>
      </c>
    </row>
    <row r="692" spans="5:11" x14ac:dyDescent="0.25">
      <c r="E692" t="s">
        <v>1379</v>
      </c>
      <c r="F692">
        <v>768899</v>
      </c>
      <c r="G692" s="1">
        <v>45382</v>
      </c>
      <c r="H692" t="s">
        <v>1380</v>
      </c>
      <c r="I692" t="s">
        <v>504</v>
      </c>
      <c r="J692" s="1">
        <v>45292</v>
      </c>
      <c r="K692">
        <v>-1698000</v>
      </c>
    </row>
    <row r="693" spans="5:11" x14ac:dyDescent="0.25">
      <c r="E693" t="s">
        <v>1381</v>
      </c>
      <c r="F693">
        <v>769397</v>
      </c>
      <c r="G693" s="1">
        <v>45412</v>
      </c>
      <c r="H693" t="s">
        <v>1382</v>
      </c>
      <c r="I693" t="s">
        <v>36</v>
      </c>
      <c r="J693" s="1">
        <v>45323</v>
      </c>
      <c r="K693">
        <v>252000000</v>
      </c>
    </row>
    <row r="694" spans="5:11" x14ac:dyDescent="0.25">
      <c r="E694" t="s">
        <v>1383</v>
      </c>
      <c r="F694">
        <v>769520</v>
      </c>
      <c r="G694" s="1">
        <v>45381</v>
      </c>
      <c r="H694" t="s">
        <v>1384</v>
      </c>
      <c r="I694" t="s">
        <v>19</v>
      </c>
      <c r="J694" s="1">
        <v>45291</v>
      </c>
      <c r="K694">
        <v>86568000</v>
      </c>
    </row>
    <row r="695" spans="5:11" x14ac:dyDescent="0.25">
      <c r="E695" t="s">
        <v>1385</v>
      </c>
      <c r="F695">
        <v>770460</v>
      </c>
      <c r="G695" s="1">
        <v>45382</v>
      </c>
      <c r="H695" t="s">
        <v>1386</v>
      </c>
      <c r="I695" t="s">
        <v>162</v>
      </c>
      <c r="J695" s="1">
        <v>45292</v>
      </c>
      <c r="K695">
        <v>2415000</v>
      </c>
    </row>
    <row r="696" spans="5:11" x14ac:dyDescent="0.25">
      <c r="E696" t="s">
        <v>1387</v>
      </c>
      <c r="F696">
        <v>771266</v>
      </c>
      <c r="G696" s="1">
        <v>45381</v>
      </c>
      <c r="H696" t="s">
        <v>1388</v>
      </c>
      <c r="I696" t="s">
        <v>24</v>
      </c>
      <c r="J696" s="1">
        <v>45291</v>
      </c>
      <c r="K696">
        <v>-32548215</v>
      </c>
    </row>
    <row r="697" spans="5:11" x14ac:dyDescent="0.25">
      <c r="E697" t="s">
        <v>1389</v>
      </c>
      <c r="F697">
        <v>771497</v>
      </c>
      <c r="G697" s="1">
        <v>45412</v>
      </c>
      <c r="H697" t="s">
        <v>1390</v>
      </c>
      <c r="I697" t="s">
        <v>57</v>
      </c>
      <c r="J697" s="1">
        <v>45323</v>
      </c>
      <c r="K697">
        <v>43800000</v>
      </c>
    </row>
    <row r="698" spans="5:11" x14ac:dyDescent="0.25">
      <c r="E698" t="s">
        <v>1391</v>
      </c>
      <c r="F698">
        <v>771999</v>
      </c>
      <c r="G698" s="1">
        <v>45382</v>
      </c>
      <c r="H698" t="s">
        <v>1392</v>
      </c>
      <c r="I698" t="s">
        <v>57</v>
      </c>
      <c r="J698" s="1">
        <v>45292</v>
      </c>
      <c r="K698">
        <v>-4072000</v>
      </c>
    </row>
    <row r="699" spans="5:11" x14ac:dyDescent="0.25">
      <c r="E699" t="s">
        <v>1393</v>
      </c>
      <c r="F699">
        <v>772263</v>
      </c>
      <c r="G699" s="1">
        <v>45351</v>
      </c>
      <c r="H699" t="s">
        <v>1394</v>
      </c>
      <c r="I699" t="s">
        <v>142</v>
      </c>
      <c r="J699" s="1">
        <v>45261</v>
      </c>
      <c r="K699">
        <v>-1769233</v>
      </c>
    </row>
    <row r="700" spans="5:11" x14ac:dyDescent="0.25">
      <c r="E700" t="s">
        <v>1395</v>
      </c>
      <c r="F700">
        <v>773141</v>
      </c>
      <c r="G700" s="1">
        <v>45382</v>
      </c>
      <c r="H700" t="s">
        <v>1396</v>
      </c>
      <c r="I700" t="s">
        <v>92</v>
      </c>
      <c r="J700" s="1">
        <v>45292</v>
      </c>
      <c r="K700">
        <v>95819000</v>
      </c>
    </row>
    <row r="701" spans="5:11" x14ac:dyDescent="0.25">
      <c r="E701" t="s">
        <v>1397</v>
      </c>
      <c r="F701">
        <v>773318</v>
      </c>
      <c r="G701" s="1">
        <v>45382</v>
      </c>
      <c r="H701" t="s">
        <v>1398</v>
      </c>
      <c r="I701" t="s">
        <v>213</v>
      </c>
      <c r="J701" s="1">
        <v>45292</v>
      </c>
      <c r="K701">
        <v>-308000</v>
      </c>
    </row>
    <row r="702" spans="5:11" x14ac:dyDescent="0.25">
      <c r="E702" t="s">
        <v>1399</v>
      </c>
      <c r="F702">
        <v>773717</v>
      </c>
      <c r="G702" s="1">
        <v>45382</v>
      </c>
      <c r="H702" t="s">
        <v>1400</v>
      </c>
      <c r="I702" t="s">
        <v>92</v>
      </c>
      <c r="J702" s="1">
        <v>45292</v>
      </c>
      <c r="K702">
        <v>-289731</v>
      </c>
    </row>
    <row r="703" spans="5:11" x14ac:dyDescent="0.25">
      <c r="E703" t="s">
        <v>1401</v>
      </c>
      <c r="F703">
        <v>773840</v>
      </c>
      <c r="G703" s="1">
        <v>45382</v>
      </c>
      <c r="H703" t="s">
        <v>1402</v>
      </c>
      <c r="I703" t="s">
        <v>172</v>
      </c>
      <c r="J703" s="1">
        <v>45292</v>
      </c>
      <c r="K703">
        <v>1463000000</v>
      </c>
    </row>
    <row r="704" spans="5:11" x14ac:dyDescent="0.25">
      <c r="E704" t="s">
        <v>1403</v>
      </c>
      <c r="F704">
        <v>775057</v>
      </c>
      <c r="G704" s="1">
        <v>45382</v>
      </c>
      <c r="H704" t="s">
        <v>1404</v>
      </c>
      <c r="I704" t="s">
        <v>92</v>
      </c>
      <c r="J704" s="1">
        <v>45292</v>
      </c>
      <c r="K704">
        <v>-30000</v>
      </c>
    </row>
    <row r="705" spans="5:11" x14ac:dyDescent="0.25">
      <c r="E705" t="s">
        <v>1405</v>
      </c>
      <c r="F705">
        <v>775215</v>
      </c>
      <c r="G705" s="1">
        <v>45382</v>
      </c>
      <c r="H705" t="s">
        <v>1406</v>
      </c>
      <c r="I705" t="s">
        <v>19</v>
      </c>
      <c r="J705" s="1">
        <v>45292</v>
      </c>
      <c r="K705">
        <v>15258000</v>
      </c>
    </row>
    <row r="706" spans="5:11" x14ac:dyDescent="0.25">
      <c r="E706" t="s">
        <v>1407</v>
      </c>
      <c r="F706">
        <v>776867</v>
      </c>
      <c r="G706" s="1">
        <v>45382</v>
      </c>
      <c r="H706" t="s">
        <v>1408</v>
      </c>
      <c r="I706" t="s">
        <v>896</v>
      </c>
      <c r="J706" s="1">
        <v>45292</v>
      </c>
      <c r="K706">
        <v>236400000</v>
      </c>
    </row>
    <row r="707" spans="5:11" x14ac:dyDescent="0.25">
      <c r="E707" t="s">
        <v>1409</v>
      </c>
      <c r="F707">
        <v>776901</v>
      </c>
      <c r="G707" s="1">
        <v>45382</v>
      </c>
      <c r="H707" t="s">
        <v>1410</v>
      </c>
      <c r="I707" t="s">
        <v>24</v>
      </c>
      <c r="J707" s="1">
        <v>45292</v>
      </c>
      <c r="K707">
        <v>47770000</v>
      </c>
    </row>
    <row r="708" spans="5:11" x14ac:dyDescent="0.25">
      <c r="E708" t="s">
        <v>1411</v>
      </c>
      <c r="F708">
        <v>777917</v>
      </c>
      <c r="G708" s="1">
        <v>45382</v>
      </c>
      <c r="H708" t="s">
        <v>1412</v>
      </c>
      <c r="I708" t="s">
        <v>46</v>
      </c>
      <c r="J708" s="1">
        <v>45292</v>
      </c>
      <c r="K708">
        <v>-542422000</v>
      </c>
    </row>
    <row r="709" spans="5:11" x14ac:dyDescent="0.25">
      <c r="E709" t="s">
        <v>1413</v>
      </c>
      <c r="F709">
        <v>778164</v>
      </c>
      <c r="G709" s="1">
        <v>45382</v>
      </c>
      <c r="H709" t="s">
        <v>1414</v>
      </c>
      <c r="I709" t="s">
        <v>19</v>
      </c>
      <c r="J709" s="1">
        <v>45292</v>
      </c>
      <c r="K709">
        <v>-11725000</v>
      </c>
    </row>
    <row r="710" spans="5:11" x14ac:dyDescent="0.25">
      <c r="E710" t="s">
        <v>1415</v>
      </c>
      <c r="F710">
        <v>779152</v>
      </c>
      <c r="G710" s="1">
        <v>45382</v>
      </c>
      <c r="H710" t="s">
        <v>1416</v>
      </c>
      <c r="I710" t="s">
        <v>137</v>
      </c>
      <c r="J710" s="1">
        <v>45292</v>
      </c>
      <c r="K710">
        <v>87099000</v>
      </c>
    </row>
    <row r="711" spans="5:11" x14ac:dyDescent="0.25">
      <c r="E711" t="s">
        <v>1417</v>
      </c>
      <c r="F711">
        <v>779544</v>
      </c>
      <c r="G711" s="1">
        <v>45381</v>
      </c>
      <c r="H711" t="s">
        <v>1418</v>
      </c>
      <c r="I711" t="s">
        <v>57</v>
      </c>
      <c r="J711" s="1">
        <v>45291</v>
      </c>
      <c r="K711">
        <v>-1449000</v>
      </c>
    </row>
    <row r="712" spans="5:11" x14ac:dyDescent="0.25">
      <c r="E712" t="s">
        <v>1419</v>
      </c>
      <c r="F712">
        <v>780571</v>
      </c>
      <c r="G712" s="1">
        <v>45382</v>
      </c>
      <c r="H712" t="s">
        <v>1420</v>
      </c>
      <c r="I712" t="s">
        <v>504</v>
      </c>
      <c r="J712" s="1">
        <v>45292</v>
      </c>
      <c r="K712">
        <v>51721000</v>
      </c>
    </row>
    <row r="713" spans="5:11" x14ac:dyDescent="0.25">
      <c r="E713" t="s">
        <v>1421</v>
      </c>
      <c r="F713">
        <v>783324</v>
      </c>
      <c r="G713" s="1">
        <v>45382</v>
      </c>
      <c r="H713" t="s">
        <v>1422</v>
      </c>
      <c r="I713" t="s">
        <v>92</v>
      </c>
      <c r="J713" s="1">
        <v>45292</v>
      </c>
      <c r="K713">
        <v>-1073000</v>
      </c>
    </row>
    <row r="714" spans="5:11" x14ac:dyDescent="0.25">
      <c r="E714" t="s">
        <v>1423</v>
      </c>
      <c r="F714">
        <v>783412</v>
      </c>
      <c r="G714" s="1">
        <v>45382</v>
      </c>
      <c r="H714" t="s">
        <v>1424</v>
      </c>
      <c r="I714" t="s">
        <v>36</v>
      </c>
      <c r="J714" s="1">
        <v>45292</v>
      </c>
      <c r="K714">
        <v>15415000</v>
      </c>
    </row>
    <row r="715" spans="5:11" x14ac:dyDescent="0.25">
      <c r="E715" t="s">
        <v>1425</v>
      </c>
      <c r="F715">
        <v>784199</v>
      </c>
      <c r="G715" s="1">
        <v>45382</v>
      </c>
      <c r="H715" t="s">
        <v>1426</v>
      </c>
      <c r="I715" t="s">
        <v>64</v>
      </c>
      <c r="J715" s="1">
        <v>45292</v>
      </c>
      <c r="K715">
        <v>7533000</v>
      </c>
    </row>
    <row r="716" spans="5:11" x14ac:dyDescent="0.25">
      <c r="E716" t="s">
        <v>1427</v>
      </c>
      <c r="F716">
        <v>784539</v>
      </c>
      <c r="G716" s="1">
        <v>45351</v>
      </c>
      <c r="H716" t="s">
        <v>1428</v>
      </c>
      <c r="I716" t="s">
        <v>36</v>
      </c>
      <c r="J716" s="1">
        <v>45261</v>
      </c>
      <c r="K716">
        <v>5498000</v>
      </c>
    </row>
    <row r="717" spans="5:11" x14ac:dyDescent="0.25">
      <c r="E717" t="s">
        <v>1429</v>
      </c>
      <c r="F717">
        <v>785161</v>
      </c>
      <c r="G717" s="1">
        <v>45382</v>
      </c>
      <c r="H717" t="s">
        <v>1430</v>
      </c>
      <c r="I717" t="s">
        <v>1123</v>
      </c>
      <c r="J717" s="1">
        <v>45292</v>
      </c>
      <c r="K717">
        <v>112500000</v>
      </c>
    </row>
    <row r="718" spans="5:11" x14ac:dyDescent="0.25">
      <c r="E718" t="s">
        <v>1431</v>
      </c>
      <c r="F718">
        <v>785786</v>
      </c>
      <c r="G718" s="1">
        <v>45381</v>
      </c>
      <c r="H718" t="s">
        <v>1432</v>
      </c>
      <c r="I718" t="s">
        <v>83</v>
      </c>
      <c r="J718" s="1">
        <v>45291</v>
      </c>
      <c r="K718">
        <v>16239000</v>
      </c>
    </row>
    <row r="719" spans="5:11" x14ac:dyDescent="0.25">
      <c r="E719" t="s">
        <v>1433</v>
      </c>
      <c r="F719">
        <v>785956</v>
      </c>
      <c r="G719" s="1">
        <v>45381</v>
      </c>
      <c r="H719" t="s">
        <v>1434</v>
      </c>
      <c r="I719" t="s">
        <v>46</v>
      </c>
      <c r="J719" s="1">
        <v>45291</v>
      </c>
      <c r="K719">
        <v>13329000</v>
      </c>
    </row>
    <row r="720" spans="5:11" x14ac:dyDescent="0.25">
      <c r="E720" t="s">
        <v>10359</v>
      </c>
      <c r="F720">
        <v>787250</v>
      </c>
      <c r="G720" s="1">
        <v>45382</v>
      </c>
      <c r="H720" t="s">
        <v>1435</v>
      </c>
      <c r="I720" t="s">
        <v>60</v>
      </c>
      <c r="J720" s="1">
        <v>45292</v>
      </c>
      <c r="K720">
        <v>2600000</v>
      </c>
    </row>
    <row r="721" spans="5:11" x14ac:dyDescent="0.25">
      <c r="E721" t="s">
        <v>1436</v>
      </c>
      <c r="F721">
        <v>787253</v>
      </c>
      <c r="G721" s="1">
        <v>45382</v>
      </c>
      <c r="H721" t="s">
        <v>1437</v>
      </c>
      <c r="I721" t="s">
        <v>36</v>
      </c>
      <c r="J721" s="1">
        <v>45292</v>
      </c>
      <c r="K721">
        <v>-1578000</v>
      </c>
    </row>
    <row r="722" spans="5:11" x14ac:dyDescent="0.25">
      <c r="E722" t="s">
        <v>1438</v>
      </c>
      <c r="F722">
        <v>787496</v>
      </c>
      <c r="G722" s="1">
        <v>45351</v>
      </c>
      <c r="H722" t="s">
        <v>1439</v>
      </c>
      <c r="I722" t="s">
        <v>57</v>
      </c>
      <c r="J722" s="1">
        <v>45261</v>
      </c>
      <c r="K722">
        <v>-220456</v>
      </c>
    </row>
    <row r="723" spans="5:11" x14ac:dyDescent="0.25">
      <c r="E723" t="s">
        <v>1440</v>
      </c>
      <c r="F723">
        <v>788329</v>
      </c>
      <c r="G723" s="1">
        <v>45380</v>
      </c>
      <c r="H723" t="s">
        <v>1441</v>
      </c>
      <c r="I723" t="s">
        <v>83</v>
      </c>
      <c r="J723" s="1">
        <v>45290</v>
      </c>
      <c r="K723">
        <v>2156000</v>
      </c>
    </row>
    <row r="724" spans="5:11" x14ac:dyDescent="0.25">
      <c r="E724" t="s">
        <v>1442</v>
      </c>
      <c r="F724">
        <v>788784</v>
      </c>
      <c r="G724" s="1">
        <v>45382</v>
      </c>
      <c r="H724" t="s">
        <v>1443</v>
      </c>
      <c r="I724" t="s">
        <v>46</v>
      </c>
      <c r="J724" s="1">
        <v>45292</v>
      </c>
      <c r="K724">
        <v>532000000</v>
      </c>
    </row>
    <row r="725" spans="5:11" x14ac:dyDescent="0.25">
      <c r="E725" t="s">
        <v>1444</v>
      </c>
      <c r="F725">
        <v>788920</v>
      </c>
      <c r="G725" s="1">
        <v>45382</v>
      </c>
      <c r="H725" t="s">
        <v>1445</v>
      </c>
      <c r="I725" t="s">
        <v>36</v>
      </c>
      <c r="J725" s="1">
        <v>45292</v>
      </c>
      <c r="K725">
        <v>655000</v>
      </c>
    </row>
    <row r="726" spans="5:11" x14ac:dyDescent="0.25">
      <c r="E726" t="s">
        <v>1446</v>
      </c>
      <c r="F726">
        <v>788965</v>
      </c>
      <c r="G726" s="1">
        <v>45382</v>
      </c>
      <c r="H726" t="s">
        <v>1447</v>
      </c>
      <c r="I726" t="s">
        <v>288</v>
      </c>
      <c r="J726" s="1">
        <v>45292</v>
      </c>
      <c r="K726">
        <v>-1696000</v>
      </c>
    </row>
    <row r="727" spans="5:11" x14ac:dyDescent="0.25">
      <c r="E727" t="s">
        <v>1448</v>
      </c>
      <c r="F727">
        <v>789019</v>
      </c>
      <c r="G727" s="1">
        <v>45382</v>
      </c>
      <c r="H727" t="s">
        <v>1449</v>
      </c>
      <c r="I727" t="s">
        <v>504</v>
      </c>
      <c r="J727" s="1">
        <v>45292</v>
      </c>
      <c r="K727">
        <v>21939000000</v>
      </c>
    </row>
    <row r="728" spans="5:11" x14ac:dyDescent="0.25">
      <c r="E728" t="s">
        <v>1450</v>
      </c>
      <c r="F728">
        <v>789460</v>
      </c>
      <c r="G728" s="1">
        <v>45382</v>
      </c>
      <c r="H728" t="s">
        <v>1451</v>
      </c>
      <c r="I728" t="s">
        <v>33</v>
      </c>
      <c r="J728" s="1">
        <v>45292</v>
      </c>
      <c r="K728">
        <v>27400000</v>
      </c>
    </row>
    <row r="729" spans="5:11" x14ac:dyDescent="0.25">
      <c r="E729" t="s">
        <v>1452</v>
      </c>
      <c r="F729">
        <v>789570</v>
      </c>
      <c r="G729" s="1">
        <v>45382</v>
      </c>
      <c r="H729" t="s">
        <v>1453</v>
      </c>
      <c r="I729" t="s">
        <v>142</v>
      </c>
      <c r="J729" s="1">
        <v>45292</v>
      </c>
      <c r="K729">
        <v>217476000</v>
      </c>
    </row>
    <row r="730" spans="5:11" x14ac:dyDescent="0.25">
      <c r="E730" t="s">
        <v>10360</v>
      </c>
      <c r="F730">
        <v>789933</v>
      </c>
      <c r="G730" s="1">
        <v>45382</v>
      </c>
      <c r="H730" t="s">
        <v>1454</v>
      </c>
      <c r="I730" t="s">
        <v>60</v>
      </c>
      <c r="J730" s="1">
        <v>45292</v>
      </c>
      <c r="K730">
        <v>4570000</v>
      </c>
    </row>
    <row r="731" spans="5:11" x14ac:dyDescent="0.25">
      <c r="E731" t="s">
        <v>1455</v>
      </c>
      <c r="F731">
        <v>790051</v>
      </c>
      <c r="G731" s="1">
        <v>45382</v>
      </c>
      <c r="H731" t="s">
        <v>1456</v>
      </c>
      <c r="I731" t="s">
        <v>113</v>
      </c>
      <c r="J731" s="1">
        <v>45292</v>
      </c>
      <c r="K731">
        <v>192300000</v>
      </c>
    </row>
    <row r="732" spans="5:11" x14ac:dyDescent="0.25">
      <c r="E732" t="s">
        <v>1457</v>
      </c>
      <c r="F732">
        <v>790179</v>
      </c>
      <c r="G732" s="1">
        <v>45382</v>
      </c>
      <c r="H732" t="s">
        <v>1458</v>
      </c>
      <c r="I732" t="s">
        <v>406</v>
      </c>
      <c r="J732" s="1">
        <v>45292</v>
      </c>
      <c r="K732">
        <v>-14896</v>
      </c>
    </row>
    <row r="733" spans="5:11" x14ac:dyDescent="0.25">
      <c r="E733" t="s">
        <v>1459</v>
      </c>
      <c r="F733">
        <v>790273</v>
      </c>
      <c r="G733" s="1">
        <v>45382</v>
      </c>
      <c r="H733" t="s">
        <v>1460</v>
      </c>
      <c r="I733" t="s">
        <v>504</v>
      </c>
      <c r="J733" s="1">
        <v>45292</v>
      </c>
      <c r="K733">
        <v>-917</v>
      </c>
    </row>
    <row r="734" spans="5:11" x14ac:dyDescent="0.25">
      <c r="E734" t="s">
        <v>1461</v>
      </c>
      <c r="F734">
        <v>790359</v>
      </c>
      <c r="G734" s="1">
        <v>45382</v>
      </c>
      <c r="H734" t="s">
        <v>1462</v>
      </c>
      <c r="I734" t="s">
        <v>57</v>
      </c>
      <c r="J734" s="1">
        <v>45292</v>
      </c>
      <c r="K734">
        <v>33823000</v>
      </c>
    </row>
    <row r="735" spans="5:11" x14ac:dyDescent="0.25">
      <c r="E735" t="s">
        <v>1463</v>
      </c>
      <c r="F735">
        <v>790526</v>
      </c>
      <c r="G735" s="1">
        <v>45382</v>
      </c>
      <c r="H735" t="s">
        <v>1464</v>
      </c>
      <c r="I735" t="s">
        <v>36</v>
      </c>
      <c r="J735" s="1">
        <v>45292</v>
      </c>
      <c r="K735">
        <v>-2779000</v>
      </c>
    </row>
    <row r="736" spans="5:11" x14ac:dyDescent="0.25">
      <c r="E736" t="s">
        <v>1465</v>
      </c>
      <c r="F736">
        <v>790652</v>
      </c>
      <c r="G736" s="1">
        <v>45382</v>
      </c>
      <c r="H736" t="s">
        <v>1466</v>
      </c>
      <c r="I736" t="s">
        <v>33</v>
      </c>
      <c r="J736" s="1">
        <v>45292</v>
      </c>
      <c r="K736">
        <v>-29458</v>
      </c>
    </row>
    <row r="737" spans="5:11" x14ac:dyDescent="0.25">
      <c r="E737" t="s">
        <v>1467</v>
      </c>
      <c r="F737">
        <v>790816</v>
      </c>
      <c r="G737" s="1">
        <v>45382</v>
      </c>
      <c r="H737" t="s">
        <v>1468</v>
      </c>
      <c r="I737" t="s">
        <v>39</v>
      </c>
      <c r="J737" s="1">
        <v>45292</v>
      </c>
      <c r="K737">
        <v>-16368000</v>
      </c>
    </row>
    <row r="738" spans="5:11" x14ac:dyDescent="0.25">
      <c r="E738" t="s">
        <v>1469</v>
      </c>
      <c r="F738">
        <v>791908</v>
      </c>
      <c r="G738" s="1">
        <v>45382</v>
      </c>
      <c r="H738" t="s">
        <v>1470</v>
      </c>
      <c r="I738" t="s">
        <v>36</v>
      </c>
      <c r="J738" s="1">
        <v>45292</v>
      </c>
      <c r="K738">
        <v>-8595000</v>
      </c>
    </row>
    <row r="739" spans="5:11" x14ac:dyDescent="0.25">
      <c r="E739" t="s">
        <v>1471</v>
      </c>
      <c r="F739">
        <v>791963</v>
      </c>
      <c r="G739" s="1">
        <v>45382</v>
      </c>
      <c r="H739" t="s">
        <v>1472</v>
      </c>
      <c r="I739" t="s">
        <v>57</v>
      </c>
      <c r="J739" s="1">
        <v>45292</v>
      </c>
      <c r="K739">
        <v>26054000</v>
      </c>
    </row>
    <row r="740" spans="5:11" x14ac:dyDescent="0.25">
      <c r="E740" t="s">
        <v>1473</v>
      </c>
      <c r="F740">
        <v>792935</v>
      </c>
      <c r="G740" s="1">
        <v>45382</v>
      </c>
      <c r="H740" t="s">
        <v>1474</v>
      </c>
      <c r="I740" t="s">
        <v>33</v>
      </c>
      <c r="J740" s="1">
        <v>45292</v>
      </c>
      <c r="K740">
        <v>-374203</v>
      </c>
    </row>
    <row r="741" spans="5:11" x14ac:dyDescent="0.25">
      <c r="E741" t="s">
        <v>1475</v>
      </c>
      <c r="F741">
        <v>792966</v>
      </c>
      <c r="G741" s="1">
        <v>45382</v>
      </c>
      <c r="H741" t="s">
        <v>1476</v>
      </c>
      <c r="I741" t="s">
        <v>60</v>
      </c>
      <c r="J741" s="1">
        <v>45292</v>
      </c>
      <c r="K741">
        <v>5359000</v>
      </c>
    </row>
    <row r="742" spans="5:11" x14ac:dyDescent="0.25">
      <c r="E742" t="s">
        <v>1477</v>
      </c>
      <c r="F742">
        <v>792987</v>
      </c>
      <c r="G742" s="1">
        <v>45382</v>
      </c>
      <c r="H742" t="s">
        <v>1478</v>
      </c>
      <c r="I742" t="s">
        <v>69</v>
      </c>
      <c r="J742" s="1">
        <v>45292</v>
      </c>
      <c r="K742">
        <v>3400000</v>
      </c>
    </row>
    <row r="743" spans="5:11" x14ac:dyDescent="0.25">
      <c r="E743" t="s">
        <v>1479</v>
      </c>
      <c r="F743">
        <v>793074</v>
      </c>
      <c r="G743" s="1">
        <v>45382</v>
      </c>
      <c r="H743" t="s">
        <v>1480</v>
      </c>
      <c r="I743" t="s">
        <v>763</v>
      </c>
      <c r="J743" s="1">
        <v>45292</v>
      </c>
      <c r="K743">
        <v>6312000</v>
      </c>
    </row>
    <row r="744" spans="5:11" x14ac:dyDescent="0.25">
      <c r="E744" t="s">
        <v>1481</v>
      </c>
      <c r="F744">
        <v>793171</v>
      </c>
      <c r="G744" s="1">
        <v>45412</v>
      </c>
      <c r="H744" t="s">
        <v>1482</v>
      </c>
      <c r="I744" t="s">
        <v>92</v>
      </c>
      <c r="J744" s="1">
        <v>45323</v>
      </c>
      <c r="K744">
        <v>-3118919</v>
      </c>
    </row>
    <row r="745" spans="5:11" x14ac:dyDescent="0.25">
      <c r="E745" t="s">
        <v>1483</v>
      </c>
      <c r="F745">
        <v>793306</v>
      </c>
      <c r="G745" s="1">
        <v>45382</v>
      </c>
      <c r="H745" t="s">
        <v>1484</v>
      </c>
      <c r="I745" t="s">
        <v>30</v>
      </c>
      <c r="J745" s="1">
        <v>45292</v>
      </c>
      <c r="K745">
        <v>6624000</v>
      </c>
    </row>
    <row r="746" spans="5:11" x14ac:dyDescent="0.25">
      <c r="E746" t="s">
        <v>1485</v>
      </c>
      <c r="F746">
        <v>793524</v>
      </c>
      <c r="G746" s="1">
        <v>45382</v>
      </c>
      <c r="H746" t="s">
        <v>1486</v>
      </c>
      <c r="I746" t="s">
        <v>57</v>
      </c>
      <c r="J746" s="1">
        <v>45292</v>
      </c>
      <c r="K746">
        <v>-442604</v>
      </c>
    </row>
    <row r="747" spans="5:11" x14ac:dyDescent="0.25">
      <c r="E747" t="s">
        <v>1487</v>
      </c>
      <c r="F747">
        <v>793952</v>
      </c>
      <c r="G747" s="1">
        <v>45382</v>
      </c>
      <c r="H747" t="s">
        <v>1488</v>
      </c>
      <c r="I747" t="s">
        <v>83</v>
      </c>
      <c r="J747" s="1">
        <v>45292</v>
      </c>
      <c r="K747">
        <v>234941000</v>
      </c>
    </row>
    <row r="748" spans="5:11" x14ac:dyDescent="0.25">
      <c r="E748" t="s">
        <v>1489</v>
      </c>
      <c r="F748">
        <v>794170</v>
      </c>
      <c r="G748" s="1">
        <v>45412</v>
      </c>
      <c r="H748" t="s">
        <v>1490</v>
      </c>
      <c r="I748" t="s">
        <v>39</v>
      </c>
      <c r="J748" s="1">
        <v>45323</v>
      </c>
      <c r="K748">
        <v>481617000</v>
      </c>
    </row>
    <row r="749" spans="5:11" x14ac:dyDescent="0.25">
      <c r="E749" t="s">
        <v>1491</v>
      </c>
      <c r="F749">
        <v>794323</v>
      </c>
      <c r="G749" s="1">
        <v>45382</v>
      </c>
      <c r="H749" t="s">
        <v>1492</v>
      </c>
      <c r="I749" t="s">
        <v>92</v>
      </c>
      <c r="J749" s="1">
        <v>45292</v>
      </c>
      <c r="K749">
        <v>-64000000</v>
      </c>
    </row>
    <row r="750" spans="5:11" x14ac:dyDescent="0.25">
      <c r="E750" t="s">
        <v>1493</v>
      </c>
      <c r="F750">
        <v>794367</v>
      </c>
      <c r="G750" s="1">
        <v>45416</v>
      </c>
      <c r="H750" t="s">
        <v>1494</v>
      </c>
      <c r="I750" t="s">
        <v>57</v>
      </c>
      <c r="J750" s="1">
        <v>45326</v>
      </c>
      <c r="K750">
        <v>62000000</v>
      </c>
    </row>
    <row r="751" spans="5:11" x14ac:dyDescent="0.25">
      <c r="E751" t="s">
        <v>1495</v>
      </c>
      <c r="F751">
        <v>795266</v>
      </c>
      <c r="G751" s="1">
        <v>45351</v>
      </c>
      <c r="H751" t="s">
        <v>1496</v>
      </c>
      <c r="I751" t="s">
        <v>36</v>
      </c>
      <c r="J751" s="1">
        <v>45261</v>
      </c>
      <c r="K751">
        <v>138665000</v>
      </c>
    </row>
    <row r="752" spans="5:11" x14ac:dyDescent="0.25">
      <c r="E752" t="s">
        <v>1497</v>
      </c>
      <c r="F752">
        <v>795403</v>
      </c>
      <c r="G752" s="1">
        <v>45382</v>
      </c>
      <c r="H752" t="s">
        <v>1498</v>
      </c>
      <c r="I752" t="s">
        <v>24</v>
      </c>
      <c r="J752" s="1">
        <v>45292</v>
      </c>
      <c r="K752">
        <v>72600000</v>
      </c>
    </row>
    <row r="753" spans="5:11" x14ac:dyDescent="0.25">
      <c r="E753" t="s">
        <v>1499</v>
      </c>
      <c r="F753">
        <v>796343</v>
      </c>
      <c r="G753" s="1">
        <v>45352</v>
      </c>
      <c r="H753" t="s">
        <v>1500</v>
      </c>
      <c r="I753" t="s">
        <v>36</v>
      </c>
      <c r="J753" s="1">
        <v>45262</v>
      </c>
      <c r="K753">
        <v>620000000</v>
      </c>
    </row>
    <row r="754" spans="5:11" x14ac:dyDescent="0.25">
      <c r="E754" t="s">
        <v>1501</v>
      </c>
      <c r="F754">
        <v>796505</v>
      </c>
      <c r="G754" s="1">
        <v>45382</v>
      </c>
      <c r="H754" t="s">
        <v>1502</v>
      </c>
      <c r="I754" t="s">
        <v>213</v>
      </c>
      <c r="J754" s="1">
        <v>45292</v>
      </c>
      <c r="K754">
        <v>-5911000</v>
      </c>
    </row>
    <row r="755" spans="5:11" x14ac:dyDescent="0.25">
      <c r="E755" t="s">
        <v>1503</v>
      </c>
      <c r="F755">
        <v>796534</v>
      </c>
      <c r="G755" s="1">
        <v>45382</v>
      </c>
      <c r="H755" t="s">
        <v>1504</v>
      </c>
      <c r="I755" t="s">
        <v>123</v>
      </c>
      <c r="J755" s="1">
        <v>45292</v>
      </c>
      <c r="K755">
        <v>2174000</v>
      </c>
    </row>
    <row r="756" spans="5:11" x14ac:dyDescent="0.25">
      <c r="E756" t="s">
        <v>1505</v>
      </c>
      <c r="F756">
        <v>797465</v>
      </c>
      <c r="G756" s="1">
        <v>45382</v>
      </c>
      <c r="H756" t="s">
        <v>1506</v>
      </c>
      <c r="I756" t="s">
        <v>172</v>
      </c>
      <c r="J756" s="1">
        <v>45292</v>
      </c>
      <c r="K756">
        <v>20000</v>
      </c>
    </row>
    <row r="757" spans="5:11" x14ac:dyDescent="0.25">
      <c r="E757" t="s">
        <v>1507</v>
      </c>
      <c r="F757">
        <v>797468</v>
      </c>
      <c r="G757" s="1">
        <v>45382</v>
      </c>
      <c r="H757" t="s">
        <v>1508</v>
      </c>
      <c r="I757" t="s">
        <v>30</v>
      </c>
      <c r="J757" s="1">
        <v>45292</v>
      </c>
      <c r="K757">
        <v>888000000</v>
      </c>
    </row>
    <row r="758" spans="5:11" x14ac:dyDescent="0.25">
      <c r="E758" t="s">
        <v>1509</v>
      </c>
      <c r="F758">
        <v>797542</v>
      </c>
      <c r="G758" s="1">
        <v>45382</v>
      </c>
      <c r="H758" t="s">
        <v>1510</v>
      </c>
      <c r="I758" t="s">
        <v>1511</v>
      </c>
      <c r="J758" s="1">
        <v>45292</v>
      </c>
      <c r="K758">
        <v>-999000</v>
      </c>
    </row>
    <row r="759" spans="5:11" x14ac:dyDescent="0.25">
      <c r="E759" t="s">
        <v>1512</v>
      </c>
      <c r="F759">
        <v>797564</v>
      </c>
      <c r="G759" s="1">
        <v>45382</v>
      </c>
      <c r="H759" t="s">
        <v>1513</v>
      </c>
      <c r="I759" t="s">
        <v>123</v>
      </c>
      <c r="J759" s="1">
        <v>45292</v>
      </c>
      <c r="K759">
        <v>-34177</v>
      </c>
    </row>
    <row r="760" spans="5:11" x14ac:dyDescent="0.25">
      <c r="E760" t="s">
        <v>1514</v>
      </c>
      <c r="F760">
        <v>798081</v>
      </c>
      <c r="G760" s="1">
        <v>45412</v>
      </c>
      <c r="H760" t="s">
        <v>1515</v>
      </c>
      <c r="I760" t="s">
        <v>1123</v>
      </c>
      <c r="J760" s="1">
        <v>45323</v>
      </c>
      <c r="K760">
        <v>1653000</v>
      </c>
    </row>
    <row r="761" spans="5:11" x14ac:dyDescent="0.25">
      <c r="E761" t="s">
        <v>1516</v>
      </c>
      <c r="F761">
        <v>798287</v>
      </c>
      <c r="G761" s="1">
        <v>45382</v>
      </c>
      <c r="H761" t="s">
        <v>1517</v>
      </c>
      <c r="I761" t="s">
        <v>251</v>
      </c>
      <c r="J761" s="1">
        <v>45292</v>
      </c>
      <c r="K761">
        <v>281000</v>
      </c>
    </row>
    <row r="762" spans="5:11" x14ac:dyDescent="0.25">
      <c r="E762" t="s">
        <v>1518</v>
      </c>
      <c r="F762">
        <v>798354</v>
      </c>
      <c r="G762" s="1">
        <v>45382</v>
      </c>
      <c r="H762" t="s">
        <v>1519</v>
      </c>
      <c r="I762" t="s">
        <v>83</v>
      </c>
      <c r="J762" s="1">
        <v>45292</v>
      </c>
      <c r="K762">
        <v>735000000</v>
      </c>
    </row>
    <row r="763" spans="5:11" x14ac:dyDescent="0.25">
      <c r="E763" t="s">
        <v>1520</v>
      </c>
      <c r="F763">
        <v>798359</v>
      </c>
      <c r="G763" s="1">
        <v>45382</v>
      </c>
      <c r="H763" t="s">
        <v>1521</v>
      </c>
      <c r="I763" t="s">
        <v>518</v>
      </c>
      <c r="J763" s="1">
        <v>45292</v>
      </c>
      <c r="K763">
        <v>-3905000</v>
      </c>
    </row>
    <row r="764" spans="5:11" x14ac:dyDescent="0.25">
      <c r="E764" t="s">
        <v>1522</v>
      </c>
      <c r="F764">
        <v>798528</v>
      </c>
      <c r="G764" s="1">
        <v>45382</v>
      </c>
      <c r="H764" t="s">
        <v>1523</v>
      </c>
      <c r="I764" t="s">
        <v>33</v>
      </c>
      <c r="J764" s="1">
        <v>45292</v>
      </c>
      <c r="K764">
        <v>3498024</v>
      </c>
    </row>
    <row r="765" spans="5:11" x14ac:dyDescent="0.25">
      <c r="E765" t="s">
        <v>1524</v>
      </c>
      <c r="F765">
        <v>798783</v>
      </c>
      <c r="G765" s="1">
        <v>45382</v>
      </c>
      <c r="H765" t="s">
        <v>1525</v>
      </c>
      <c r="I765" t="s">
        <v>39</v>
      </c>
      <c r="J765" s="1">
        <v>45292</v>
      </c>
      <c r="K765">
        <v>5300000</v>
      </c>
    </row>
    <row r="766" spans="5:11" x14ac:dyDescent="0.25">
      <c r="E766" t="s">
        <v>1526</v>
      </c>
      <c r="F766">
        <v>798941</v>
      </c>
      <c r="G766" s="1">
        <v>45382</v>
      </c>
      <c r="H766" t="s">
        <v>1527</v>
      </c>
      <c r="I766" t="s">
        <v>172</v>
      </c>
      <c r="J766" s="1">
        <v>45292</v>
      </c>
      <c r="K766">
        <v>731000000</v>
      </c>
    </row>
    <row r="767" spans="5:11" x14ac:dyDescent="0.25">
      <c r="E767" t="s">
        <v>1528</v>
      </c>
      <c r="F767">
        <v>799165</v>
      </c>
      <c r="G767" s="1">
        <v>45382</v>
      </c>
      <c r="H767" t="s">
        <v>1529</v>
      </c>
      <c r="I767" t="s">
        <v>30</v>
      </c>
      <c r="J767" s="1">
        <v>45292</v>
      </c>
      <c r="K767">
        <v>5846000</v>
      </c>
    </row>
    <row r="768" spans="5:11" x14ac:dyDescent="0.25">
      <c r="E768" t="s">
        <v>1530</v>
      </c>
      <c r="F768">
        <v>799167</v>
      </c>
      <c r="G768" s="1">
        <v>45382</v>
      </c>
      <c r="H768" t="s">
        <v>1531</v>
      </c>
      <c r="I768" t="s">
        <v>83</v>
      </c>
      <c r="J768" s="1">
        <v>45292</v>
      </c>
      <c r="K768">
        <v>9646000</v>
      </c>
    </row>
    <row r="769" spans="5:11" x14ac:dyDescent="0.25">
      <c r="E769" t="s">
        <v>1532</v>
      </c>
      <c r="F769">
        <v>799233</v>
      </c>
      <c r="G769" s="1">
        <v>45382</v>
      </c>
      <c r="H769" t="s">
        <v>1533</v>
      </c>
      <c r="I769" t="s">
        <v>95</v>
      </c>
      <c r="J769" s="1">
        <v>45292</v>
      </c>
      <c r="K769">
        <v>-15108000</v>
      </c>
    </row>
    <row r="770" spans="5:11" x14ac:dyDescent="0.25">
      <c r="E770" t="s">
        <v>1534</v>
      </c>
      <c r="F770">
        <v>799288</v>
      </c>
      <c r="G770" s="1">
        <v>45415</v>
      </c>
      <c r="H770" t="s">
        <v>1535</v>
      </c>
      <c r="I770" t="s">
        <v>83</v>
      </c>
      <c r="J770" s="1">
        <v>45325</v>
      </c>
      <c r="K770">
        <v>-6442000</v>
      </c>
    </row>
    <row r="771" spans="5:11" x14ac:dyDescent="0.25">
      <c r="E771" t="s">
        <v>1536</v>
      </c>
      <c r="F771">
        <v>799292</v>
      </c>
      <c r="G771" s="1">
        <v>45382</v>
      </c>
      <c r="H771" t="s">
        <v>1537</v>
      </c>
      <c r="I771" t="s">
        <v>60</v>
      </c>
      <c r="J771" s="1">
        <v>45292</v>
      </c>
      <c r="K771">
        <v>138061000</v>
      </c>
    </row>
    <row r="772" spans="5:11" x14ac:dyDescent="0.25">
      <c r="E772" t="s">
        <v>1538</v>
      </c>
      <c r="F772">
        <v>799698</v>
      </c>
      <c r="G772" s="1">
        <v>45382</v>
      </c>
      <c r="H772" t="s">
        <v>1539</v>
      </c>
      <c r="I772" t="s">
        <v>36</v>
      </c>
      <c r="J772" s="1">
        <v>45292</v>
      </c>
      <c r="K772">
        <v>186735</v>
      </c>
    </row>
    <row r="773" spans="5:11" x14ac:dyDescent="0.25">
      <c r="E773" t="s">
        <v>1540</v>
      </c>
      <c r="F773">
        <v>800240</v>
      </c>
      <c r="G773" s="1">
        <v>45381</v>
      </c>
      <c r="H773" t="s">
        <v>1541</v>
      </c>
      <c r="I773" t="s">
        <v>33</v>
      </c>
      <c r="J773" s="1">
        <v>45291</v>
      </c>
      <c r="K773">
        <v>15000000</v>
      </c>
    </row>
    <row r="774" spans="5:11" x14ac:dyDescent="0.25">
      <c r="E774" t="s">
        <v>1542</v>
      </c>
      <c r="F774">
        <v>800457</v>
      </c>
      <c r="G774" s="1">
        <v>45382</v>
      </c>
      <c r="H774" t="s">
        <v>1543</v>
      </c>
      <c r="I774" t="s">
        <v>39</v>
      </c>
      <c r="J774" s="1">
        <v>45292</v>
      </c>
      <c r="K774">
        <v>5955551</v>
      </c>
    </row>
    <row r="775" spans="5:11" x14ac:dyDescent="0.25">
      <c r="E775" t="s">
        <v>1544</v>
      </c>
      <c r="F775">
        <v>801337</v>
      </c>
      <c r="G775" s="1">
        <v>45382</v>
      </c>
      <c r="H775" t="s">
        <v>1545</v>
      </c>
      <c r="I775" t="s">
        <v>27</v>
      </c>
      <c r="J775" s="1">
        <v>45292</v>
      </c>
      <c r="K775">
        <v>216323000</v>
      </c>
    </row>
    <row r="776" spans="5:11" x14ac:dyDescent="0.25">
      <c r="E776" t="s">
        <v>1546</v>
      </c>
      <c r="F776">
        <v>802257</v>
      </c>
      <c r="G776" s="1">
        <v>45382</v>
      </c>
      <c r="H776" t="s">
        <v>1547</v>
      </c>
      <c r="I776" t="s">
        <v>33</v>
      </c>
      <c r="J776" s="1">
        <v>45292</v>
      </c>
      <c r="K776">
        <v>46524</v>
      </c>
    </row>
    <row r="777" spans="5:11" x14ac:dyDescent="0.25">
      <c r="E777" t="s">
        <v>1548</v>
      </c>
      <c r="F777">
        <v>802481</v>
      </c>
      <c r="G777" s="1">
        <v>45382</v>
      </c>
      <c r="H777" t="s">
        <v>1549</v>
      </c>
      <c r="I777" t="s">
        <v>92</v>
      </c>
      <c r="J777" s="1">
        <v>45292</v>
      </c>
      <c r="K777">
        <v>174421000</v>
      </c>
    </row>
    <row r="778" spans="5:11" x14ac:dyDescent="0.25">
      <c r="E778" t="s">
        <v>1550</v>
      </c>
      <c r="F778">
        <v>803164</v>
      </c>
      <c r="G778" s="1">
        <v>45382</v>
      </c>
      <c r="H778" t="s">
        <v>1551</v>
      </c>
      <c r="I778" t="s">
        <v>329</v>
      </c>
      <c r="J778" s="1">
        <v>45292</v>
      </c>
      <c r="K778">
        <v>5634000</v>
      </c>
    </row>
    <row r="779" spans="5:11" x14ac:dyDescent="0.25">
      <c r="E779" t="s">
        <v>1552</v>
      </c>
      <c r="F779">
        <v>803578</v>
      </c>
      <c r="G779" s="1">
        <v>45382</v>
      </c>
      <c r="H779" t="s">
        <v>1553</v>
      </c>
      <c r="I779" t="s">
        <v>57</v>
      </c>
      <c r="J779" s="1">
        <v>45292</v>
      </c>
      <c r="K779">
        <v>-673950</v>
      </c>
    </row>
    <row r="780" spans="5:11" x14ac:dyDescent="0.25">
      <c r="E780" t="s">
        <v>1554</v>
      </c>
      <c r="F780">
        <v>803649</v>
      </c>
      <c r="G780" s="1">
        <v>45382</v>
      </c>
      <c r="H780" t="s">
        <v>1555</v>
      </c>
      <c r="I780" t="s">
        <v>19</v>
      </c>
      <c r="J780" s="1">
        <v>45292</v>
      </c>
      <c r="K780">
        <v>25405000</v>
      </c>
    </row>
    <row r="781" spans="5:11" x14ac:dyDescent="0.25">
      <c r="E781" t="s">
        <v>1556</v>
      </c>
      <c r="F781">
        <v>804269</v>
      </c>
      <c r="G781" s="1">
        <v>45382</v>
      </c>
      <c r="H781" t="s">
        <v>1557</v>
      </c>
      <c r="I781" t="s">
        <v>30</v>
      </c>
      <c r="J781" s="1">
        <v>45292</v>
      </c>
      <c r="K781">
        <v>536000000</v>
      </c>
    </row>
    <row r="782" spans="5:11" x14ac:dyDescent="0.25">
      <c r="E782" t="s">
        <v>1558</v>
      </c>
      <c r="F782">
        <v>804328</v>
      </c>
      <c r="G782" s="1">
        <v>45375</v>
      </c>
      <c r="H782" t="s">
        <v>1559</v>
      </c>
      <c r="I782" t="s">
        <v>36</v>
      </c>
      <c r="J782" s="1">
        <v>45285</v>
      </c>
      <c r="K782">
        <v>2326000000</v>
      </c>
    </row>
    <row r="783" spans="5:11" x14ac:dyDescent="0.25">
      <c r="E783" t="s">
        <v>1560</v>
      </c>
      <c r="F783">
        <v>805676</v>
      </c>
      <c r="G783" s="1">
        <v>45382</v>
      </c>
      <c r="H783" t="s">
        <v>1561</v>
      </c>
      <c r="I783" t="s">
        <v>60</v>
      </c>
      <c r="J783" s="1">
        <v>45292</v>
      </c>
      <c r="K783">
        <v>35204000</v>
      </c>
    </row>
    <row r="784" spans="5:11" x14ac:dyDescent="0.25">
      <c r="E784" t="s">
        <v>1562</v>
      </c>
      <c r="F784">
        <v>805928</v>
      </c>
      <c r="G784" s="1">
        <v>45382</v>
      </c>
      <c r="H784" t="s">
        <v>1563</v>
      </c>
      <c r="I784" t="s">
        <v>33</v>
      </c>
      <c r="J784" s="1">
        <v>45292</v>
      </c>
      <c r="K784">
        <v>-6635000</v>
      </c>
    </row>
    <row r="785" spans="5:11" x14ac:dyDescent="0.25">
      <c r="E785" t="s">
        <v>1564</v>
      </c>
      <c r="F785">
        <v>806279</v>
      </c>
      <c r="G785" s="1">
        <v>45382</v>
      </c>
      <c r="H785" t="s">
        <v>1565</v>
      </c>
      <c r="I785" t="s">
        <v>39</v>
      </c>
      <c r="J785" s="1">
        <v>45292</v>
      </c>
      <c r="K785">
        <v>4255000</v>
      </c>
    </row>
    <row r="786" spans="5:11" x14ac:dyDescent="0.25">
      <c r="E786" t="s">
        <v>1566</v>
      </c>
      <c r="F786">
        <v>806517</v>
      </c>
      <c r="G786" s="1">
        <v>45382</v>
      </c>
      <c r="H786" t="s">
        <v>1567</v>
      </c>
      <c r="I786" t="s">
        <v>30</v>
      </c>
      <c r="J786" s="1">
        <v>45292</v>
      </c>
      <c r="K786">
        <v>-688000</v>
      </c>
    </row>
    <row r="787" spans="5:11" x14ac:dyDescent="0.25">
      <c r="E787" t="s">
        <v>1568</v>
      </c>
      <c r="F787">
        <v>807863</v>
      </c>
      <c r="G787" s="1">
        <v>45382</v>
      </c>
      <c r="H787" t="s">
        <v>1569</v>
      </c>
      <c r="I787" t="s">
        <v>36</v>
      </c>
      <c r="J787" s="1">
        <v>45292</v>
      </c>
      <c r="K787">
        <v>282000</v>
      </c>
    </row>
    <row r="788" spans="5:11" x14ac:dyDescent="0.25">
      <c r="E788" t="s">
        <v>1570</v>
      </c>
      <c r="F788">
        <v>807882</v>
      </c>
      <c r="G788" s="1">
        <v>45396</v>
      </c>
      <c r="H788" t="s">
        <v>1571</v>
      </c>
      <c r="I788" t="s">
        <v>36</v>
      </c>
      <c r="J788" s="1">
        <v>45313</v>
      </c>
      <c r="K788">
        <v>24980000</v>
      </c>
    </row>
    <row r="789" spans="5:11" x14ac:dyDescent="0.25">
      <c r="E789" t="s">
        <v>1572</v>
      </c>
      <c r="F789">
        <v>808326</v>
      </c>
      <c r="G789" s="1">
        <v>45382</v>
      </c>
      <c r="H789" t="s">
        <v>1573</v>
      </c>
      <c r="I789" t="s">
        <v>46</v>
      </c>
      <c r="J789" s="1">
        <v>45292</v>
      </c>
      <c r="K789">
        <v>-8495000</v>
      </c>
    </row>
    <row r="790" spans="5:11" x14ac:dyDescent="0.25">
      <c r="E790" t="s">
        <v>1574</v>
      </c>
      <c r="F790">
        <v>809248</v>
      </c>
      <c r="G790" s="1">
        <v>45382</v>
      </c>
      <c r="H790" t="s">
        <v>1575</v>
      </c>
      <c r="I790" t="s">
        <v>57</v>
      </c>
      <c r="J790" s="1">
        <v>45292</v>
      </c>
      <c r="K790">
        <v>3664000</v>
      </c>
    </row>
    <row r="791" spans="5:11" x14ac:dyDescent="0.25">
      <c r="E791" t="s">
        <v>1576</v>
      </c>
      <c r="F791">
        <v>810136</v>
      </c>
      <c r="G791" s="1">
        <v>45410</v>
      </c>
      <c r="H791" t="s">
        <v>1577</v>
      </c>
      <c r="I791" t="s">
        <v>27</v>
      </c>
      <c r="J791" s="1">
        <v>45320</v>
      </c>
      <c r="K791">
        <v>36251000</v>
      </c>
    </row>
    <row r="792" spans="5:11" x14ac:dyDescent="0.25">
      <c r="E792" t="s">
        <v>1578</v>
      </c>
      <c r="F792">
        <v>810332</v>
      </c>
      <c r="G792" s="1">
        <v>45382</v>
      </c>
      <c r="H792" t="s">
        <v>1579</v>
      </c>
      <c r="I792" t="s">
        <v>113</v>
      </c>
      <c r="J792" s="1">
        <v>45292</v>
      </c>
      <c r="K792">
        <v>11660000</v>
      </c>
    </row>
    <row r="793" spans="5:11" x14ac:dyDescent="0.25">
      <c r="E793" t="s">
        <v>1580</v>
      </c>
      <c r="F793">
        <v>810958</v>
      </c>
      <c r="G793" s="1">
        <v>45382</v>
      </c>
      <c r="H793" t="s">
        <v>1581</v>
      </c>
      <c r="I793" t="s">
        <v>39</v>
      </c>
      <c r="J793" s="1">
        <v>45292</v>
      </c>
      <c r="K793">
        <v>5306000</v>
      </c>
    </row>
    <row r="794" spans="5:11" x14ac:dyDescent="0.25">
      <c r="E794" t="s">
        <v>1582</v>
      </c>
      <c r="F794">
        <v>811156</v>
      </c>
      <c r="G794" s="1">
        <v>45382</v>
      </c>
      <c r="H794" t="s">
        <v>1583</v>
      </c>
      <c r="I794" t="s">
        <v>329</v>
      </c>
      <c r="J794" s="1">
        <v>45292</v>
      </c>
      <c r="K794">
        <v>287000000</v>
      </c>
    </row>
    <row r="795" spans="5:11" x14ac:dyDescent="0.25">
      <c r="E795" t="s">
        <v>1584</v>
      </c>
      <c r="F795">
        <v>811222</v>
      </c>
      <c r="G795" s="1">
        <v>45382</v>
      </c>
      <c r="H795" t="s">
        <v>1585</v>
      </c>
      <c r="I795" t="s">
        <v>142</v>
      </c>
      <c r="J795" s="1">
        <v>45292</v>
      </c>
      <c r="K795">
        <v>-283104</v>
      </c>
    </row>
    <row r="796" spans="5:11" x14ac:dyDescent="0.25">
      <c r="E796" t="s">
        <v>1586</v>
      </c>
      <c r="F796">
        <v>811240</v>
      </c>
      <c r="G796" s="1">
        <v>45382</v>
      </c>
      <c r="H796" t="s">
        <v>1587</v>
      </c>
      <c r="I796" t="s">
        <v>36</v>
      </c>
      <c r="J796" s="1">
        <v>45292</v>
      </c>
      <c r="K796">
        <v>-6485000</v>
      </c>
    </row>
    <row r="797" spans="5:11" x14ac:dyDescent="0.25">
      <c r="E797" t="s">
        <v>1588</v>
      </c>
      <c r="F797">
        <v>811532</v>
      </c>
      <c r="G797" s="1">
        <v>45382</v>
      </c>
      <c r="H797" t="s">
        <v>1589</v>
      </c>
      <c r="I797" t="s">
        <v>60</v>
      </c>
      <c r="J797" s="1">
        <v>45292</v>
      </c>
      <c r="K797">
        <v>-133467000</v>
      </c>
    </row>
    <row r="798" spans="5:11" x14ac:dyDescent="0.25">
      <c r="E798" t="s">
        <v>1590</v>
      </c>
      <c r="F798">
        <v>811589</v>
      </c>
      <c r="G798" s="1">
        <v>45382</v>
      </c>
      <c r="H798" t="s">
        <v>1591</v>
      </c>
      <c r="I798" t="s">
        <v>172</v>
      </c>
      <c r="J798" s="1">
        <v>45292</v>
      </c>
      <c r="K798">
        <v>25272000</v>
      </c>
    </row>
    <row r="799" spans="5:11" x14ac:dyDescent="0.25">
      <c r="E799" t="s">
        <v>10361</v>
      </c>
      <c r="F799">
        <v>811596</v>
      </c>
      <c r="G799" s="1">
        <v>45382</v>
      </c>
      <c r="H799" t="s">
        <v>1592</v>
      </c>
      <c r="I799" t="s">
        <v>69</v>
      </c>
      <c r="J799" s="1">
        <v>45292</v>
      </c>
      <c r="K799">
        <v>24600000</v>
      </c>
    </row>
    <row r="800" spans="5:11" x14ac:dyDescent="0.25">
      <c r="E800" t="s">
        <v>1593</v>
      </c>
      <c r="F800">
        <v>811641</v>
      </c>
      <c r="G800" s="1">
        <v>45382</v>
      </c>
      <c r="H800" t="s">
        <v>1594</v>
      </c>
      <c r="I800" t="s">
        <v>1280</v>
      </c>
      <c r="J800" s="1">
        <v>45292</v>
      </c>
      <c r="K800">
        <v>-437868</v>
      </c>
    </row>
    <row r="801" spans="5:11" x14ac:dyDescent="0.25">
      <c r="E801" t="s">
        <v>1595</v>
      </c>
      <c r="F801">
        <v>811808</v>
      </c>
      <c r="G801" s="1">
        <v>45382</v>
      </c>
      <c r="H801" t="s">
        <v>1596</v>
      </c>
      <c r="I801" t="s">
        <v>859</v>
      </c>
      <c r="J801" s="1">
        <v>45292</v>
      </c>
      <c r="K801">
        <v>17047000</v>
      </c>
    </row>
    <row r="802" spans="5:11" x14ac:dyDescent="0.25">
      <c r="E802" t="s">
        <v>1597</v>
      </c>
      <c r="F802">
        <v>811830</v>
      </c>
      <c r="G802" s="1">
        <v>45382</v>
      </c>
      <c r="H802" t="s">
        <v>1598</v>
      </c>
      <c r="I802" t="s">
        <v>24</v>
      </c>
      <c r="J802" s="1">
        <v>45292</v>
      </c>
      <c r="K802">
        <v>343207000</v>
      </c>
    </row>
    <row r="803" spans="5:11" x14ac:dyDescent="0.25">
      <c r="E803" t="s">
        <v>1599</v>
      </c>
      <c r="F803">
        <v>812011</v>
      </c>
      <c r="G803" s="1">
        <v>45412</v>
      </c>
      <c r="H803" t="s">
        <v>1600</v>
      </c>
      <c r="I803" t="s">
        <v>92</v>
      </c>
      <c r="J803" s="1">
        <v>45323</v>
      </c>
      <c r="K803">
        <v>361995000</v>
      </c>
    </row>
    <row r="804" spans="5:11" x14ac:dyDescent="0.25">
      <c r="E804" t="s">
        <v>1601</v>
      </c>
      <c r="F804">
        <v>812074</v>
      </c>
      <c r="G804" s="1">
        <v>45382</v>
      </c>
      <c r="H804" t="s">
        <v>1602</v>
      </c>
      <c r="I804" t="s">
        <v>60</v>
      </c>
      <c r="J804" s="1">
        <v>45292</v>
      </c>
      <c r="K804">
        <v>72000000</v>
      </c>
    </row>
    <row r="805" spans="5:11" x14ac:dyDescent="0.25">
      <c r="E805" t="s">
        <v>1603</v>
      </c>
      <c r="F805">
        <v>812152</v>
      </c>
      <c r="G805" s="1">
        <v>45382</v>
      </c>
      <c r="H805" t="s">
        <v>1604</v>
      </c>
      <c r="I805" t="s">
        <v>142</v>
      </c>
      <c r="J805" s="1">
        <v>45292</v>
      </c>
      <c r="K805">
        <v>-28299</v>
      </c>
    </row>
    <row r="806" spans="5:11" x14ac:dyDescent="0.25">
      <c r="E806" t="s">
        <v>10362</v>
      </c>
      <c r="F806">
        <v>812306</v>
      </c>
      <c r="G806" s="1">
        <v>45382</v>
      </c>
      <c r="H806" t="s">
        <v>1605</v>
      </c>
      <c r="I806" t="s">
        <v>33</v>
      </c>
      <c r="J806" s="1">
        <v>45292</v>
      </c>
      <c r="K806">
        <v>-102788</v>
      </c>
    </row>
    <row r="807" spans="5:11" x14ac:dyDescent="0.25">
      <c r="E807" t="s">
        <v>1606</v>
      </c>
      <c r="F807">
        <v>812796</v>
      </c>
      <c r="G807" s="1">
        <v>45382</v>
      </c>
      <c r="H807" t="s">
        <v>1607</v>
      </c>
      <c r="I807" t="s">
        <v>46</v>
      </c>
      <c r="J807" s="1">
        <v>45292</v>
      </c>
      <c r="K807">
        <v>-1915327</v>
      </c>
    </row>
    <row r="808" spans="5:11" x14ac:dyDescent="0.25">
      <c r="E808" t="s">
        <v>10363</v>
      </c>
      <c r="F808">
        <v>813298</v>
      </c>
      <c r="G808" s="1">
        <v>45416</v>
      </c>
      <c r="H808" t="s">
        <v>1608</v>
      </c>
      <c r="I808" t="s">
        <v>24</v>
      </c>
      <c r="J808" s="1">
        <v>45326</v>
      </c>
      <c r="K808">
        <v>3793000</v>
      </c>
    </row>
    <row r="809" spans="5:11" x14ac:dyDescent="0.25">
      <c r="E809" t="s">
        <v>1609</v>
      </c>
      <c r="F809">
        <v>813672</v>
      </c>
      <c r="G809" s="1">
        <v>45382</v>
      </c>
      <c r="H809" t="s">
        <v>1610</v>
      </c>
      <c r="I809" t="s">
        <v>36</v>
      </c>
      <c r="J809" s="1">
        <v>45292</v>
      </c>
      <c r="K809">
        <v>247643000</v>
      </c>
    </row>
    <row r="810" spans="5:11" x14ac:dyDescent="0.25">
      <c r="E810" t="s">
        <v>1611</v>
      </c>
      <c r="F810">
        <v>813716</v>
      </c>
      <c r="G810" s="1">
        <v>45382</v>
      </c>
      <c r="H810" t="s">
        <v>1612</v>
      </c>
      <c r="I810" t="s">
        <v>142</v>
      </c>
      <c r="J810" s="1">
        <v>45292</v>
      </c>
      <c r="K810">
        <v>-518088</v>
      </c>
    </row>
    <row r="811" spans="5:11" x14ac:dyDescent="0.25">
      <c r="E811" t="s">
        <v>1613</v>
      </c>
      <c r="F811">
        <v>813762</v>
      </c>
      <c r="G811" s="1">
        <v>45382</v>
      </c>
      <c r="H811" t="s">
        <v>1614</v>
      </c>
      <c r="I811" t="s">
        <v>33</v>
      </c>
      <c r="J811" s="1">
        <v>45292</v>
      </c>
      <c r="K811">
        <v>-38000000</v>
      </c>
    </row>
    <row r="812" spans="5:11" x14ac:dyDescent="0.25">
      <c r="E812" t="s">
        <v>1615</v>
      </c>
      <c r="F812">
        <v>813828</v>
      </c>
      <c r="G812" s="1">
        <v>45382</v>
      </c>
      <c r="H812" t="s">
        <v>1616</v>
      </c>
      <c r="I812" t="s">
        <v>57</v>
      </c>
      <c r="J812" s="1">
        <v>45292</v>
      </c>
      <c r="K812">
        <v>-554000000</v>
      </c>
    </row>
    <row r="813" spans="5:11" x14ac:dyDescent="0.25">
      <c r="E813" t="s">
        <v>1617</v>
      </c>
      <c r="F813">
        <v>814453</v>
      </c>
      <c r="G813" s="1">
        <v>45382</v>
      </c>
      <c r="H813" t="s">
        <v>1618</v>
      </c>
      <c r="I813" t="s">
        <v>64</v>
      </c>
      <c r="J813" s="1">
        <v>45292</v>
      </c>
      <c r="K813">
        <v>-9000000</v>
      </c>
    </row>
    <row r="814" spans="5:11" x14ac:dyDescent="0.25">
      <c r="E814" t="s">
        <v>1619</v>
      </c>
      <c r="F814">
        <v>814547</v>
      </c>
      <c r="G814" s="1">
        <v>45382</v>
      </c>
      <c r="H814" t="s">
        <v>1620</v>
      </c>
      <c r="I814" t="s">
        <v>772</v>
      </c>
      <c r="J814" s="1">
        <v>45292</v>
      </c>
      <c r="K814">
        <v>129799000</v>
      </c>
    </row>
    <row r="815" spans="5:11" x14ac:dyDescent="0.25">
      <c r="E815" t="s">
        <v>1621</v>
      </c>
      <c r="F815">
        <v>814585</v>
      </c>
      <c r="G815" s="1">
        <v>45382</v>
      </c>
      <c r="H815" t="s">
        <v>1622</v>
      </c>
      <c r="I815" t="s">
        <v>57</v>
      </c>
      <c r="J815" s="1">
        <v>45292</v>
      </c>
      <c r="K815">
        <v>-86000000</v>
      </c>
    </row>
    <row r="816" spans="5:11" x14ac:dyDescent="0.25">
      <c r="E816" t="s">
        <v>1623</v>
      </c>
      <c r="F816">
        <v>814586</v>
      </c>
      <c r="G816" s="1">
        <v>45382</v>
      </c>
      <c r="H816" t="s">
        <v>1624</v>
      </c>
      <c r="I816" t="s">
        <v>19</v>
      </c>
      <c r="J816" s="1">
        <v>45292</v>
      </c>
      <c r="K816">
        <v>2426000</v>
      </c>
    </row>
    <row r="817" spans="5:11" x14ac:dyDescent="0.25">
      <c r="E817" t="s">
        <v>1625</v>
      </c>
      <c r="F817">
        <v>814676</v>
      </c>
      <c r="G817" s="1">
        <v>45381</v>
      </c>
      <c r="H817" t="s">
        <v>1626</v>
      </c>
      <c r="I817" t="s">
        <v>24</v>
      </c>
      <c r="J817" s="1">
        <v>45291</v>
      </c>
      <c r="K817">
        <v>-143153</v>
      </c>
    </row>
    <row r="818" spans="5:11" x14ac:dyDescent="0.25">
      <c r="E818" t="s">
        <v>1627</v>
      </c>
      <c r="F818">
        <v>814926</v>
      </c>
      <c r="G818" s="1">
        <v>45382</v>
      </c>
      <c r="H818" t="s">
        <v>1628</v>
      </c>
      <c r="I818" t="s">
        <v>33</v>
      </c>
      <c r="J818" s="1">
        <v>45292</v>
      </c>
      <c r="K818">
        <v>-262260</v>
      </c>
    </row>
    <row r="819" spans="5:11" x14ac:dyDescent="0.25">
      <c r="E819" t="s">
        <v>1629</v>
      </c>
      <c r="F819">
        <v>815097</v>
      </c>
      <c r="G819" s="1">
        <v>45351</v>
      </c>
      <c r="H819" t="s">
        <v>1630</v>
      </c>
      <c r="I819" t="s">
        <v>33</v>
      </c>
      <c r="J819" s="1">
        <v>45261</v>
      </c>
      <c r="K819">
        <v>-214000000</v>
      </c>
    </row>
    <row r="820" spans="5:11" x14ac:dyDescent="0.25">
      <c r="E820" t="s">
        <v>1631</v>
      </c>
      <c r="F820">
        <v>815556</v>
      </c>
      <c r="G820" s="1">
        <v>45382</v>
      </c>
      <c r="H820" t="s">
        <v>1632</v>
      </c>
      <c r="I820" t="s">
        <v>213</v>
      </c>
      <c r="J820" s="1">
        <v>45292</v>
      </c>
      <c r="K820">
        <v>297700000</v>
      </c>
    </row>
    <row r="821" spans="5:11" x14ac:dyDescent="0.25">
      <c r="E821" t="s">
        <v>1633</v>
      </c>
      <c r="F821">
        <v>815917</v>
      </c>
      <c r="G821" s="1">
        <v>45380</v>
      </c>
      <c r="H821" t="s">
        <v>1634</v>
      </c>
      <c r="I821" t="s">
        <v>137</v>
      </c>
      <c r="J821" s="1">
        <v>45292</v>
      </c>
      <c r="K821">
        <v>0</v>
      </c>
    </row>
    <row r="822" spans="5:11" x14ac:dyDescent="0.25">
      <c r="E822" t="s">
        <v>1635</v>
      </c>
      <c r="F822">
        <v>816761</v>
      </c>
      <c r="G822" s="1">
        <v>45382</v>
      </c>
      <c r="H822" t="s">
        <v>1636</v>
      </c>
      <c r="I822" t="s">
        <v>36</v>
      </c>
      <c r="J822" s="1">
        <v>45292</v>
      </c>
      <c r="K822">
        <v>20000000</v>
      </c>
    </row>
    <row r="823" spans="5:11" x14ac:dyDescent="0.25">
      <c r="E823" t="s">
        <v>1637</v>
      </c>
      <c r="F823">
        <v>816956</v>
      </c>
      <c r="G823" s="1">
        <v>45382</v>
      </c>
      <c r="H823" t="s">
        <v>1638</v>
      </c>
      <c r="I823" t="s">
        <v>33</v>
      </c>
      <c r="J823" s="1">
        <v>45292</v>
      </c>
      <c r="K823">
        <v>19709000</v>
      </c>
    </row>
    <row r="824" spans="5:11" x14ac:dyDescent="0.25">
      <c r="E824" t="s">
        <v>1639</v>
      </c>
      <c r="F824">
        <v>817720</v>
      </c>
      <c r="G824" s="1">
        <v>45381</v>
      </c>
      <c r="H824" t="s">
        <v>1640</v>
      </c>
      <c r="I824" t="s">
        <v>36</v>
      </c>
      <c r="J824" s="1">
        <v>45291</v>
      </c>
      <c r="K824">
        <v>-18100000</v>
      </c>
    </row>
    <row r="825" spans="5:11" x14ac:dyDescent="0.25">
      <c r="E825" t="s">
        <v>1641</v>
      </c>
      <c r="F825">
        <v>818033</v>
      </c>
      <c r="G825" s="1">
        <v>45382</v>
      </c>
      <c r="H825" t="s">
        <v>1642</v>
      </c>
      <c r="I825" t="s">
        <v>36</v>
      </c>
      <c r="J825" s="1">
        <v>45292</v>
      </c>
      <c r="K825">
        <v>-3160000</v>
      </c>
    </row>
    <row r="826" spans="5:11" x14ac:dyDescent="0.25">
      <c r="E826" t="s">
        <v>1643</v>
      </c>
      <c r="F826">
        <v>818479</v>
      </c>
      <c r="G826" s="1">
        <v>45382</v>
      </c>
      <c r="H826" t="s">
        <v>1644</v>
      </c>
      <c r="I826" t="s">
        <v>172</v>
      </c>
      <c r="J826" s="1">
        <v>45292</v>
      </c>
      <c r="K826">
        <v>18000000</v>
      </c>
    </row>
    <row r="827" spans="5:11" x14ac:dyDescent="0.25">
      <c r="E827" t="s">
        <v>1645</v>
      </c>
      <c r="F827">
        <v>818677</v>
      </c>
      <c r="G827" s="1">
        <v>45382</v>
      </c>
      <c r="H827" t="s">
        <v>1646</v>
      </c>
      <c r="I827" t="s">
        <v>686</v>
      </c>
      <c r="J827" s="1">
        <v>45292</v>
      </c>
      <c r="K827">
        <v>1753000</v>
      </c>
    </row>
    <row r="828" spans="5:11" x14ac:dyDescent="0.25">
      <c r="E828" t="s">
        <v>1647</v>
      </c>
      <c r="F828">
        <v>818686</v>
      </c>
      <c r="G828" s="1">
        <v>45382</v>
      </c>
      <c r="H828" t="s">
        <v>1648</v>
      </c>
      <c r="I828" t="s">
        <v>1511</v>
      </c>
      <c r="J828" s="1">
        <v>45292</v>
      </c>
      <c r="K828">
        <v>-139000000</v>
      </c>
    </row>
    <row r="829" spans="5:11" x14ac:dyDescent="0.25">
      <c r="E829" t="s">
        <v>1649</v>
      </c>
      <c r="F829">
        <v>819793</v>
      </c>
      <c r="G829" s="1">
        <v>45382</v>
      </c>
      <c r="H829" t="s">
        <v>1650</v>
      </c>
      <c r="I829" t="s">
        <v>896</v>
      </c>
      <c r="J829" s="1">
        <v>45292</v>
      </c>
      <c r="K829">
        <v>27291000</v>
      </c>
    </row>
    <row r="830" spans="5:11" x14ac:dyDescent="0.25">
      <c r="E830" t="s">
        <v>1651</v>
      </c>
      <c r="F830">
        <v>820027</v>
      </c>
      <c r="G830" s="1">
        <v>45382</v>
      </c>
      <c r="H830" t="s">
        <v>1652</v>
      </c>
      <c r="I830" t="s">
        <v>213</v>
      </c>
      <c r="J830" s="1">
        <v>45292</v>
      </c>
      <c r="K830">
        <v>990000000</v>
      </c>
    </row>
    <row r="831" spans="5:11" x14ac:dyDescent="0.25">
      <c r="E831" t="s">
        <v>1653</v>
      </c>
      <c r="F831">
        <v>820313</v>
      </c>
      <c r="G831" s="1">
        <v>45382</v>
      </c>
      <c r="H831" t="s">
        <v>1654</v>
      </c>
      <c r="I831" t="s">
        <v>27</v>
      </c>
      <c r="J831" s="1">
        <v>45292</v>
      </c>
      <c r="K831">
        <v>548700000</v>
      </c>
    </row>
    <row r="832" spans="5:11" x14ac:dyDescent="0.25">
      <c r="E832" t="s">
        <v>1655</v>
      </c>
      <c r="F832">
        <v>820318</v>
      </c>
      <c r="G832" s="1">
        <v>45382</v>
      </c>
      <c r="H832" t="s">
        <v>1656</v>
      </c>
      <c r="I832" t="s">
        <v>39</v>
      </c>
      <c r="J832" s="1">
        <v>45292</v>
      </c>
      <c r="K832">
        <v>-13187000</v>
      </c>
    </row>
    <row r="833" spans="5:11" x14ac:dyDescent="0.25">
      <c r="E833" t="s">
        <v>1657</v>
      </c>
      <c r="F833">
        <v>821002</v>
      </c>
      <c r="G833" s="1">
        <v>45412</v>
      </c>
      <c r="H833" t="s">
        <v>1658</v>
      </c>
      <c r="I833" t="s">
        <v>57</v>
      </c>
      <c r="J833" s="1">
        <v>45323</v>
      </c>
      <c r="K833">
        <v>5802000</v>
      </c>
    </row>
    <row r="834" spans="5:11" x14ac:dyDescent="0.25">
      <c r="E834" t="s">
        <v>1659</v>
      </c>
      <c r="F834">
        <v>821026</v>
      </c>
      <c r="G834" s="1">
        <v>45382</v>
      </c>
      <c r="H834" t="s">
        <v>1660</v>
      </c>
      <c r="I834" t="s">
        <v>60</v>
      </c>
      <c r="J834" s="1">
        <v>45292</v>
      </c>
      <c r="K834">
        <v>5581000</v>
      </c>
    </row>
    <row r="835" spans="5:11" x14ac:dyDescent="0.25">
      <c r="E835" t="s">
        <v>1661</v>
      </c>
      <c r="F835">
        <v>821130</v>
      </c>
      <c r="G835" s="1">
        <v>45382</v>
      </c>
      <c r="H835" t="s">
        <v>1662</v>
      </c>
      <c r="I835" t="s">
        <v>19</v>
      </c>
      <c r="J835" s="1">
        <v>45292</v>
      </c>
      <c r="K835">
        <v>18000000</v>
      </c>
    </row>
    <row r="836" spans="5:11" x14ac:dyDescent="0.25">
      <c r="E836" t="s">
        <v>1663</v>
      </c>
      <c r="F836">
        <v>821189</v>
      </c>
      <c r="G836" s="1">
        <v>45382</v>
      </c>
      <c r="H836" t="s">
        <v>1664</v>
      </c>
      <c r="I836" t="s">
        <v>30</v>
      </c>
      <c r="J836" s="1">
        <v>45292</v>
      </c>
      <c r="K836">
        <v>1789000000</v>
      </c>
    </row>
    <row r="837" spans="5:11" x14ac:dyDescent="0.25">
      <c r="E837" t="s">
        <v>1665</v>
      </c>
      <c r="F837">
        <v>821483</v>
      </c>
      <c r="G837" s="1">
        <v>45382</v>
      </c>
      <c r="H837" t="s">
        <v>1666</v>
      </c>
      <c r="I837" t="s">
        <v>30</v>
      </c>
      <c r="J837" s="1">
        <v>45292</v>
      </c>
      <c r="K837">
        <v>-3751000</v>
      </c>
    </row>
    <row r="838" spans="5:11" x14ac:dyDescent="0.25">
      <c r="E838" t="s">
        <v>1667</v>
      </c>
      <c r="F838">
        <v>822370</v>
      </c>
      <c r="G838" s="1">
        <v>45382</v>
      </c>
      <c r="H838" t="s">
        <v>1668</v>
      </c>
      <c r="I838" t="s">
        <v>36</v>
      </c>
      <c r="J838" s="1">
        <v>45292</v>
      </c>
      <c r="K838">
        <v>-4348000</v>
      </c>
    </row>
    <row r="839" spans="5:11" x14ac:dyDescent="0.25">
      <c r="E839" t="s">
        <v>1669</v>
      </c>
      <c r="F839">
        <v>822416</v>
      </c>
      <c r="G839" s="1">
        <v>45382</v>
      </c>
      <c r="H839" t="s">
        <v>1670</v>
      </c>
      <c r="I839" t="s">
        <v>64</v>
      </c>
      <c r="J839" s="1">
        <v>45292</v>
      </c>
      <c r="K839">
        <v>662976000</v>
      </c>
    </row>
    <row r="840" spans="5:11" x14ac:dyDescent="0.25">
      <c r="E840" t="s">
        <v>1671</v>
      </c>
      <c r="F840">
        <v>822663</v>
      </c>
      <c r="G840" s="1">
        <v>45382</v>
      </c>
      <c r="H840" t="s">
        <v>1672</v>
      </c>
      <c r="I840" t="s">
        <v>57</v>
      </c>
      <c r="J840" s="1">
        <v>45292</v>
      </c>
      <c r="K840">
        <v>41048000</v>
      </c>
    </row>
    <row r="841" spans="5:11" x14ac:dyDescent="0.25">
      <c r="E841" t="s">
        <v>10364</v>
      </c>
      <c r="F841">
        <v>822818</v>
      </c>
      <c r="G841" s="1">
        <v>45382</v>
      </c>
      <c r="H841" t="s">
        <v>1673</v>
      </c>
      <c r="I841" t="s">
        <v>24</v>
      </c>
      <c r="J841" s="1">
        <v>45292</v>
      </c>
      <c r="K841">
        <v>69832000</v>
      </c>
    </row>
    <row r="842" spans="5:11" x14ac:dyDescent="0.25">
      <c r="E842" t="s">
        <v>1674</v>
      </c>
      <c r="F842">
        <v>823277</v>
      </c>
      <c r="G842" s="1">
        <v>45351</v>
      </c>
      <c r="H842" t="s">
        <v>1675</v>
      </c>
      <c r="I842" t="s">
        <v>213</v>
      </c>
      <c r="J842" s="1">
        <v>45261</v>
      </c>
      <c r="K842">
        <v>170307000</v>
      </c>
    </row>
    <row r="843" spans="5:11" x14ac:dyDescent="0.25">
      <c r="E843" t="s">
        <v>1676</v>
      </c>
      <c r="F843">
        <v>823768</v>
      </c>
      <c r="G843" s="1">
        <v>45382</v>
      </c>
      <c r="H843" t="s">
        <v>1677</v>
      </c>
      <c r="I843" t="s">
        <v>30</v>
      </c>
      <c r="J843" s="1">
        <v>45292</v>
      </c>
      <c r="K843">
        <v>708000000</v>
      </c>
    </row>
    <row r="844" spans="5:11" x14ac:dyDescent="0.25">
      <c r="E844" t="s">
        <v>1678</v>
      </c>
      <c r="F844">
        <v>824142</v>
      </c>
      <c r="G844" s="1">
        <v>45382</v>
      </c>
      <c r="H844" t="s">
        <v>1679</v>
      </c>
      <c r="I844" t="s">
        <v>277</v>
      </c>
      <c r="J844" s="1">
        <v>45292</v>
      </c>
      <c r="K844">
        <v>39016000</v>
      </c>
    </row>
    <row r="845" spans="5:11" x14ac:dyDescent="0.25">
      <c r="E845" t="s">
        <v>1680</v>
      </c>
      <c r="F845">
        <v>824410</v>
      </c>
      <c r="G845" s="1">
        <v>45382</v>
      </c>
      <c r="H845" t="s">
        <v>1681</v>
      </c>
      <c r="I845" t="s">
        <v>299</v>
      </c>
      <c r="J845" s="1">
        <v>45292</v>
      </c>
      <c r="K845">
        <v>20372000</v>
      </c>
    </row>
    <row r="846" spans="5:11" x14ac:dyDescent="0.25">
      <c r="E846" t="s">
        <v>1682</v>
      </c>
      <c r="F846">
        <v>825313</v>
      </c>
      <c r="G846" s="1">
        <v>45382</v>
      </c>
      <c r="H846" t="s">
        <v>1683</v>
      </c>
      <c r="I846" t="s">
        <v>69</v>
      </c>
      <c r="J846" s="1">
        <v>45292</v>
      </c>
      <c r="K846">
        <v>77222000</v>
      </c>
    </row>
    <row r="847" spans="5:11" x14ac:dyDescent="0.25">
      <c r="E847" t="s">
        <v>1684</v>
      </c>
      <c r="F847">
        <v>825324</v>
      </c>
      <c r="G847" s="1">
        <v>45377</v>
      </c>
      <c r="H847" t="s">
        <v>1685</v>
      </c>
      <c r="I847" t="s">
        <v>92</v>
      </c>
      <c r="J847" s="1">
        <v>45287</v>
      </c>
      <c r="K847">
        <v>618000</v>
      </c>
    </row>
    <row r="848" spans="5:11" x14ac:dyDescent="0.25">
      <c r="E848" t="s">
        <v>1686</v>
      </c>
      <c r="F848">
        <v>825788</v>
      </c>
      <c r="G848" s="1">
        <v>45382</v>
      </c>
      <c r="H848" t="s">
        <v>1687</v>
      </c>
      <c r="I848" t="s">
        <v>106</v>
      </c>
      <c r="J848" s="1">
        <v>45292</v>
      </c>
      <c r="K848">
        <v>-4605</v>
      </c>
    </row>
    <row r="849" spans="5:11" x14ac:dyDescent="0.25">
      <c r="E849" t="s">
        <v>1688</v>
      </c>
      <c r="F849">
        <v>826154</v>
      </c>
      <c r="G849" s="1">
        <v>45382</v>
      </c>
      <c r="H849" t="s">
        <v>1689</v>
      </c>
      <c r="I849" t="s">
        <v>39</v>
      </c>
      <c r="J849" s="1">
        <v>45292</v>
      </c>
      <c r="K849">
        <v>8531000</v>
      </c>
    </row>
    <row r="850" spans="5:11" x14ac:dyDescent="0.25">
      <c r="E850" t="s">
        <v>1690</v>
      </c>
      <c r="F850">
        <v>826675</v>
      </c>
      <c r="G850" s="1">
        <v>45382</v>
      </c>
      <c r="H850" t="s">
        <v>1691</v>
      </c>
      <c r="I850" t="s">
        <v>123</v>
      </c>
      <c r="J850" s="1">
        <v>45292</v>
      </c>
      <c r="K850">
        <v>40118000</v>
      </c>
    </row>
    <row r="851" spans="5:11" x14ac:dyDescent="0.25">
      <c r="E851" t="s">
        <v>1692</v>
      </c>
      <c r="F851">
        <v>827187</v>
      </c>
      <c r="G851" s="1">
        <v>45381</v>
      </c>
      <c r="H851" t="s">
        <v>1693</v>
      </c>
      <c r="I851" t="s">
        <v>213</v>
      </c>
      <c r="J851" s="1">
        <v>45291</v>
      </c>
      <c r="K851">
        <v>-7482000</v>
      </c>
    </row>
    <row r="852" spans="5:11" x14ac:dyDescent="0.25">
      <c r="E852" t="s">
        <v>1694</v>
      </c>
      <c r="F852">
        <v>827876</v>
      </c>
      <c r="G852" s="1">
        <v>45382</v>
      </c>
      <c r="H852" t="s">
        <v>1695</v>
      </c>
      <c r="I852" t="s">
        <v>142</v>
      </c>
      <c r="J852" s="1">
        <v>45292</v>
      </c>
      <c r="K852">
        <v>126735000</v>
      </c>
    </row>
    <row r="853" spans="5:11" x14ac:dyDescent="0.25">
      <c r="E853" t="s">
        <v>1696</v>
      </c>
      <c r="F853">
        <v>828146</v>
      </c>
      <c r="G853" s="1">
        <v>45382</v>
      </c>
      <c r="H853" t="s">
        <v>1697</v>
      </c>
      <c r="I853" t="s">
        <v>36</v>
      </c>
      <c r="J853" s="1">
        <v>45292</v>
      </c>
      <c r="K853">
        <v>-741000</v>
      </c>
    </row>
    <row r="854" spans="5:11" x14ac:dyDescent="0.25">
      <c r="E854" t="s">
        <v>1698</v>
      </c>
      <c r="F854">
        <v>828530</v>
      </c>
      <c r="G854" s="1">
        <v>45382</v>
      </c>
      <c r="H854" t="s">
        <v>1699</v>
      </c>
      <c r="I854" t="s">
        <v>33</v>
      </c>
      <c r="J854" s="1">
        <v>45292</v>
      </c>
      <c r="K854">
        <v>0</v>
      </c>
    </row>
    <row r="855" spans="5:11" x14ac:dyDescent="0.25">
      <c r="E855" t="s">
        <v>1700</v>
      </c>
      <c r="F855">
        <v>828944</v>
      </c>
      <c r="G855" s="1">
        <v>45382</v>
      </c>
      <c r="H855" t="s">
        <v>1701</v>
      </c>
      <c r="I855" t="s">
        <v>186</v>
      </c>
      <c r="J855" s="1">
        <v>45292</v>
      </c>
      <c r="K855">
        <v>65761000</v>
      </c>
    </row>
    <row r="856" spans="5:11" x14ac:dyDescent="0.25">
      <c r="E856" t="s">
        <v>1702</v>
      </c>
      <c r="F856">
        <v>829224</v>
      </c>
      <c r="G856" s="1">
        <v>45382</v>
      </c>
      <c r="H856" t="s">
        <v>1703</v>
      </c>
      <c r="I856" t="s">
        <v>504</v>
      </c>
      <c r="J856" s="1">
        <v>45292</v>
      </c>
      <c r="K856">
        <v>772400000</v>
      </c>
    </row>
    <row r="857" spans="5:11" x14ac:dyDescent="0.25">
      <c r="E857" t="s">
        <v>1704</v>
      </c>
      <c r="F857">
        <v>829323</v>
      </c>
      <c r="G857" s="1">
        <v>45382</v>
      </c>
      <c r="H857" t="s">
        <v>1705</v>
      </c>
      <c r="I857" t="s">
        <v>251</v>
      </c>
      <c r="J857" s="1">
        <v>45292</v>
      </c>
      <c r="K857">
        <v>-2111658</v>
      </c>
    </row>
    <row r="858" spans="5:11" x14ac:dyDescent="0.25">
      <c r="E858" t="s">
        <v>1706</v>
      </c>
      <c r="F858">
        <v>830616</v>
      </c>
      <c r="G858" s="1">
        <v>45382</v>
      </c>
      <c r="H858" t="s">
        <v>1707</v>
      </c>
      <c r="I858" t="s">
        <v>60</v>
      </c>
      <c r="J858" s="1">
        <v>45292</v>
      </c>
      <c r="K858">
        <v>545324</v>
      </c>
    </row>
    <row r="859" spans="5:11" x14ac:dyDescent="0.25">
      <c r="E859" t="s">
        <v>1708</v>
      </c>
      <c r="F859">
        <v>830656</v>
      </c>
      <c r="G859" s="1">
        <v>45382</v>
      </c>
      <c r="H859" t="s">
        <v>1709</v>
      </c>
      <c r="I859" t="s">
        <v>24</v>
      </c>
      <c r="J859" s="1">
        <v>45292</v>
      </c>
      <c r="K859">
        <v>-8074423</v>
      </c>
    </row>
    <row r="860" spans="5:11" x14ac:dyDescent="0.25">
      <c r="E860" t="s">
        <v>1710</v>
      </c>
      <c r="F860">
        <v>831001</v>
      </c>
      <c r="G860" s="1">
        <v>45382</v>
      </c>
      <c r="H860" t="s">
        <v>1711</v>
      </c>
      <c r="I860" t="s">
        <v>57</v>
      </c>
      <c r="J860" s="1">
        <v>45292</v>
      </c>
      <c r="K860">
        <v>3371000000</v>
      </c>
    </row>
    <row r="861" spans="5:11" x14ac:dyDescent="0.25">
      <c r="E861" t="s">
        <v>1712</v>
      </c>
      <c r="F861">
        <v>831378</v>
      </c>
      <c r="G861" s="1">
        <v>45412</v>
      </c>
      <c r="H861" t="s">
        <v>1713</v>
      </c>
      <c r="I861" t="s">
        <v>142</v>
      </c>
      <c r="J861" s="1">
        <v>45323</v>
      </c>
      <c r="K861">
        <v>-9290</v>
      </c>
    </row>
    <row r="862" spans="5:11" x14ac:dyDescent="0.25">
      <c r="E862" t="s">
        <v>1714</v>
      </c>
      <c r="F862">
        <v>831609</v>
      </c>
      <c r="G862" s="1">
        <v>45382</v>
      </c>
      <c r="H862" t="s">
        <v>1715</v>
      </c>
      <c r="I862" t="s">
        <v>1716</v>
      </c>
      <c r="J862" s="1">
        <v>45323</v>
      </c>
      <c r="K862">
        <v>-74404</v>
      </c>
    </row>
    <row r="863" spans="5:11" x14ac:dyDescent="0.25">
      <c r="E863" t="s">
        <v>1717</v>
      </c>
      <c r="F863">
        <v>832101</v>
      </c>
      <c r="G863" s="1">
        <v>45382</v>
      </c>
      <c r="H863" t="s">
        <v>1718</v>
      </c>
      <c r="I863" t="s">
        <v>19</v>
      </c>
      <c r="J863" s="1">
        <v>45292</v>
      </c>
      <c r="K863">
        <v>121400000</v>
      </c>
    </row>
    <row r="864" spans="5:11" x14ac:dyDescent="0.25">
      <c r="E864" t="s">
        <v>1719</v>
      </c>
      <c r="F864">
        <v>832480</v>
      </c>
      <c r="G864" s="1">
        <v>45382</v>
      </c>
      <c r="H864" t="s">
        <v>1720</v>
      </c>
      <c r="I864" t="s">
        <v>190</v>
      </c>
      <c r="J864" s="1">
        <v>45292</v>
      </c>
      <c r="K864">
        <v>9149506</v>
      </c>
    </row>
    <row r="865" spans="5:11" x14ac:dyDescent="0.25">
      <c r="E865" t="s">
        <v>1721</v>
      </c>
      <c r="F865">
        <v>832489</v>
      </c>
      <c r="G865" s="1">
        <v>45382</v>
      </c>
      <c r="H865" t="s">
        <v>1722</v>
      </c>
      <c r="I865" t="s">
        <v>64</v>
      </c>
      <c r="J865" s="1">
        <v>45292</v>
      </c>
      <c r="K865">
        <v>-5850132</v>
      </c>
    </row>
    <row r="866" spans="5:11" x14ac:dyDescent="0.25">
      <c r="E866" t="s">
        <v>1723</v>
      </c>
      <c r="F866">
        <v>832988</v>
      </c>
      <c r="G866" s="1">
        <v>45416</v>
      </c>
      <c r="H866" t="s">
        <v>1724</v>
      </c>
      <c r="I866" t="s">
        <v>919</v>
      </c>
      <c r="J866" s="1">
        <v>45326</v>
      </c>
      <c r="K866">
        <v>52100000</v>
      </c>
    </row>
    <row r="867" spans="5:11" x14ac:dyDescent="0.25">
      <c r="E867" t="s">
        <v>10365</v>
      </c>
      <c r="F867">
        <v>833079</v>
      </c>
      <c r="G867" s="1">
        <v>45382</v>
      </c>
      <c r="H867" t="s">
        <v>1725</v>
      </c>
      <c r="I867" t="s">
        <v>113</v>
      </c>
      <c r="J867" s="1">
        <v>45292</v>
      </c>
      <c r="K867">
        <v>186016000</v>
      </c>
    </row>
    <row r="868" spans="5:11" x14ac:dyDescent="0.25">
      <c r="E868" t="s">
        <v>1726</v>
      </c>
      <c r="F868">
        <v>833444</v>
      </c>
      <c r="G868" s="1">
        <v>45382</v>
      </c>
      <c r="H868" t="s">
        <v>1727</v>
      </c>
      <c r="I868" t="s">
        <v>927</v>
      </c>
      <c r="J868" s="1">
        <v>45292</v>
      </c>
      <c r="K868">
        <v>-277000000</v>
      </c>
    </row>
    <row r="869" spans="5:11" x14ac:dyDescent="0.25">
      <c r="E869" t="s">
        <v>1728</v>
      </c>
      <c r="F869">
        <v>833640</v>
      </c>
      <c r="G869" s="1">
        <v>45382</v>
      </c>
      <c r="H869" t="s">
        <v>1729</v>
      </c>
      <c r="I869" t="s">
        <v>36</v>
      </c>
      <c r="J869" s="1">
        <v>45292</v>
      </c>
      <c r="K869">
        <v>3954000</v>
      </c>
    </row>
    <row r="870" spans="5:11" x14ac:dyDescent="0.25">
      <c r="E870" t="s">
        <v>1730</v>
      </c>
      <c r="F870">
        <v>834071</v>
      </c>
      <c r="G870" s="1">
        <v>45382</v>
      </c>
      <c r="H870" t="s">
        <v>1731</v>
      </c>
      <c r="I870" t="s">
        <v>30</v>
      </c>
      <c r="J870" s="1">
        <v>45292</v>
      </c>
      <c r="K870">
        <v>329000000</v>
      </c>
    </row>
    <row r="871" spans="5:11" x14ac:dyDescent="0.25">
      <c r="E871" t="s">
        <v>1732</v>
      </c>
      <c r="F871">
        <v>834365</v>
      </c>
      <c r="G871" s="1">
        <v>45382</v>
      </c>
      <c r="H871" t="s">
        <v>1733</v>
      </c>
      <c r="I871" t="s">
        <v>504</v>
      </c>
      <c r="J871" s="1">
        <v>45292</v>
      </c>
      <c r="K871">
        <v>-10221000</v>
      </c>
    </row>
    <row r="872" spans="5:11" x14ac:dyDescent="0.25">
      <c r="E872" t="s">
        <v>1734</v>
      </c>
      <c r="F872">
        <v>835011</v>
      </c>
      <c r="G872" s="1">
        <v>45382</v>
      </c>
      <c r="H872" t="s">
        <v>1735</v>
      </c>
      <c r="I872" t="s">
        <v>106</v>
      </c>
      <c r="J872" s="1">
        <v>45292</v>
      </c>
      <c r="K872">
        <v>20635000</v>
      </c>
    </row>
    <row r="873" spans="5:11" x14ac:dyDescent="0.25">
      <c r="E873" t="s">
        <v>1736</v>
      </c>
      <c r="F873">
        <v>835324</v>
      </c>
      <c r="G873" s="1">
        <v>45382</v>
      </c>
      <c r="H873" t="s">
        <v>1737</v>
      </c>
      <c r="I873" t="s">
        <v>190</v>
      </c>
      <c r="J873" s="1">
        <v>45292</v>
      </c>
      <c r="K873">
        <v>25887000</v>
      </c>
    </row>
    <row r="874" spans="5:11" x14ac:dyDescent="0.25">
      <c r="E874" t="s">
        <v>1738</v>
      </c>
      <c r="F874">
        <v>835357</v>
      </c>
      <c r="G874" s="1">
        <v>45382</v>
      </c>
      <c r="H874" t="s">
        <v>1739</v>
      </c>
      <c r="I874" t="s">
        <v>172</v>
      </c>
      <c r="J874" s="1">
        <v>45292</v>
      </c>
      <c r="K874">
        <v>-83000000</v>
      </c>
    </row>
    <row r="875" spans="5:11" x14ac:dyDescent="0.25">
      <c r="E875" t="s">
        <v>10366</v>
      </c>
      <c r="F875">
        <v>835662</v>
      </c>
      <c r="G875" s="1">
        <v>45382</v>
      </c>
      <c r="H875" t="s">
        <v>1740</v>
      </c>
      <c r="I875" t="s">
        <v>1164</v>
      </c>
      <c r="J875" s="1">
        <v>45292</v>
      </c>
      <c r="K875">
        <v>-603600</v>
      </c>
    </row>
    <row r="876" spans="5:11" x14ac:dyDescent="0.25">
      <c r="E876" t="s">
        <v>1741</v>
      </c>
      <c r="F876">
        <v>836147</v>
      </c>
      <c r="G876" s="1">
        <v>45382</v>
      </c>
      <c r="H876" t="s">
        <v>1742</v>
      </c>
      <c r="I876" t="s">
        <v>60</v>
      </c>
      <c r="J876" s="1">
        <v>45292</v>
      </c>
      <c r="K876">
        <v>4167000</v>
      </c>
    </row>
    <row r="877" spans="5:11" x14ac:dyDescent="0.25">
      <c r="E877" t="s">
        <v>1743</v>
      </c>
      <c r="F877">
        <v>836157</v>
      </c>
      <c r="G877" s="1">
        <v>45351</v>
      </c>
      <c r="H877" t="s">
        <v>1744</v>
      </c>
      <c r="I877" t="s">
        <v>763</v>
      </c>
      <c r="J877" s="1">
        <v>45261</v>
      </c>
      <c r="K877">
        <v>18123000</v>
      </c>
    </row>
    <row r="878" spans="5:11" x14ac:dyDescent="0.25">
      <c r="E878" t="s">
        <v>1745</v>
      </c>
      <c r="F878">
        <v>836564</v>
      </c>
      <c r="G878" s="1">
        <v>45382</v>
      </c>
      <c r="H878" t="s">
        <v>1746</v>
      </c>
      <c r="I878" t="s">
        <v>36</v>
      </c>
      <c r="J878" s="1">
        <v>45292</v>
      </c>
      <c r="K878">
        <v>-288492</v>
      </c>
    </row>
    <row r="879" spans="5:11" x14ac:dyDescent="0.25">
      <c r="E879" t="s">
        <v>1747</v>
      </c>
      <c r="F879">
        <v>836690</v>
      </c>
      <c r="G879" s="1">
        <v>45382</v>
      </c>
      <c r="H879" t="s">
        <v>1748</v>
      </c>
      <c r="I879" t="s">
        <v>39</v>
      </c>
      <c r="J879" s="1">
        <v>45292</v>
      </c>
      <c r="K879">
        <v>1208316</v>
      </c>
    </row>
    <row r="880" spans="5:11" x14ac:dyDescent="0.25">
      <c r="E880" t="s">
        <v>1749</v>
      </c>
      <c r="F880">
        <v>837010</v>
      </c>
      <c r="G880" s="1">
        <v>45382</v>
      </c>
      <c r="H880" t="s">
        <v>1750</v>
      </c>
      <c r="I880" t="s">
        <v>27</v>
      </c>
      <c r="J880" s="1">
        <v>45292</v>
      </c>
      <c r="K880">
        <v>160000000</v>
      </c>
    </row>
    <row r="881" spans="5:11" x14ac:dyDescent="0.25">
      <c r="E881" t="s">
        <v>1751</v>
      </c>
      <c r="F881">
        <v>837465</v>
      </c>
      <c r="G881" s="1">
        <v>45382</v>
      </c>
      <c r="H881" t="s">
        <v>1752</v>
      </c>
      <c r="I881" t="s">
        <v>36</v>
      </c>
      <c r="J881" s="1">
        <v>45292</v>
      </c>
      <c r="K881">
        <v>6500000</v>
      </c>
    </row>
    <row r="882" spans="5:11" x14ac:dyDescent="0.25">
      <c r="E882" t="s">
        <v>1753</v>
      </c>
      <c r="F882">
        <v>838875</v>
      </c>
      <c r="G882" s="1">
        <v>45382</v>
      </c>
      <c r="H882" t="s">
        <v>1754</v>
      </c>
      <c r="I882" t="s">
        <v>963</v>
      </c>
      <c r="J882" s="1">
        <v>45292</v>
      </c>
      <c r="K882">
        <v>-521805</v>
      </c>
    </row>
    <row r="883" spans="5:11" x14ac:dyDescent="0.25">
      <c r="E883" t="s">
        <v>1755</v>
      </c>
      <c r="F883">
        <v>839087</v>
      </c>
      <c r="G883" s="1">
        <v>45382</v>
      </c>
      <c r="H883" t="s">
        <v>1756</v>
      </c>
      <c r="I883" t="s">
        <v>57</v>
      </c>
      <c r="J883" s="1">
        <v>45292</v>
      </c>
      <c r="K883">
        <v>-1173000</v>
      </c>
    </row>
    <row r="884" spans="5:11" x14ac:dyDescent="0.25">
      <c r="E884" t="s">
        <v>1757</v>
      </c>
      <c r="F884">
        <v>839470</v>
      </c>
      <c r="G884" s="1">
        <v>45382</v>
      </c>
      <c r="H884" t="s">
        <v>1758</v>
      </c>
      <c r="I884" t="s">
        <v>92</v>
      </c>
      <c r="J884" s="1">
        <v>45292</v>
      </c>
      <c r="K884">
        <v>-2898000</v>
      </c>
    </row>
    <row r="885" spans="5:11" x14ac:dyDescent="0.25">
      <c r="E885" t="s">
        <v>10367</v>
      </c>
      <c r="F885">
        <v>840489</v>
      </c>
      <c r="G885" s="1">
        <v>45382</v>
      </c>
      <c r="H885" t="s">
        <v>1759</v>
      </c>
      <c r="I885" t="s">
        <v>30</v>
      </c>
      <c r="J885" s="1">
        <v>45292</v>
      </c>
      <c r="K885">
        <v>61368000</v>
      </c>
    </row>
    <row r="886" spans="5:11" x14ac:dyDescent="0.25">
      <c r="E886" t="s">
        <v>1760</v>
      </c>
      <c r="F886">
        <v>840715</v>
      </c>
      <c r="G886" s="1">
        <v>45382</v>
      </c>
      <c r="H886" t="s">
        <v>1761</v>
      </c>
      <c r="I886" t="s">
        <v>406</v>
      </c>
      <c r="J886" s="1">
        <v>45292</v>
      </c>
      <c r="K886">
        <v>-1898000</v>
      </c>
    </row>
    <row r="887" spans="5:11" x14ac:dyDescent="0.25">
      <c r="E887" t="s">
        <v>1762</v>
      </c>
      <c r="F887">
        <v>842023</v>
      </c>
      <c r="G887" s="1">
        <v>45382</v>
      </c>
      <c r="H887" t="s">
        <v>1763</v>
      </c>
      <c r="I887" t="s">
        <v>213</v>
      </c>
      <c r="J887" s="1">
        <v>45292</v>
      </c>
      <c r="K887">
        <v>49059000</v>
      </c>
    </row>
    <row r="888" spans="5:11" x14ac:dyDescent="0.25">
      <c r="E888" t="s">
        <v>1764</v>
      </c>
      <c r="F888">
        <v>842162</v>
      </c>
      <c r="G888" s="1">
        <v>45381</v>
      </c>
      <c r="H888" t="s">
        <v>1765</v>
      </c>
      <c r="I888" t="s">
        <v>329</v>
      </c>
      <c r="J888" s="1">
        <v>45292</v>
      </c>
      <c r="K888">
        <v>109600000</v>
      </c>
    </row>
    <row r="889" spans="5:11" x14ac:dyDescent="0.25">
      <c r="E889" t="s">
        <v>1766</v>
      </c>
      <c r="F889">
        <v>842517</v>
      </c>
      <c r="G889" s="1">
        <v>45382</v>
      </c>
      <c r="H889" t="s">
        <v>1767</v>
      </c>
      <c r="I889" t="s">
        <v>329</v>
      </c>
      <c r="J889" s="1">
        <v>45292</v>
      </c>
      <c r="K889">
        <v>3131000</v>
      </c>
    </row>
    <row r="890" spans="5:11" x14ac:dyDescent="0.25">
      <c r="E890" t="s">
        <v>1768</v>
      </c>
      <c r="F890">
        <v>842633</v>
      </c>
      <c r="G890" s="1">
        <v>45382</v>
      </c>
      <c r="H890" t="s">
        <v>1769</v>
      </c>
      <c r="I890" t="s">
        <v>329</v>
      </c>
      <c r="J890" s="1">
        <v>45292</v>
      </c>
      <c r="K890">
        <v>5140000</v>
      </c>
    </row>
    <row r="891" spans="5:11" x14ac:dyDescent="0.25">
      <c r="E891" t="s">
        <v>1770</v>
      </c>
      <c r="F891">
        <v>842717</v>
      </c>
      <c r="G891" s="1">
        <v>45382</v>
      </c>
      <c r="H891" t="s">
        <v>1771</v>
      </c>
      <c r="I891" t="s">
        <v>123</v>
      </c>
      <c r="J891" s="1">
        <v>45292</v>
      </c>
      <c r="K891">
        <v>-2893000</v>
      </c>
    </row>
    <row r="892" spans="5:11" x14ac:dyDescent="0.25">
      <c r="E892" t="s">
        <v>1772</v>
      </c>
      <c r="F892">
        <v>843006</v>
      </c>
      <c r="G892" s="1">
        <v>45382</v>
      </c>
      <c r="H892" t="s">
        <v>1773</v>
      </c>
      <c r="I892" t="s">
        <v>172</v>
      </c>
      <c r="J892" s="1">
        <v>45292</v>
      </c>
      <c r="K892">
        <v>-139000</v>
      </c>
    </row>
    <row r="893" spans="5:11" x14ac:dyDescent="0.25">
      <c r="E893" t="s">
        <v>1774</v>
      </c>
      <c r="F893">
        <v>844059</v>
      </c>
      <c r="G893" s="1">
        <v>45382</v>
      </c>
      <c r="H893" t="s">
        <v>1775</v>
      </c>
      <c r="I893" t="s">
        <v>33</v>
      </c>
      <c r="J893" s="1">
        <v>45292</v>
      </c>
      <c r="K893">
        <v>1301000</v>
      </c>
    </row>
    <row r="894" spans="5:11" x14ac:dyDescent="0.25">
      <c r="E894" t="s">
        <v>1776</v>
      </c>
      <c r="F894">
        <v>844856</v>
      </c>
      <c r="G894" s="1">
        <v>45382</v>
      </c>
      <c r="H894" t="s">
        <v>1777</v>
      </c>
      <c r="I894" t="s">
        <v>33</v>
      </c>
      <c r="J894" s="1">
        <v>45292</v>
      </c>
      <c r="K894">
        <v>-2861147</v>
      </c>
    </row>
    <row r="895" spans="5:11" x14ac:dyDescent="0.25">
      <c r="E895" t="s">
        <v>1778</v>
      </c>
      <c r="F895">
        <v>844887</v>
      </c>
      <c r="G895" s="1">
        <v>45382</v>
      </c>
      <c r="H895" t="s">
        <v>1779</v>
      </c>
      <c r="I895" t="s">
        <v>123</v>
      </c>
      <c r="J895" s="1">
        <v>45292</v>
      </c>
      <c r="K895">
        <v>-471447</v>
      </c>
    </row>
    <row r="896" spans="5:11" x14ac:dyDescent="0.25">
      <c r="E896" t="s">
        <v>1780</v>
      </c>
      <c r="F896">
        <v>844965</v>
      </c>
      <c r="G896" s="1">
        <v>45382</v>
      </c>
      <c r="H896" t="s">
        <v>1781</v>
      </c>
      <c r="I896" t="s">
        <v>30</v>
      </c>
      <c r="J896" s="1">
        <v>45292</v>
      </c>
      <c r="K896">
        <v>915000</v>
      </c>
    </row>
    <row r="897" spans="5:11" x14ac:dyDescent="0.25">
      <c r="E897" t="s">
        <v>1782</v>
      </c>
      <c r="F897">
        <v>845385</v>
      </c>
      <c r="G897" s="1">
        <v>45382</v>
      </c>
      <c r="H897" t="s">
        <v>1783</v>
      </c>
      <c r="I897" t="s">
        <v>24</v>
      </c>
      <c r="J897" s="1">
        <v>45292</v>
      </c>
      <c r="K897">
        <v>-6633950</v>
      </c>
    </row>
    <row r="898" spans="5:11" x14ac:dyDescent="0.25">
      <c r="E898" t="s">
        <v>1784</v>
      </c>
      <c r="F898">
        <v>845698</v>
      </c>
      <c r="G898" s="1">
        <v>45382</v>
      </c>
      <c r="H898" t="s">
        <v>1785</v>
      </c>
      <c r="I898" t="s">
        <v>19</v>
      </c>
      <c r="J898" s="1">
        <v>45292</v>
      </c>
      <c r="K898">
        <v>3001439</v>
      </c>
    </row>
    <row r="899" spans="5:11" x14ac:dyDescent="0.25">
      <c r="E899" t="s">
        <v>1786</v>
      </c>
      <c r="F899">
        <v>845819</v>
      </c>
      <c r="G899" s="1">
        <v>45382</v>
      </c>
      <c r="H899" t="s">
        <v>1787</v>
      </c>
      <c r="I899" t="s">
        <v>30</v>
      </c>
      <c r="J899" s="1">
        <v>45292</v>
      </c>
      <c r="K899">
        <v>8083084</v>
      </c>
    </row>
    <row r="900" spans="5:11" x14ac:dyDescent="0.25">
      <c r="E900" t="s">
        <v>1788</v>
      </c>
      <c r="F900">
        <v>845877</v>
      </c>
      <c r="G900" s="1">
        <v>45382</v>
      </c>
      <c r="H900" t="s">
        <v>1789</v>
      </c>
      <c r="I900" t="s">
        <v>899</v>
      </c>
      <c r="J900" s="1">
        <v>45292</v>
      </c>
      <c r="K900">
        <v>53746000</v>
      </c>
    </row>
    <row r="901" spans="5:11" x14ac:dyDescent="0.25">
      <c r="E901" t="s">
        <v>10368</v>
      </c>
      <c r="F901">
        <v>846377</v>
      </c>
      <c r="G901" s="1">
        <v>45382</v>
      </c>
      <c r="H901" t="s">
        <v>10369</v>
      </c>
      <c r="I901" t="s">
        <v>33</v>
      </c>
      <c r="J901" s="1">
        <v>45292</v>
      </c>
      <c r="K901">
        <v>-140490</v>
      </c>
    </row>
    <row r="902" spans="5:11" x14ac:dyDescent="0.25">
      <c r="E902" t="s">
        <v>1790</v>
      </c>
      <c r="F902">
        <v>846475</v>
      </c>
      <c r="G902" s="1">
        <v>45382</v>
      </c>
      <c r="H902" t="s">
        <v>1791</v>
      </c>
      <c r="I902" t="s">
        <v>1792</v>
      </c>
      <c r="J902" s="1">
        <v>45292</v>
      </c>
      <c r="K902">
        <v>10000</v>
      </c>
    </row>
    <row r="903" spans="5:11" x14ac:dyDescent="0.25">
      <c r="E903" t="s">
        <v>1793</v>
      </c>
      <c r="F903">
        <v>846617</v>
      </c>
      <c r="G903" s="1">
        <v>45382</v>
      </c>
      <c r="H903" t="s">
        <v>1794</v>
      </c>
      <c r="I903" t="s">
        <v>57</v>
      </c>
      <c r="J903" s="1">
        <v>45292</v>
      </c>
      <c r="K903">
        <v>17691000</v>
      </c>
    </row>
    <row r="904" spans="5:11" x14ac:dyDescent="0.25">
      <c r="E904" t="s">
        <v>1795</v>
      </c>
      <c r="F904">
        <v>846901</v>
      </c>
      <c r="G904" s="1">
        <v>45382</v>
      </c>
      <c r="H904" t="s">
        <v>1796</v>
      </c>
      <c r="I904" t="s">
        <v>46</v>
      </c>
      <c r="J904" s="1">
        <v>45292</v>
      </c>
      <c r="K904">
        <v>19795000</v>
      </c>
    </row>
    <row r="905" spans="5:11" x14ac:dyDescent="0.25">
      <c r="E905" t="s">
        <v>1797</v>
      </c>
      <c r="F905">
        <v>846913</v>
      </c>
      <c r="G905" s="1">
        <v>45382</v>
      </c>
      <c r="H905" t="s">
        <v>1798</v>
      </c>
      <c r="I905" t="s">
        <v>19</v>
      </c>
      <c r="J905" s="1">
        <v>45292</v>
      </c>
      <c r="K905">
        <v>281000</v>
      </c>
    </row>
    <row r="906" spans="5:11" x14ac:dyDescent="0.25">
      <c r="E906" t="s">
        <v>1799</v>
      </c>
      <c r="F906">
        <v>847942</v>
      </c>
      <c r="G906" s="1">
        <v>45382</v>
      </c>
      <c r="H906" t="s">
        <v>1800</v>
      </c>
      <c r="I906" t="s">
        <v>46</v>
      </c>
      <c r="J906" s="1">
        <v>45292</v>
      </c>
      <c r="K906">
        <v>-43450</v>
      </c>
    </row>
    <row r="907" spans="5:11" x14ac:dyDescent="0.25">
      <c r="E907" t="s">
        <v>1801</v>
      </c>
      <c r="F907">
        <v>849145</v>
      </c>
      <c r="G907" s="1">
        <v>45382</v>
      </c>
      <c r="H907" t="s">
        <v>1802</v>
      </c>
      <c r="I907" t="s">
        <v>36</v>
      </c>
      <c r="J907" s="1">
        <v>45292</v>
      </c>
      <c r="K907">
        <v>1799000</v>
      </c>
    </row>
    <row r="908" spans="5:11" x14ac:dyDescent="0.25">
      <c r="E908" t="s">
        <v>1803</v>
      </c>
      <c r="F908">
        <v>849146</v>
      </c>
      <c r="G908" s="1">
        <v>45382</v>
      </c>
      <c r="H908" t="s">
        <v>1804</v>
      </c>
      <c r="I908" t="s">
        <v>406</v>
      </c>
      <c r="J908" s="1">
        <v>45292</v>
      </c>
      <c r="K908">
        <v>1659000</v>
      </c>
    </row>
    <row r="909" spans="5:11" x14ac:dyDescent="0.25">
      <c r="E909" t="s">
        <v>1805</v>
      </c>
      <c r="F909">
        <v>849395</v>
      </c>
      <c r="G909" s="1">
        <v>45382</v>
      </c>
      <c r="H909" t="s">
        <v>1806</v>
      </c>
      <c r="I909" t="s">
        <v>927</v>
      </c>
      <c r="J909" s="1">
        <v>45292</v>
      </c>
      <c r="K909">
        <v>116000000</v>
      </c>
    </row>
    <row r="910" spans="5:11" x14ac:dyDescent="0.25">
      <c r="E910" t="s">
        <v>1807</v>
      </c>
      <c r="F910">
        <v>849869</v>
      </c>
      <c r="G910" s="1">
        <v>45382</v>
      </c>
      <c r="H910" t="s">
        <v>1808</v>
      </c>
      <c r="I910" t="s">
        <v>27</v>
      </c>
      <c r="J910" s="1">
        <v>45292</v>
      </c>
      <c r="K910">
        <v>55164000</v>
      </c>
    </row>
    <row r="911" spans="5:11" x14ac:dyDescent="0.25">
      <c r="E911" t="s">
        <v>1809</v>
      </c>
      <c r="F911">
        <v>850141</v>
      </c>
      <c r="G911" s="1">
        <v>45382</v>
      </c>
      <c r="H911" t="s">
        <v>1810</v>
      </c>
      <c r="I911" t="s">
        <v>19</v>
      </c>
      <c r="J911" s="1">
        <v>45292</v>
      </c>
      <c r="K911">
        <v>26500000</v>
      </c>
    </row>
    <row r="912" spans="5:11" x14ac:dyDescent="0.25">
      <c r="E912" t="s">
        <v>1811</v>
      </c>
      <c r="F912">
        <v>850209</v>
      </c>
      <c r="G912" s="1">
        <v>45416</v>
      </c>
      <c r="H912" t="s">
        <v>1812</v>
      </c>
      <c r="I912" t="s">
        <v>57</v>
      </c>
      <c r="J912" s="1">
        <v>45326</v>
      </c>
      <c r="K912">
        <v>8000000</v>
      </c>
    </row>
    <row r="913" spans="5:11" x14ac:dyDescent="0.25">
      <c r="E913" t="s">
        <v>1813</v>
      </c>
      <c r="F913">
        <v>850429</v>
      </c>
      <c r="G913" s="1">
        <v>45382</v>
      </c>
      <c r="H913" t="s">
        <v>1814</v>
      </c>
      <c r="I913" t="s">
        <v>123</v>
      </c>
      <c r="J913" s="1">
        <v>45292</v>
      </c>
      <c r="K913">
        <v>3288000</v>
      </c>
    </row>
    <row r="914" spans="5:11" x14ac:dyDescent="0.25">
      <c r="E914" t="s">
        <v>1815</v>
      </c>
      <c r="F914">
        <v>850460</v>
      </c>
      <c r="G914" s="1">
        <v>45382</v>
      </c>
      <c r="H914" t="s">
        <v>1816</v>
      </c>
      <c r="I914" t="s">
        <v>30</v>
      </c>
      <c r="J914" s="1">
        <v>45292</v>
      </c>
      <c r="K914">
        <v>63277000</v>
      </c>
    </row>
    <row r="915" spans="5:11" x14ac:dyDescent="0.25">
      <c r="E915" t="s">
        <v>1817</v>
      </c>
      <c r="F915">
        <v>851205</v>
      </c>
      <c r="G915" s="1">
        <v>45382</v>
      </c>
      <c r="H915" t="s">
        <v>1818</v>
      </c>
      <c r="I915" t="s">
        <v>24</v>
      </c>
      <c r="J915" s="1">
        <v>45292</v>
      </c>
      <c r="K915">
        <v>12022000</v>
      </c>
    </row>
    <row r="916" spans="5:11" x14ac:dyDescent="0.25">
      <c r="E916" t="s">
        <v>1819</v>
      </c>
      <c r="F916">
        <v>851310</v>
      </c>
      <c r="G916" s="1">
        <v>45380</v>
      </c>
      <c r="H916" t="s">
        <v>1820</v>
      </c>
      <c r="I916" t="s">
        <v>36</v>
      </c>
      <c r="J916" s="1">
        <v>45292</v>
      </c>
      <c r="K916">
        <v>-8089000</v>
      </c>
    </row>
    <row r="917" spans="5:11" x14ac:dyDescent="0.25">
      <c r="E917" t="s">
        <v>1821</v>
      </c>
      <c r="F917">
        <v>851520</v>
      </c>
      <c r="G917" s="1">
        <v>45380</v>
      </c>
      <c r="H917" t="s">
        <v>1822</v>
      </c>
      <c r="I917" t="s">
        <v>36</v>
      </c>
      <c r="J917" s="1">
        <v>45290</v>
      </c>
      <c r="K917">
        <v>30142000</v>
      </c>
    </row>
    <row r="918" spans="5:11" x14ac:dyDescent="0.25">
      <c r="E918" t="s">
        <v>1823</v>
      </c>
      <c r="F918">
        <v>851968</v>
      </c>
      <c r="G918" s="1">
        <v>45381</v>
      </c>
      <c r="H918" t="s">
        <v>1824</v>
      </c>
      <c r="I918" t="s">
        <v>64</v>
      </c>
      <c r="J918" s="1">
        <v>45292</v>
      </c>
      <c r="K918">
        <v>105000000</v>
      </c>
    </row>
    <row r="919" spans="5:11" x14ac:dyDescent="0.25">
      <c r="E919" t="s">
        <v>1825</v>
      </c>
      <c r="F919">
        <v>852772</v>
      </c>
      <c r="G919" s="1">
        <v>45378</v>
      </c>
      <c r="H919" t="s">
        <v>1826</v>
      </c>
      <c r="I919" t="s">
        <v>686</v>
      </c>
      <c r="J919" s="1">
        <v>45288</v>
      </c>
      <c r="K919">
        <v>4691000</v>
      </c>
    </row>
    <row r="920" spans="5:11" x14ac:dyDescent="0.25">
      <c r="E920" t="s">
        <v>1827</v>
      </c>
      <c r="F920">
        <v>853816</v>
      </c>
      <c r="G920" s="1">
        <v>45381</v>
      </c>
      <c r="H920" t="s">
        <v>1828</v>
      </c>
      <c r="I920" t="s">
        <v>33</v>
      </c>
      <c r="J920" s="1">
        <v>45291</v>
      </c>
      <c r="K920">
        <v>47096000</v>
      </c>
    </row>
    <row r="921" spans="5:11" x14ac:dyDescent="0.25">
      <c r="E921" t="s">
        <v>1829</v>
      </c>
      <c r="F921">
        <v>854560</v>
      </c>
      <c r="G921" s="1">
        <v>45382</v>
      </c>
      <c r="H921" t="s">
        <v>1830</v>
      </c>
      <c r="I921" t="s">
        <v>137</v>
      </c>
      <c r="J921" s="1">
        <v>45292</v>
      </c>
      <c r="K921">
        <v>13407000</v>
      </c>
    </row>
    <row r="922" spans="5:11" x14ac:dyDescent="0.25">
      <c r="E922" t="s">
        <v>1831</v>
      </c>
      <c r="F922">
        <v>854775</v>
      </c>
      <c r="G922" s="1">
        <v>45382</v>
      </c>
      <c r="H922" t="s">
        <v>1832</v>
      </c>
      <c r="I922" t="s">
        <v>213</v>
      </c>
      <c r="J922" s="1">
        <v>45292</v>
      </c>
      <c r="K922">
        <v>3994000</v>
      </c>
    </row>
    <row r="923" spans="5:11" x14ac:dyDescent="0.25">
      <c r="E923" t="s">
        <v>1833</v>
      </c>
      <c r="F923">
        <v>855658</v>
      </c>
      <c r="G923" s="1">
        <v>45381</v>
      </c>
      <c r="H923" t="s">
        <v>1834</v>
      </c>
      <c r="I923" t="s">
        <v>963</v>
      </c>
      <c r="J923" s="1">
        <v>45291</v>
      </c>
      <c r="K923">
        <v>14796000</v>
      </c>
    </row>
    <row r="924" spans="5:11" x14ac:dyDescent="0.25">
      <c r="E924" t="s">
        <v>1835</v>
      </c>
      <c r="F924">
        <v>855683</v>
      </c>
      <c r="G924" s="1">
        <v>45382</v>
      </c>
      <c r="H924" t="s">
        <v>1836</v>
      </c>
      <c r="I924" t="s">
        <v>46</v>
      </c>
      <c r="J924" s="1">
        <v>45292</v>
      </c>
      <c r="K924">
        <v>-1440529</v>
      </c>
    </row>
    <row r="925" spans="5:11" x14ac:dyDescent="0.25">
      <c r="E925" t="s">
        <v>1837</v>
      </c>
      <c r="F925">
        <v>855787</v>
      </c>
      <c r="G925" s="1">
        <v>45382</v>
      </c>
      <c r="H925" t="s">
        <v>1838</v>
      </c>
      <c r="I925" t="s">
        <v>92</v>
      </c>
      <c r="J925" s="1">
        <v>45292</v>
      </c>
      <c r="K925">
        <v>-515280</v>
      </c>
    </row>
    <row r="926" spans="5:11" x14ac:dyDescent="0.25">
      <c r="E926" t="s">
        <v>10370</v>
      </c>
      <c r="F926">
        <v>856982</v>
      </c>
      <c r="G926" s="1">
        <v>45382</v>
      </c>
      <c r="H926" t="s">
        <v>1839</v>
      </c>
      <c r="I926" t="s">
        <v>406</v>
      </c>
      <c r="J926" s="1">
        <v>45292</v>
      </c>
      <c r="K926">
        <v>28240000</v>
      </c>
    </row>
    <row r="927" spans="5:11" x14ac:dyDescent="0.25">
      <c r="E927" t="s">
        <v>1840</v>
      </c>
      <c r="F927">
        <v>856984</v>
      </c>
      <c r="G927" s="1">
        <v>45382</v>
      </c>
      <c r="H927" t="s">
        <v>1841</v>
      </c>
      <c r="I927" t="s">
        <v>33</v>
      </c>
      <c r="J927" s="1">
        <v>45292</v>
      </c>
      <c r="K927">
        <v>-18525</v>
      </c>
    </row>
    <row r="928" spans="5:11" x14ac:dyDescent="0.25">
      <c r="E928" t="s">
        <v>1842</v>
      </c>
      <c r="F928">
        <v>857005</v>
      </c>
      <c r="G928" s="1">
        <v>45382</v>
      </c>
      <c r="H928" t="s">
        <v>1843</v>
      </c>
      <c r="I928" t="s">
        <v>24</v>
      </c>
      <c r="J928" s="1">
        <v>45292</v>
      </c>
      <c r="K928">
        <v>114445000</v>
      </c>
    </row>
    <row r="929" spans="5:11" x14ac:dyDescent="0.25">
      <c r="E929" t="s">
        <v>1844</v>
      </c>
      <c r="F929">
        <v>857855</v>
      </c>
      <c r="G929" s="1">
        <v>45382</v>
      </c>
      <c r="H929" t="s">
        <v>1845</v>
      </c>
      <c r="I929" t="s">
        <v>64</v>
      </c>
      <c r="J929" s="1">
        <v>45292</v>
      </c>
      <c r="K929">
        <v>62631000</v>
      </c>
    </row>
    <row r="930" spans="5:11" x14ac:dyDescent="0.25">
      <c r="E930" t="s">
        <v>1846</v>
      </c>
      <c r="F930">
        <v>857949</v>
      </c>
      <c r="G930" s="1">
        <v>45382</v>
      </c>
      <c r="H930" t="s">
        <v>1847</v>
      </c>
      <c r="I930" t="s">
        <v>1164</v>
      </c>
      <c r="J930" s="1">
        <v>45292</v>
      </c>
      <c r="K930">
        <v>-10901284</v>
      </c>
    </row>
    <row r="931" spans="5:11" x14ac:dyDescent="0.25">
      <c r="E931" t="s">
        <v>1848</v>
      </c>
      <c r="F931">
        <v>858470</v>
      </c>
      <c r="G931" s="1">
        <v>45382</v>
      </c>
      <c r="H931" t="s">
        <v>1849</v>
      </c>
      <c r="I931" t="s">
        <v>30</v>
      </c>
      <c r="J931" s="1">
        <v>45292</v>
      </c>
      <c r="K931">
        <v>352000000</v>
      </c>
    </row>
    <row r="932" spans="5:11" x14ac:dyDescent="0.25">
      <c r="E932" t="s">
        <v>1850</v>
      </c>
      <c r="F932">
        <v>858655</v>
      </c>
      <c r="G932" s="1">
        <v>45382</v>
      </c>
      <c r="H932" t="s">
        <v>1851</v>
      </c>
      <c r="I932" t="s">
        <v>288</v>
      </c>
      <c r="J932" s="1">
        <v>45292</v>
      </c>
      <c r="K932">
        <v>8551000</v>
      </c>
    </row>
    <row r="933" spans="5:11" x14ac:dyDescent="0.25">
      <c r="E933" t="s">
        <v>1852</v>
      </c>
      <c r="F933">
        <v>858877</v>
      </c>
      <c r="G933" s="1">
        <v>45409</v>
      </c>
      <c r="H933" t="s">
        <v>1853</v>
      </c>
      <c r="I933" t="s">
        <v>36</v>
      </c>
      <c r="J933" s="1">
        <v>45319</v>
      </c>
      <c r="K933">
        <v>1886000000</v>
      </c>
    </row>
    <row r="934" spans="5:11" x14ac:dyDescent="0.25">
      <c r="E934" t="s">
        <v>1854</v>
      </c>
      <c r="F934">
        <v>859070</v>
      </c>
      <c r="G934" s="1">
        <v>45382</v>
      </c>
      <c r="H934" t="s">
        <v>1855</v>
      </c>
      <c r="I934" t="s">
        <v>123</v>
      </c>
      <c r="J934" s="1">
        <v>45292</v>
      </c>
      <c r="K934">
        <v>12845000</v>
      </c>
    </row>
    <row r="935" spans="5:11" x14ac:dyDescent="0.25">
      <c r="E935" t="s">
        <v>1856</v>
      </c>
      <c r="F935">
        <v>859737</v>
      </c>
      <c r="G935" s="1">
        <v>45381</v>
      </c>
      <c r="H935" t="s">
        <v>1857</v>
      </c>
      <c r="I935" t="s">
        <v>24</v>
      </c>
      <c r="J935" s="1">
        <v>45291</v>
      </c>
      <c r="K935">
        <v>169900000</v>
      </c>
    </row>
    <row r="936" spans="5:11" x14ac:dyDescent="0.25">
      <c r="E936" t="s">
        <v>1858</v>
      </c>
      <c r="F936">
        <v>860413</v>
      </c>
      <c r="G936" s="1">
        <v>45382</v>
      </c>
      <c r="H936" t="s">
        <v>1859</v>
      </c>
      <c r="I936" t="s">
        <v>772</v>
      </c>
      <c r="J936" s="1">
        <v>45292</v>
      </c>
      <c r="K936">
        <v>58400000</v>
      </c>
    </row>
    <row r="937" spans="5:11" x14ac:dyDescent="0.25">
      <c r="E937" t="s">
        <v>1860</v>
      </c>
      <c r="F937">
        <v>860543</v>
      </c>
      <c r="G937" s="1">
        <v>45382</v>
      </c>
      <c r="H937" t="s">
        <v>1861</v>
      </c>
      <c r="I937" t="s">
        <v>36</v>
      </c>
      <c r="J937" s="1">
        <v>45292</v>
      </c>
      <c r="K937">
        <v>-546899</v>
      </c>
    </row>
    <row r="938" spans="5:11" x14ac:dyDescent="0.25">
      <c r="E938" t="s">
        <v>1862</v>
      </c>
      <c r="F938">
        <v>860730</v>
      </c>
      <c r="G938" s="1">
        <v>45382</v>
      </c>
      <c r="H938" t="s">
        <v>1863</v>
      </c>
      <c r="I938" t="s">
        <v>69</v>
      </c>
      <c r="J938" s="1">
        <v>45292</v>
      </c>
      <c r="K938">
        <v>1591000000</v>
      </c>
    </row>
    <row r="939" spans="5:11" x14ac:dyDescent="0.25">
      <c r="E939" t="s">
        <v>1864</v>
      </c>
      <c r="F939">
        <v>860731</v>
      </c>
      <c r="G939" s="1">
        <v>45382</v>
      </c>
      <c r="H939" t="s">
        <v>1865</v>
      </c>
      <c r="I939" t="s">
        <v>30</v>
      </c>
      <c r="J939" s="1">
        <v>45292</v>
      </c>
      <c r="K939">
        <v>54170000</v>
      </c>
    </row>
    <row r="940" spans="5:11" x14ac:dyDescent="0.25">
      <c r="E940" t="s">
        <v>1866</v>
      </c>
      <c r="F940">
        <v>860748</v>
      </c>
      <c r="G940" s="1">
        <v>45382</v>
      </c>
      <c r="H940" t="s">
        <v>1867</v>
      </c>
      <c r="I940" t="s">
        <v>19</v>
      </c>
      <c r="J940" s="1">
        <v>45292</v>
      </c>
      <c r="K940">
        <v>71300000</v>
      </c>
    </row>
    <row r="941" spans="5:11" x14ac:dyDescent="0.25">
      <c r="E941" t="s">
        <v>1868</v>
      </c>
      <c r="F941">
        <v>861441</v>
      </c>
      <c r="G941" s="1">
        <v>45382</v>
      </c>
      <c r="H941" t="s">
        <v>1869</v>
      </c>
      <c r="I941" t="s">
        <v>213</v>
      </c>
      <c r="J941" s="1">
        <v>45292</v>
      </c>
      <c r="K941">
        <v>18459109</v>
      </c>
    </row>
    <row r="942" spans="5:11" x14ac:dyDescent="0.25">
      <c r="E942" t="s">
        <v>1870</v>
      </c>
      <c r="F942">
        <v>861459</v>
      </c>
      <c r="G942" s="1">
        <v>45382</v>
      </c>
      <c r="H942" t="s">
        <v>1871</v>
      </c>
      <c r="I942" t="s">
        <v>36</v>
      </c>
      <c r="J942" s="1">
        <v>45292</v>
      </c>
      <c r="K942">
        <v>-30983000</v>
      </c>
    </row>
    <row r="943" spans="5:11" x14ac:dyDescent="0.25">
      <c r="E943" t="s">
        <v>1872</v>
      </c>
      <c r="F943">
        <v>861842</v>
      </c>
      <c r="G943" s="1">
        <v>45382</v>
      </c>
      <c r="H943" t="s">
        <v>1873</v>
      </c>
      <c r="I943" t="s">
        <v>36</v>
      </c>
      <c r="J943" s="1">
        <v>45292</v>
      </c>
      <c r="K943">
        <v>71435000</v>
      </c>
    </row>
    <row r="944" spans="5:11" x14ac:dyDescent="0.25">
      <c r="E944" t="s">
        <v>1874</v>
      </c>
      <c r="F944">
        <v>862651</v>
      </c>
      <c r="G944" s="1">
        <v>45382</v>
      </c>
      <c r="H944" t="s">
        <v>1875</v>
      </c>
      <c r="I944" t="s">
        <v>39</v>
      </c>
      <c r="J944" s="1">
        <v>45292</v>
      </c>
      <c r="K944">
        <v>1669940</v>
      </c>
    </row>
    <row r="945" spans="5:11" x14ac:dyDescent="0.25">
      <c r="E945" t="s">
        <v>1876</v>
      </c>
      <c r="F945">
        <v>862668</v>
      </c>
      <c r="G945" s="1">
        <v>45382</v>
      </c>
      <c r="H945" t="s">
        <v>1877</v>
      </c>
      <c r="I945" t="s">
        <v>39</v>
      </c>
      <c r="J945" s="1">
        <v>45292</v>
      </c>
      <c r="K945">
        <v>-162149</v>
      </c>
    </row>
    <row r="946" spans="5:11" x14ac:dyDescent="0.25">
      <c r="E946" t="s">
        <v>1878</v>
      </c>
      <c r="F946">
        <v>862692</v>
      </c>
      <c r="G946" s="1">
        <v>45351</v>
      </c>
      <c r="H946" t="s">
        <v>1879</v>
      </c>
      <c r="I946" t="s">
        <v>33</v>
      </c>
      <c r="J946" s="1">
        <v>45261</v>
      </c>
      <c r="K946">
        <v>556241</v>
      </c>
    </row>
    <row r="947" spans="5:11" x14ac:dyDescent="0.25">
      <c r="E947" t="s">
        <v>1880</v>
      </c>
      <c r="F947">
        <v>862831</v>
      </c>
      <c r="G947" s="1">
        <v>45382</v>
      </c>
      <c r="H947" t="s">
        <v>1881</v>
      </c>
      <c r="I947" t="s">
        <v>57</v>
      </c>
      <c r="J947" s="1">
        <v>45292</v>
      </c>
      <c r="K947">
        <v>2070000</v>
      </c>
    </row>
    <row r="948" spans="5:11" x14ac:dyDescent="0.25">
      <c r="E948" t="s">
        <v>1882</v>
      </c>
      <c r="F948">
        <v>862861</v>
      </c>
      <c r="G948" s="1">
        <v>45381</v>
      </c>
      <c r="H948" t="s">
        <v>1883</v>
      </c>
      <c r="I948" t="s">
        <v>142</v>
      </c>
      <c r="J948" s="1">
        <v>45292</v>
      </c>
      <c r="K948">
        <v>-2144000</v>
      </c>
    </row>
    <row r="949" spans="5:11" x14ac:dyDescent="0.25">
      <c r="E949" t="s">
        <v>1884</v>
      </c>
      <c r="F949">
        <v>863110</v>
      </c>
      <c r="G949" s="1">
        <v>45382</v>
      </c>
      <c r="H949" t="s">
        <v>1885</v>
      </c>
      <c r="I949" t="s">
        <v>186</v>
      </c>
      <c r="J949" s="1">
        <v>45292</v>
      </c>
      <c r="K949">
        <v>4411000</v>
      </c>
    </row>
    <row r="950" spans="5:11" x14ac:dyDescent="0.25">
      <c r="E950" t="s">
        <v>1886</v>
      </c>
      <c r="F950">
        <v>863436</v>
      </c>
      <c r="G950" s="1">
        <v>45382</v>
      </c>
      <c r="H950" t="s">
        <v>1887</v>
      </c>
      <c r="I950" t="s">
        <v>113</v>
      </c>
      <c r="J950" s="1">
        <v>45292</v>
      </c>
      <c r="K950">
        <v>14002000</v>
      </c>
    </row>
    <row r="951" spans="5:11" x14ac:dyDescent="0.25">
      <c r="E951" t="s">
        <v>1888</v>
      </c>
      <c r="F951">
        <v>863894</v>
      </c>
      <c r="G951" s="1">
        <v>45382</v>
      </c>
      <c r="H951" t="s">
        <v>1889</v>
      </c>
      <c r="I951" t="s">
        <v>33</v>
      </c>
      <c r="J951" s="1">
        <v>45292</v>
      </c>
      <c r="K951">
        <v>-10025948</v>
      </c>
    </row>
    <row r="952" spans="5:11" x14ac:dyDescent="0.25">
      <c r="E952" t="s">
        <v>1890</v>
      </c>
      <c r="F952">
        <v>864240</v>
      </c>
      <c r="G952" s="1">
        <v>45382</v>
      </c>
      <c r="H952" t="s">
        <v>1891</v>
      </c>
      <c r="I952" t="s">
        <v>190</v>
      </c>
      <c r="J952" s="1">
        <v>45292</v>
      </c>
      <c r="K952">
        <v>-2221000</v>
      </c>
    </row>
    <row r="953" spans="5:11" x14ac:dyDescent="0.25">
      <c r="E953" t="s">
        <v>1892</v>
      </c>
      <c r="F953">
        <v>866273</v>
      </c>
      <c r="G953" s="1">
        <v>45382</v>
      </c>
      <c r="H953" t="s">
        <v>1893</v>
      </c>
      <c r="I953" t="s">
        <v>277</v>
      </c>
      <c r="J953" s="1">
        <v>45292</v>
      </c>
      <c r="K953">
        <v>-14581000</v>
      </c>
    </row>
    <row r="954" spans="5:11" x14ac:dyDescent="0.25">
      <c r="E954" t="s">
        <v>1894</v>
      </c>
      <c r="F954">
        <v>866374</v>
      </c>
      <c r="G954" s="1">
        <v>45382</v>
      </c>
      <c r="H954" t="s">
        <v>1895</v>
      </c>
      <c r="I954" t="s">
        <v>1245</v>
      </c>
      <c r="J954" s="1">
        <v>45292</v>
      </c>
      <c r="K954">
        <v>395000000</v>
      </c>
    </row>
    <row r="955" spans="5:11" x14ac:dyDescent="0.25">
      <c r="E955" t="s">
        <v>1896</v>
      </c>
      <c r="F955">
        <v>866439</v>
      </c>
      <c r="G955" s="1">
        <v>45382</v>
      </c>
      <c r="H955" t="s">
        <v>1897</v>
      </c>
      <c r="I955" t="s">
        <v>30</v>
      </c>
      <c r="J955" s="1">
        <v>45292</v>
      </c>
      <c r="K955">
        <v>-533389</v>
      </c>
    </row>
    <row r="956" spans="5:11" x14ac:dyDescent="0.25">
      <c r="E956" t="s">
        <v>1898</v>
      </c>
      <c r="F956">
        <v>866706</v>
      </c>
      <c r="G956" s="1">
        <v>45382</v>
      </c>
      <c r="H956" t="s">
        <v>1899</v>
      </c>
      <c r="I956" t="s">
        <v>137</v>
      </c>
      <c r="J956" s="1">
        <v>45292</v>
      </c>
      <c r="K956">
        <v>23219000</v>
      </c>
    </row>
    <row r="957" spans="5:11" x14ac:dyDescent="0.25">
      <c r="E957" t="s">
        <v>1900</v>
      </c>
      <c r="F957">
        <v>866729</v>
      </c>
      <c r="G957" s="1">
        <v>45351</v>
      </c>
      <c r="H957" t="s">
        <v>1901</v>
      </c>
      <c r="I957" t="s">
        <v>57</v>
      </c>
      <c r="J957" s="1">
        <v>45261</v>
      </c>
      <c r="K957">
        <v>-26500000</v>
      </c>
    </row>
    <row r="958" spans="5:11" x14ac:dyDescent="0.25">
      <c r="E958" t="s">
        <v>1902</v>
      </c>
      <c r="F958">
        <v>866787</v>
      </c>
      <c r="G958" s="1">
        <v>45416</v>
      </c>
      <c r="H958" t="s">
        <v>1903</v>
      </c>
      <c r="I958" t="s">
        <v>69</v>
      </c>
      <c r="J958" s="1">
        <v>45333</v>
      </c>
      <c r="K958">
        <v>651726000</v>
      </c>
    </row>
    <row r="959" spans="5:11" x14ac:dyDescent="0.25">
      <c r="E959" t="s">
        <v>1904</v>
      </c>
      <c r="F959">
        <v>866829</v>
      </c>
      <c r="G959" s="1">
        <v>45382</v>
      </c>
      <c r="H959" t="s">
        <v>1905</v>
      </c>
      <c r="I959" t="s">
        <v>30</v>
      </c>
      <c r="J959" s="1">
        <v>45292</v>
      </c>
      <c r="K959">
        <v>-26287000</v>
      </c>
    </row>
    <row r="960" spans="5:11" x14ac:dyDescent="0.25">
      <c r="E960" t="s">
        <v>1906</v>
      </c>
      <c r="F960">
        <v>867840</v>
      </c>
      <c r="G960" s="1">
        <v>45382</v>
      </c>
      <c r="H960" t="s">
        <v>1907</v>
      </c>
      <c r="I960" t="s">
        <v>24</v>
      </c>
      <c r="J960" s="1">
        <v>45292</v>
      </c>
      <c r="K960">
        <v>-317055</v>
      </c>
    </row>
    <row r="961" spans="5:11" x14ac:dyDescent="0.25">
      <c r="E961" t="s">
        <v>1908</v>
      </c>
      <c r="F961">
        <v>868082</v>
      </c>
      <c r="G961" s="1">
        <v>45382</v>
      </c>
      <c r="H961" t="s">
        <v>1909</v>
      </c>
      <c r="I961" t="s">
        <v>60</v>
      </c>
      <c r="J961" s="1">
        <v>45292</v>
      </c>
      <c r="K961">
        <v>232337</v>
      </c>
    </row>
    <row r="962" spans="5:11" x14ac:dyDescent="0.25">
      <c r="E962" t="s">
        <v>1910</v>
      </c>
      <c r="F962">
        <v>868278</v>
      </c>
      <c r="G962" s="1">
        <v>45382</v>
      </c>
      <c r="H962" t="s">
        <v>1911</v>
      </c>
      <c r="I962" t="s">
        <v>57</v>
      </c>
      <c r="J962" s="1">
        <v>45292</v>
      </c>
      <c r="K962">
        <v>-6265000</v>
      </c>
    </row>
    <row r="963" spans="5:11" x14ac:dyDescent="0.25">
      <c r="E963" t="s">
        <v>1912</v>
      </c>
      <c r="F963">
        <v>868671</v>
      </c>
      <c r="G963" s="1">
        <v>45382</v>
      </c>
      <c r="H963" t="s">
        <v>1913</v>
      </c>
      <c r="I963" t="s">
        <v>772</v>
      </c>
      <c r="J963" s="1">
        <v>45292</v>
      </c>
      <c r="K963">
        <v>32627000</v>
      </c>
    </row>
    <row r="964" spans="5:11" x14ac:dyDescent="0.25">
      <c r="E964" t="s">
        <v>1914</v>
      </c>
      <c r="F964">
        <v>868780</v>
      </c>
      <c r="G964" s="1">
        <v>45381</v>
      </c>
      <c r="H964" t="s">
        <v>1915</v>
      </c>
      <c r="I964" t="s">
        <v>39</v>
      </c>
      <c r="J964" s="1">
        <v>45292</v>
      </c>
      <c r="K964">
        <v>32828000</v>
      </c>
    </row>
    <row r="965" spans="5:11" x14ac:dyDescent="0.25">
      <c r="E965" t="s">
        <v>1916</v>
      </c>
      <c r="F965">
        <v>868857</v>
      </c>
      <c r="G965" s="1">
        <v>45382</v>
      </c>
      <c r="H965" t="s">
        <v>1917</v>
      </c>
      <c r="I965" t="s">
        <v>30</v>
      </c>
      <c r="J965" s="1">
        <v>45292</v>
      </c>
      <c r="K965">
        <v>1007000</v>
      </c>
    </row>
    <row r="966" spans="5:11" x14ac:dyDescent="0.25">
      <c r="E966" t="s">
        <v>10371</v>
      </c>
      <c r="F966">
        <v>872589</v>
      </c>
      <c r="G966" s="1">
        <v>45382</v>
      </c>
      <c r="H966" t="s">
        <v>1918</v>
      </c>
      <c r="I966" t="s">
        <v>57</v>
      </c>
      <c r="J966" s="1">
        <v>45292</v>
      </c>
      <c r="K966">
        <v>722000000</v>
      </c>
    </row>
    <row r="967" spans="5:11" x14ac:dyDescent="0.25">
      <c r="E967" t="s">
        <v>1919</v>
      </c>
      <c r="F967">
        <v>872912</v>
      </c>
      <c r="G967" s="1">
        <v>45382</v>
      </c>
      <c r="H967" t="s">
        <v>1920</v>
      </c>
      <c r="I967" t="s">
        <v>57</v>
      </c>
      <c r="J967" s="1">
        <v>45292</v>
      </c>
      <c r="K967">
        <v>-11111000</v>
      </c>
    </row>
    <row r="968" spans="5:11" x14ac:dyDescent="0.25">
      <c r="E968" t="s">
        <v>1921</v>
      </c>
      <c r="F968">
        <v>873303</v>
      </c>
      <c r="G968" s="1">
        <v>45382</v>
      </c>
      <c r="H968" t="s">
        <v>1922</v>
      </c>
      <c r="I968" t="s">
        <v>24</v>
      </c>
      <c r="J968" s="1">
        <v>45292</v>
      </c>
      <c r="K968">
        <v>36119000</v>
      </c>
    </row>
    <row r="969" spans="5:11" x14ac:dyDescent="0.25">
      <c r="E969" t="s">
        <v>1923</v>
      </c>
      <c r="F969">
        <v>873860</v>
      </c>
      <c r="G969" s="1">
        <v>45382</v>
      </c>
      <c r="H969" t="s">
        <v>1924</v>
      </c>
      <c r="I969" t="s">
        <v>33</v>
      </c>
      <c r="J969" s="1">
        <v>45292</v>
      </c>
      <c r="K969">
        <v>30100000</v>
      </c>
    </row>
    <row r="970" spans="5:11" x14ac:dyDescent="0.25">
      <c r="E970" t="s">
        <v>1925</v>
      </c>
      <c r="F970">
        <v>874015</v>
      </c>
      <c r="G970" s="1">
        <v>45382</v>
      </c>
      <c r="H970" t="s">
        <v>1926</v>
      </c>
      <c r="I970" t="s">
        <v>36</v>
      </c>
      <c r="J970" s="1">
        <v>45292</v>
      </c>
      <c r="K970">
        <v>-142803000</v>
      </c>
    </row>
    <row r="971" spans="5:11" x14ac:dyDescent="0.25">
      <c r="E971" t="s">
        <v>1927</v>
      </c>
      <c r="F971">
        <v>874238</v>
      </c>
      <c r="G971" s="1">
        <v>45382</v>
      </c>
      <c r="H971" t="s">
        <v>1928</v>
      </c>
      <c r="I971" t="s">
        <v>30</v>
      </c>
      <c r="J971" s="1">
        <v>45292</v>
      </c>
      <c r="K971">
        <v>31048000</v>
      </c>
    </row>
    <row r="972" spans="5:11" x14ac:dyDescent="0.25">
      <c r="E972" t="s">
        <v>1929</v>
      </c>
      <c r="F972">
        <v>874396</v>
      </c>
      <c r="G972" s="1">
        <v>45382</v>
      </c>
      <c r="H972" t="s">
        <v>1930</v>
      </c>
      <c r="I972" t="s">
        <v>57</v>
      </c>
      <c r="J972" s="1">
        <v>45292</v>
      </c>
      <c r="K972">
        <v>-6260000</v>
      </c>
    </row>
    <row r="973" spans="5:11" x14ac:dyDescent="0.25">
      <c r="E973" t="s">
        <v>1931</v>
      </c>
      <c r="F973">
        <v>874499</v>
      </c>
      <c r="G973" s="1">
        <v>45382</v>
      </c>
      <c r="H973" t="s">
        <v>1932</v>
      </c>
      <c r="I973" t="s">
        <v>277</v>
      </c>
      <c r="J973" s="1">
        <v>45292</v>
      </c>
      <c r="K973">
        <v>52035000</v>
      </c>
    </row>
    <row r="974" spans="5:11" x14ac:dyDescent="0.25">
      <c r="E974" t="s">
        <v>1933</v>
      </c>
      <c r="F974">
        <v>874501</v>
      </c>
      <c r="G974" s="1">
        <v>45382</v>
      </c>
      <c r="H974" t="s">
        <v>1934</v>
      </c>
      <c r="I974" t="s">
        <v>57</v>
      </c>
      <c r="J974" s="1">
        <v>45292</v>
      </c>
      <c r="K974">
        <v>20000000</v>
      </c>
    </row>
    <row r="975" spans="5:11" x14ac:dyDescent="0.25">
      <c r="E975" t="s">
        <v>10372</v>
      </c>
      <c r="F975">
        <v>874716</v>
      </c>
      <c r="G975" s="1">
        <v>45382</v>
      </c>
      <c r="H975" t="s">
        <v>1935</v>
      </c>
      <c r="I975" t="s">
        <v>1280</v>
      </c>
      <c r="J975" s="1">
        <v>45292</v>
      </c>
      <c r="K975">
        <v>235579000</v>
      </c>
    </row>
    <row r="976" spans="5:11" x14ac:dyDescent="0.25">
      <c r="E976" t="s">
        <v>1936</v>
      </c>
      <c r="F976">
        <v>874761</v>
      </c>
      <c r="G976" s="1">
        <v>45382</v>
      </c>
      <c r="H976" t="s">
        <v>1937</v>
      </c>
      <c r="I976" t="s">
        <v>123</v>
      </c>
      <c r="J976" s="1">
        <v>45292</v>
      </c>
      <c r="K976">
        <v>432000000</v>
      </c>
    </row>
    <row r="977" spans="5:11" x14ac:dyDescent="0.25">
      <c r="E977" t="s">
        <v>1938</v>
      </c>
      <c r="F977">
        <v>874766</v>
      </c>
      <c r="G977" s="1">
        <v>45382</v>
      </c>
      <c r="H977" t="s">
        <v>1939</v>
      </c>
      <c r="I977" t="s">
        <v>27</v>
      </c>
      <c r="J977" s="1">
        <v>45292</v>
      </c>
      <c r="K977">
        <v>753000000</v>
      </c>
    </row>
    <row r="978" spans="5:11" x14ac:dyDescent="0.25">
      <c r="E978" t="s">
        <v>1940</v>
      </c>
      <c r="F978">
        <v>874866</v>
      </c>
      <c r="G978" s="1">
        <v>45382</v>
      </c>
      <c r="H978" t="s">
        <v>1941</v>
      </c>
      <c r="I978" t="s">
        <v>30</v>
      </c>
      <c r="J978" s="1">
        <v>45292</v>
      </c>
      <c r="K978">
        <v>19454000</v>
      </c>
    </row>
    <row r="979" spans="5:11" x14ac:dyDescent="0.25">
      <c r="E979" t="s">
        <v>1942</v>
      </c>
      <c r="F979">
        <v>875045</v>
      </c>
      <c r="G979" s="1">
        <v>45382</v>
      </c>
      <c r="H979" t="s">
        <v>1943</v>
      </c>
      <c r="I979" t="s">
        <v>24</v>
      </c>
      <c r="J979" s="1">
        <v>45292</v>
      </c>
      <c r="K979">
        <v>393400000</v>
      </c>
    </row>
    <row r="980" spans="5:11" x14ac:dyDescent="0.25">
      <c r="E980" t="s">
        <v>1944</v>
      </c>
      <c r="F980">
        <v>875320</v>
      </c>
      <c r="G980" s="1">
        <v>45382</v>
      </c>
      <c r="H980" t="s">
        <v>1945</v>
      </c>
      <c r="I980" t="s">
        <v>24</v>
      </c>
      <c r="J980" s="1">
        <v>45292</v>
      </c>
      <c r="K980">
        <v>1099600000</v>
      </c>
    </row>
    <row r="981" spans="5:11" x14ac:dyDescent="0.25">
      <c r="E981" t="s">
        <v>1946</v>
      </c>
      <c r="F981">
        <v>875355</v>
      </c>
      <c r="G981" s="1">
        <v>45382</v>
      </c>
      <c r="H981" t="s">
        <v>1947</v>
      </c>
      <c r="I981" t="s">
        <v>213</v>
      </c>
      <c r="J981" s="1">
        <v>45292</v>
      </c>
      <c r="K981">
        <v>-1264000</v>
      </c>
    </row>
    <row r="982" spans="5:11" x14ac:dyDescent="0.25">
      <c r="E982" t="s">
        <v>1948</v>
      </c>
      <c r="F982">
        <v>875357</v>
      </c>
      <c r="G982" s="1">
        <v>45382</v>
      </c>
      <c r="H982" t="s">
        <v>1949</v>
      </c>
      <c r="I982" t="s">
        <v>277</v>
      </c>
      <c r="J982" s="1">
        <v>45292</v>
      </c>
      <c r="K982">
        <v>83703000</v>
      </c>
    </row>
    <row r="983" spans="5:11" x14ac:dyDescent="0.25">
      <c r="E983" t="s">
        <v>1950</v>
      </c>
      <c r="F983">
        <v>875582</v>
      </c>
      <c r="G983" s="1">
        <v>45351</v>
      </c>
      <c r="H983" t="s">
        <v>1951</v>
      </c>
      <c r="I983" t="s">
        <v>213</v>
      </c>
      <c r="J983" s="1">
        <v>45260</v>
      </c>
      <c r="K983">
        <v>1701169</v>
      </c>
    </row>
    <row r="984" spans="5:11" x14ac:dyDescent="0.25">
      <c r="E984" t="s">
        <v>1952</v>
      </c>
      <c r="F984">
        <v>875657</v>
      </c>
      <c r="G984" s="1">
        <v>45382</v>
      </c>
      <c r="H984" t="s">
        <v>1953</v>
      </c>
      <c r="I984" t="s">
        <v>57</v>
      </c>
      <c r="J984" s="1">
        <v>45292</v>
      </c>
      <c r="K984">
        <v>2891000</v>
      </c>
    </row>
    <row r="985" spans="5:11" x14ac:dyDescent="0.25">
      <c r="E985" t="s">
        <v>1954</v>
      </c>
      <c r="F985">
        <v>875729</v>
      </c>
      <c r="G985" s="1">
        <v>45382</v>
      </c>
      <c r="H985" t="s">
        <v>1955</v>
      </c>
      <c r="I985" t="s">
        <v>57</v>
      </c>
      <c r="J985" s="1">
        <v>45292</v>
      </c>
      <c r="K985">
        <v>-538145</v>
      </c>
    </row>
    <row r="986" spans="5:11" x14ac:dyDescent="0.25">
      <c r="E986" t="s">
        <v>1956</v>
      </c>
      <c r="F986">
        <v>876167</v>
      </c>
      <c r="G986" s="1">
        <v>45351</v>
      </c>
      <c r="H986" t="s">
        <v>1957</v>
      </c>
      <c r="I986" t="s">
        <v>24</v>
      </c>
      <c r="J986" s="1">
        <v>45261</v>
      </c>
      <c r="K986">
        <v>22639000</v>
      </c>
    </row>
    <row r="987" spans="5:11" x14ac:dyDescent="0.25">
      <c r="E987" t="s">
        <v>1958</v>
      </c>
      <c r="F987">
        <v>876343</v>
      </c>
      <c r="G987" s="1">
        <v>45382</v>
      </c>
      <c r="H987" t="s">
        <v>1959</v>
      </c>
      <c r="I987" t="s">
        <v>36</v>
      </c>
      <c r="J987" s="1">
        <v>45292</v>
      </c>
      <c r="K987">
        <v>-6542000</v>
      </c>
    </row>
    <row r="988" spans="5:11" x14ac:dyDescent="0.25">
      <c r="E988" t="s">
        <v>1960</v>
      </c>
      <c r="F988">
        <v>876378</v>
      </c>
      <c r="G988" s="1">
        <v>45382</v>
      </c>
      <c r="H988" t="s">
        <v>1961</v>
      </c>
      <c r="I988" t="s">
        <v>172</v>
      </c>
      <c r="J988" s="1">
        <v>45292</v>
      </c>
      <c r="K988">
        <v>-22497000</v>
      </c>
    </row>
    <row r="989" spans="5:11" x14ac:dyDescent="0.25">
      <c r="E989" t="s">
        <v>1962</v>
      </c>
      <c r="F989">
        <v>876437</v>
      </c>
      <c r="G989" s="1">
        <v>45382</v>
      </c>
      <c r="H989" t="s">
        <v>1963</v>
      </c>
      <c r="I989" t="s">
        <v>83</v>
      </c>
      <c r="J989" s="1">
        <v>45292</v>
      </c>
      <c r="K989">
        <v>174097000</v>
      </c>
    </row>
    <row r="990" spans="5:11" x14ac:dyDescent="0.25">
      <c r="E990" t="s">
        <v>1964</v>
      </c>
      <c r="F990">
        <v>876523</v>
      </c>
      <c r="G990" s="1">
        <v>45382</v>
      </c>
      <c r="H990" t="s">
        <v>1965</v>
      </c>
      <c r="I990" t="s">
        <v>30</v>
      </c>
      <c r="J990" s="1">
        <v>45292</v>
      </c>
      <c r="K990">
        <v>21479000</v>
      </c>
    </row>
    <row r="991" spans="5:11" x14ac:dyDescent="0.25">
      <c r="E991" t="s">
        <v>1966</v>
      </c>
      <c r="F991">
        <v>876883</v>
      </c>
      <c r="G991" s="1">
        <v>45382</v>
      </c>
      <c r="H991" t="s">
        <v>1967</v>
      </c>
      <c r="I991" t="s">
        <v>57</v>
      </c>
      <c r="J991" s="1">
        <v>45292</v>
      </c>
      <c r="K991">
        <v>-1282000</v>
      </c>
    </row>
    <row r="992" spans="5:11" x14ac:dyDescent="0.25">
      <c r="E992" t="s">
        <v>10373</v>
      </c>
      <c r="F992">
        <v>877212</v>
      </c>
      <c r="G992" s="1">
        <v>45381</v>
      </c>
      <c r="H992" t="s">
        <v>1968</v>
      </c>
      <c r="I992" t="s">
        <v>19</v>
      </c>
      <c r="J992" s="1">
        <v>45292</v>
      </c>
      <c r="K992">
        <v>115000000</v>
      </c>
    </row>
    <row r="993" spans="5:11" x14ac:dyDescent="0.25">
      <c r="E993" t="s">
        <v>1969</v>
      </c>
      <c r="F993">
        <v>877422</v>
      </c>
      <c r="G993" s="1">
        <v>45402</v>
      </c>
      <c r="H993" t="s">
        <v>1970</v>
      </c>
      <c r="I993" t="s">
        <v>329</v>
      </c>
      <c r="J993" s="1">
        <v>45291</v>
      </c>
      <c r="K993">
        <v>12971000</v>
      </c>
    </row>
    <row r="994" spans="5:11" x14ac:dyDescent="0.25">
      <c r="E994" t="s">
        <v>1971</v>
      </c>
      <c r="F994">
        <v>877860</v>
      </c>
      <c r="G994" s="1">
        <v>45382</v>
      </c>
      <c r="H994" t="s">
        <v>1972</v>
      </c>
      <c r="I994" t="s">
        <v>69</v>
      </c>
      <c r="J994" s="1">
        <v>45292</v>
      </c>
      <c r="K994">
        <v>30947000</v>
      </c>
    </row>
    <row r="995" spans="5:11" x14ac:dyDescent="0.25">
      <c r="E995" t="s">
        <v>1973</v>
      </c>
      <c r="F995">
        <v>878927</v>
      </c>
      <c r="G995" s="1">
        <v>45382</v>
      </c>
      <c r="H995" t="s">
        <v>1974</v>
      </c>
      <c r="I995" t="s">
        <v>172</v>
      </c>
      <c r="J995" s="1">
        <v>45292</v>
      </c>
      <c r="K995">
        <v>292304000</v>
      </c>
    </row>
    <row r="996" spans="5:11" x14ac:dyDescent="0.25">
      <c r="E996" t="s">
        <v>1975</v>
      </c>
      <c r="F996">
        <v>879101</v>
      </c>
      <c r="G996" s="1">
        <v>45382</v>
      </c>
      <c r="H996" t="s">
        <v>1976</v>
      </c>
      <c r="I996" t="s">
        <v>57</v>
      </c>
      <c r="J996" s="1">
        <v>45292</v>
      </c>
      <c r="K996">
        <v>-10974000</v>
      </c>
    </row>
    <row r="997" spans="5:11" x14ac:dyDescent="0.25">
      <c r="E997" t="s">
        <v>10374</v>
      </c>
      <c r="F997">
        <v>879169</v>
      </c>
      <c r="G997" s="1">
        <v>45382</v>
      </c>
      <c r="H997" t="s">
        <v>1977</v>
      </c>
      <c r="I997" t="s">
        <v>186</v>
      </c>
      <c r="J997" s="1">
        <v>45292</v>
      </c>
      <c r="K997">
        <v>169548000</v>
      </c>
    </row>
    <row r="998" spans="5:11" x14ac:dyDescent="0.25">
      <c r="E998" t="s">
        <v>1978</v>
      </c>
      <c r="F998">
        <v>879407</v>
      </c>
      <c r="G998" s="1">
        <v>45382</v>
      </c>
      <c r="H998" t="s">
        <v>1979</v>
      </c>
      <c r="I998" t="s">
        <v>36</v>
      </c>
      <c r="J998" s="1">
        <v>45292</v>
      </c>
      <c r="K998">
        <v>-125300000</v>
      </c>
    </row>
    <row r="999" spans="5:11" x14ac:dyDescent="0.25">
      <c r="E999" t="s">
        <v>10375</v>
      </c>
      <c r="F999">
        <v>879526</v>
      </c>
      <c r="G999" s="1">
        <v>45382</v>
      </c>
      <c r="H999" t="s">
        <v>1980</v>
      </c>
      <c r="I999" t="s">
        <v>288</v>
      </c>
      <c r="J999" s="1">
        <v>45292</v>
      </c>
      <c r="K999">
        <v>18167000</v>
      </c>
    </row>
    <row r="1000" spans="5:11" x14ac:dyDescent="0.25">
      <c r="E1000" t="s">
        <v>1981</v>
      </c>
      <c r="F1000">
        <v>879635</v>
      </c>
      <c r="G1000" s="1">
        <v>45382</v>
      </c>
      <c r="H1000" t="s">
        <v>1982</v>
      </c>
      <c r="I1000" t="s">
        <v>39</v>
      </c>
      <c r="J1000" s="1">
        <v>45292</v>
      </c>
      <c r="K1000">
        <v>12133000</v>
      </c>
    </row>
    <row r="1001" spans="5:11" x14ac:dyDescent="0.25">
      <c r="E1001" t="s">
        <v>1983</v>
      </c>
      <c r="F1001">
        <v>879911</v>
      </c>
      <c r="G1001" s="1">
        <v>45382</v>
      </c>
      <c r="H1001" t="s">
        <v>1984</v>
      </c>
      <c r="I1001" t="s">
        <v>113</v>
      </c>
      <c r="J1001" s="1">
        <v>45292</v>
      </c>
      <c r="K1001">
        <v>-2611379</v>
      </c>
    </row>
    <row r="1002" spans="5:11" x14ac:dyDescent="0.25">
      <c r="E1002" t="s">
        <v>1985</v>
      </c>
      <c r="F1002">
        <v>880117</v>
      </c>
      <c r="G1002" s="1">
        <v>45379</v>
      </c>
      <c r="H1002" t="s">
        <v>1986</v>
      </c>
      <c r="I1002" t="s">
        <v>19</v>
      </c>
      <c r="J1002" s="1">
        <v>45289</v>
      </c>
      <c r="K1002">
        <v>13477000</v>
      </c>
    </row>
    <row r="1003" spans="5:11" x14ac:dyDescent="0.25">
      <c r="E1003" t="s">
        <v>1987</v>
      </c>
      <c r="F1003">
        <v>880266</v>
      </c>
      <c r="G1003" s="1">
        <v>45382</v>
      </c>
      <c r="H1003" t="s">
        <v>1988</v>
      </c>
      <c r="I1003" t="s">
        <v>64</v>
      </c>
      <c r="J1003" s="1">
        <v>45292</v>
      </c>
      <c r="K1003">
        <v>168000000</v>
      </c>
    </row>
    <row r="1004" spans="5:11" x14ac:dyDescent="0.25">
      <c r="E1004" t="s">
        <v>1989</v>
      </c>
      <c r="F1004">
        <v>880417</v>
      </c>
      <c r="G1004" s="1">
        <v>45382</v>
      </c>
      <c r="H1004" t="s">
        <v>1990</v>
      </c>
      <c r="I1004" t="s">
        <v>60</v>
      </c>
      <c r="J1004" s="1">
        <v>45292</v>
      </c>
      <c r="K1004">
        <v>2933000</v>
      </c>
    </row>
    <row r="1005" spans="5:11" x14ac:dyDescent="0.25">
      <c r="E1005" t="s">
        <v>1991</v>
      </c>
      <c r="F1005">
        <v>880631</v>
      </c>
      <c r="G1005" s="1">
        <v>45382</v>
      </c>
      <c r="H1005" t="s">
        <v>1992</v>
      </c>
      <c r="I1005" t="s">
        <v>57</v>
      </c>
      <c r="J1005" s="1">
        <v>45292</v>
      </c>
      <c r="K1005">
        <v>22111000</v>
      </c>
    </row>
    <row r="1006" spans="5:11" x14ac:dyDescent="0.25">
      <c r="E1006" t="s">
        <v>1993</v>
      </c>
      <c r="F1006">
        <v>880641</v>
      </c>
      <c r="G1006" s="1">
        <v>45382</v>
      </c>
      <c r="H1006" t="s">
        <v>1994</v>
      </c>
      <c r="I1006" t="s">
        <v>123</v>
      </c>
      <c r="J1006" s="1">
        <v>45292</v>
      </c>
      <c r="K1006">
        <v>2548000</v>
      </c>
    </row>
    <row r="1007" spans="5:11" x14ac:dyDescent="0.25">
      <c r="E1007" t="s">
        <v>1995</v>
      </c>
      <c r="F1007">
        <v>880807</v>
      </c>
      <c r="G1007" s="1">
        <v>45382</v>
      </c>
      <c r="H1007" t="s">
        <v>1996</v>
      </c>
      <c r="I1007" t="s">
        <v>24</v>
      </c>
      <c r="J1007" s="1">
        <v>45292</v>
      </c>
      <c r="K1007">
        <v>-11111000</v>
      </c>
    </row>
    <row r="1008" spans="5:11" x14ac:dyDescent="0.25">
      <c r="E1008" t="s">
        <v>1997</v>
      </c>
      <c r="F1008">
        <v>880984</v>
      </c>
      <c r="G1008" s="1">
        <v>45382</v>
      </c>
      <c r="H1008" t="s">
        <v>1998</v>
      </c>
      <c r="I1008" t="s">
        <v>186</v>
      </c>
      <c r="J1008" s="1">
        <v>45292</v>
      </c>
      <c r="K1008">
        <v>65000</v>
      </c>
    </row>
    <row r="1009" spans="5:11" x14ac:dyDescent="0.25">
      <c r="E1009" t="s">
        <v>1999</v>
      </c>
      <c r="F1009">
        <v>881453</v>
      </c>
      <c r="G1009" s="1">
        <v>45382</v>
      </c>
      <c r="H1009" t="s">
        <v>2000</v>
      </c>
      <c r="I1009" t="s">
        <v>46</v>
      </c>
      <c r="J1009" s="1">
        <v>45292</v>
      </c>
      <c r="K1009">
        <v>145000000</v>
      </c>
    </row>
    <row r="1010" spans="5:11" x14ac:dyDescent="0.25">
      <c r="E1010" t="s">
        <v>2001</v>
      </c>
      <c r="F1010">
        <v>882095</v>
      </c>
      <c r="G1010" s="1">
        <v>45382</v>
      </c>
      <c r="H1010" t="s">
        <v>2002</v>
      </c>
      <c r="I1010" t="s">
        <v>36</v>
      </c>
      <c r="J1010" s="1">
        <v>45292</v>
      </c>
      <c r="K1010">
        <v>-4170000000</v>
      </c>
    </row>
    <row r="1011" spans="5:11" x14ac:dyDescent="0.25">
      <c r="E1011" t="s">
        <v>2003</v>
      </c>
      <c r="F1011">
        <v>882184</v>
      </c>
      <c r="G1011" s="1">
        <v>45382</v>
      </c>
      <c r="H1011" t="s">
        <v>2004</v>
      </c>
      <c r="I1011" t="s">
        <v>30</v>
      </c>
      <c r="J1011" s="1">
        <v>45292</v>
      </c>
      <c r="K1011">
        <v>1172100000</v>
      </c>
    </row>
    <row r="1012" spans="5:11" x14ac:dyDescent="0.25">
      <c r="E1012" t="s">
        <v>2005</v>
      </c>
      <c r="F1012">
        <v>882361</v>
      </c>
      <c r="G1012" s="1">
        <v>45382</v>
      </c>
      <c r="H1012" t="s">
        <v>2006</v>
      </c>
      <c r="I1012" t="s">
        <v>912</v>
      </c>
      <c r="J1012" s="1">
        <v>45292</v>
      </c>
      <c r="K1012">
        <v>-9640000</v>
      </c>
    </row>
    <row r="1013" spans="5:11" x14ac:dyDescent="0.25">
      <c r="E1013" t="s">
        <v>2007</v>
      </c>
      <c r="F1013">
        <v>882508</v>
      </c>
      <c r="G1013" s="1">
        <v>45382</v>
      </c>
      <c r="H1013" t="s">
        <v>2008</v>
      </c>
      <c r="I1013" t="s">
        <v>36</v>
      </c>
      <c r="J1013" s="1">
        <v>45292</v>
      </c>
      <c r="K1013">
        <v>108000</v>
      </c>
    </row>
    <row r="1014" spans="5:11" x14ac:dyDescent="0.25">
      <c r="E1014" t="s">
        <v>2009</v>
      </c>
      <c r="F1014">
        <v>882796</v>
      </c>
      <c r="G1014" s="1">
        <v>45382</v>
      </c>
      <c r="H1014" t="s">
        <v>2010</v>
      </c>
      <c r="I1014" t="s">
        <v>172</v>
      </c>
      <c r="J1014" s="1">
        <v>45292</v>
      </c>
      <c r="K1014">
        <v>-35379000</v>
      </c>
    </row>
    <row r="1015" spans="5:11" x14ac:dyDescent="0.25">
      <c r="E1015" t="s">
        <v>2011</v>
      </c>
      <c r="F1015">
        <v>882835</v>
      </c>
      <c r="G1015" s="1">
        <v>45382</v>
      </c>
      <c r="H1015" t="s">
        <v>2012</v>
      </c>
      <c r="I1015" t="s">
        <v>33</v>
      </c>
      <c r="J1015" s="1">
        <v>45292</v>
      </c>
      <c r="K1015">
        <v>382000000</v>
      </c>
    </row>
    <row r="1016" spans="5:11" x14ac:dyDescent="0.25">
      <c r="E1016" t="s">
        <v>2013</v>
      </c>
      <c r="F1016">
        <v>883107</v>
      </c>
      <c r="G1016" s="1">
        <v>45382</v>
      </c>
      <c r="H1016" t="s">
        <v>2014</v>
      </c>
      <c r="I1016" t="s">
        <v>19</v>
      </c>
      <c r="J1016" s="1">
        <v>45292</v>
      </c>
      <c r="K1016">
        <v>893000</v>
      </c>
    </row>
    <row r="1017" spans="5:11" x14ac:dyDescent="0.25">
      <c r="E1017" t="s">
        <v>2015</v>
      </c>
      <c r="F1017">
        <v>883241</v>
      </c>
      <c r="G1017" s="1">
        <v>45412</v>
      </c>
      <c r="H1017" t="s">
        <v>2016</v>
      </c>
      <c r="I1017" t="s">
        <v>36</v>
      </c>
      <c r="J1017" s="1">
        <v>45323</v>
      </c>
      <c r="K1017">
        <v>292107000</v>
      </c>
    </row>
    <row r="1018" spans="5:11" x14ac:dyDescent="0.25">
      <c r="E1018" t="s">
        <v>2017</v>
      </c>
      <c r="F1018">
        <v>883902</v>
      </c>
      <c r="G1018" s="1">
        <v>45381</v>
      </c>
      <c r="H1018" t="s">
        <v>2018</v>
      </c>
      <c r="I1018" t="s">
        <v>172</v>
      </c>
      <c r="J1018" s="1">
        <v>45292</v>
      </c>
      <c r="K1018">
        <v>-118573000</v>
      </c>
    </row>
    <row r="1019" spans="5:11" x14ac:dyDescent="0.25">
      <c r="E1019" t="s">
        <v>2019</v>
      </c>
      <c r="F1019">
        <v>883948</v>
      </c>
      <c r="G1019" s="1">
        <v>45382</v>
      </c>
      <c r="H1019" t="s">
        <v>2020</v>
      </c>
      <c r="I1019" t="s">
        <v>123</v>
      </c>
      <c r="J1019" s="1">
        <v>45292</v>
      </c>
      <c r="K1019">
        <v>49769000</v>
      </c>
    </row>
    <row r="1020" spans="5:11" x14ac:dyDescent="0.25">
      <c r="E1020" t="s">
        <v>2021</v>
      </c>
      <c r="F1020">
        <v>883975</v>
      </c>
      <c r="G1020" s="1">
        <v>45382</v>
      </c>
      <c r="H1020" t="s">
        <v>2022</v>
      </c>
      <c r="I1020" t="s">
        <v>24</v>
      </c>
      <c r="J1020" s="1">
        <v>45292</v>
      </c>
      <c r="K1020">
        <v>-2371000</v>
      </c>
    </row>
    <row r="1021" spans="5:11" x14ac:dyDescent="0.25">
      <c r="E1021" t="s">
        <v>2023</v>
      </c>
      <c r="F1021">
        <v>883984</v>
      </c>
      <c r="G1021" s="1">
        <v>45382</v>
      </c>
      <c r="H1021" t="s">
        <v>2024</v>
      </c>
      <c r="I1021" t="s">
        <v>36</v>
      </c>
      <c r="J1021" s="1">
        <v>45292</v>
      </c>
      <c r="K1021">
        <v>-39471000</v>
      </c>
    </row>
    <row r="1022" spans="5:11" x14ac:dyDescent="0.25">
      <c r="E1022" t="s">
        <v>10376</v>
      </c>
      <c r="F1022">
        <v>884144</v>
      </c>
      <c r="G1022" s="1">
        <v>45382</v>
      </c>
      <c r="H1022" t="s">
        <v>10377</v>
      </c>
      <c r="I1022" t="s">
        <v>30</v>
      </c>
      <c r="J1022" s="1">
        <v>45292</v>
      </c>
      <c r="K1022">
        <v>-308000</v>
      </c>
    </row>
    <row r="1023" spans="5:11" x14ac:dyDescent="0.25">
      <c r="E1023" t="s">
        <v>2025</v>
      </c>
      <c r="F1023">
        <v>884219</v>
      </c>
      <c r="G1023" s="1">
        <v>45382</v>
      </c>
      <c r="H1023" t="s">
        <v>2026</v>
      </c>
      <c r="I1023" t="s">
        <v>113</v>
      </c>
      <c r="J1023" s="1">
        <v>45292</v>
      </c>
      <c r="K1023">
        <v>-25117000</v>
      </c>
    </row>
    <row r="1024" spans="5:11" x14ac:dyDescent="0.25">
      <c r="E1024" t="s">
        <v>2027</v>
      </c>
      <c r="F1024">
        <v>884269</v>
      </c>
      <c r="G1024" s="1">
        <v>45382</v>
      </c>
      <c r="H1024" t="s">
        <v>2028</v>
      </c>
      <c r="I1024" t="s">
        <v>912</v>
      </c>
      <c r="J1024" s="1">
        <v>45292</v>
      </c>
      <c r="K1024">
        <v>576000</v>
      </c>
    </row>
    <row r="1025" spans="5:11" x14ac:dyDescent="0.25">
      <c r="E1025" t="s">
        <v>2029</v>
      </c>
      <c r="F1025">
        <v>884614</v>
      </c>
      <c r="G1025" s="1">
        <v>45382</v>
      </c>
      <c r="H1025" t="s">
        <v>2030</v>
      </c>
      <c r="I1025" t="s">
        <v>39</v>
      </c>
      <c r="J1025" s="1">
        <v>45292</v>
      </c>
      <c r="K1025">
        <v>496000000</v>
      </c>
    </row>
    <row r="1026" spans="5:11" x14ac:dyDescent="0.25">
      <c r="E1026" t="s">
        <v>2031</v>
      </c>
      <c r="F1026">
        <v>884624</v>
      </c>
      <c r="G1026" s="1">
        <v>45382</v>
      </c>
      <c r="H1026" t="s">
        <v>2032</v>
      </c>
      <c r="I1026" t="s">
        <v>30</v>
      </c>
      <c r="J1026" s="1">
        <v>45292</v>
      </c>
      <c r="K1026">
        <v>-36020000</v>
      </c>
    </row>
    <row r="1027" spans="5:11" x14ac:dyDescent="0.25">
      <c r="E1027" t="s">
        <v>2033</v>
      </c>
      <c r="F1027">
        <v>884713</v>
      </c>
      <c r="G1027" s="1">
        <v>45381</v>
      </c>
      <c r="H1027" t="s">
        <v>2034</v>
      </c>
      <c r="I1027" t="s">
        <v>33</v>
      </c>
      <c r="J1027" s="1">
        <v>45291</v>
      </c>
      <c r="K1027">
        <v>25000000</v>
      </c>
    </row>
    <row r="1028" spans="5:11" x14ac:dyDescent="0.25">
      <c r="E1028" t="s">
        <v>2035</v>
      </c>
      <c r="F1028">
        <v>884887</v>
      </c>
      <c r="G1028" s="1">
        <v>45382</v>
      </c>
      <c r="H1028" t="s">
        <v>2036</v>
      </c>
      <c r="I1028" t="s">
        <v>33</v>
      </c>
      <c r="J1028" s="1">
        <v>45292</v>
      </c>
      <c r="K1028">
        <v>360000000</v>
      </c>
    </row>
    <row r="1029" spans="5:11" x14ac:dyDescent="0.25">
      <c r="E1029" t="s">
        <v>2037</v>
      </c>
      <c r="F1029">
        <v>885245</v>
      </c>
      <c r="G1029" s="1">
        <v>45416</v>
      </c>
      <c r="H1029" t="s">
        <v>2038</v>
      </c>
      <c r="I1029" t="s">
        <v>763</v>
      </c>
      <c r="J1029" s="1">
        <v>45326</v>
      </c>
      <c r="K1029">
        <v>34843000</v>
      </c>
    </row>
    <row r="1030" spans="5:11" x14ac:dyDescent="0.25">
      <c r="E1030" t="s">
        <v>2039</v>
      </c>
      <c r="F1030">
        <v>885275</v>
      </c>
      <c r="G1030" s="1">
        <v>45382</v>
      </c>
      <c r="H1030" t="s">
        <v>2040</v>
      </c>
      <c r="I1030" t="s">
        <v>69</v>
      </c>
      <c r="J1030" s="1">
        <v>45292</v>
      </c>
      <c r="K1030">
        <v>12768000</v>
      </c>
    </row>
    <row r="1031" spans="5:11" x14ac:dyDescent="0.25">
      <c r="E1031" t="s">
        <v>2041</v>
      </c>
      <c r="F1031">
        <v>885307</v>
      </c>
      <c r="G1031" s="1">
        <v>45351</v>
      </c>
      <c r="H1031" t="s">
        <v>2042</v>
      </c>
      <c r="I1031" t="s">
        <v>963</v>
      </c>
      <c r="J1031" s="1">
        <v>45261</v>
      </c>
      <c r="K1031">
        <v>-534145</v>
      </c>
    </row>
    <row r="1032" spans="5:11" x14ac:dyDescent="0.25">
      <c r="E1032" t="s">
        <v>2043</v>
      </c>
      <c r="F1032">
        <v>885462</v>
      </c>
      <c r="G1032" s="1">
        <v>45382</v>
      </c>
      <c r="H1032" t="s">
        <v>2044</v>
      </c>
      <c r="I1032" t="s">
        <v>2045</v>
      </c>
      <c r="J1032" s="1">
        <v>45292</v>
      </c>
      <c r="K1032">
        <v>-3992132</v>
      </c>
    </row>
    <row r="1033" spans="5:11" x14ac:dyDescent="0.25">
      <c r="E1033" t="s">
        <v>2046</v>
      </c>
      <c r="F1033">
        <v>885550</v>
      </c>
      <c r="G1033" s="1">
        <v>45382</v>
      </c>
      <c r="H1033" t="s">
        <v>2047</v>
      </c>
      <c r="I1033" t="s">
        <v>329</v>
      </c>
      <c r="J1033" s="1">
        <v>45292</v>
      </c>
      <c r="K1033">
        <v>64300000</v>
      </c>
    </row>
    <row r="1034" spans="5:11" x14ac:dyDescent="0.25">
      <c r="E1034" t="s">
        <v>2048</v>
      </c>
      <c r="F1034">
        <v>885568</v>
      </c>
      <c r="G1034" s="1">
        <v>45382</v>
      </c>
      <c r="H1034" t="s">
        <v>2049</v>
      </c>
      <c r="I1034" t="s">
        <v>123</v>
      </c>
      <c r="J1034" s="1">
        <v>45292</v>
      </c>
      <c r="K1034">
        <v>3190000</v>
      </c>
    </row>
    <row r="1035" spans="5:11" x14ac:dyDescent="0.25">
      <c r="E1035" t="s">
        <v>2050</v>
      </c>
      <c r="F1035">
        <v>885590</v>
      </c>
      <c r="G1035" s="1">
        <v>45382</v>
      </c>
      <c r="H1035" t="s">
        <v>2051</v>
      </c>
      <c r="I1035" t="s">
        <v>2052</v>
      </c>
      <c r="J1035" s="1">
        <v>45292</v>
      </c>
      <c r="K1035">
        <v>-64000000</v>
      </c>
    </row>
    <row r="1036" spans="5:11" x14ac:dyDescent="0.25">
      <c r="E1036" t="s">
        <v>2053</v>
      </c>
      <c r="F1036">
        <v>885639</v>
      </c>
      <c r="G1036" s="1">
        <v>45416</v>
      </c>
      <c r="H1036" t="s">
        <v>2054</v>
      </c>
      <c r="I1036" t="s">
        <v>83</v>
      </c>
      <c r="J1036" s="1">
        <v>45326</v>
      </c>
      <c r="K1036">
        <v>-27000000</v>
      </c>
    </row>
    <row r="1037" spans="5:11" x14ac:dyDescent="0.25">
      <c r="E1037" t="s">
        <v>2055</v>
      </c>
      <c r="F1037">
        <v>885978</v>
      </c>
      <c r="G1037" s="1">
        <v>45382</v>
      </c>
      <c r="H1037" t="s">
        <v>2056</v>
      </c>
      <c r="I1037" t="s">
        <v>30</v>
      </c>
      <c r="J1037" s="1">
        <v>45292</v>
      </c>
      <c r="K1037">
        <v>8046000</v>
      </c>
    </row>
    <row r="1038" spans="5:11" x14ac:dyDescent="0.25">
      <c r="E1038" t="s">
        <v>2057</v>
      </c>
      <c r="F1038">
        <v>886128</v>
      </c>
      <c r="G1038" s="1">
        <v>45412</v>
      </c>
      <c r="H1038" t="s">
        <v>2058</v>
      </c>
      <c r="I1038" t="s">
        <v>27</v>
      </c>
      <c r="J1038" s="1">
        <v>45323</v>
      </c>
      <c r="K1038">
        <v>-32140000</v>
      </c>
    </row>
    <row r="1039" spans="5:11" x14ac:dyDescent="0.25">
      <c r="E1039" t="s">
        <v>2059</v>
      </c>
      <c r="F1039">
        <v>886136</v>
      </c>
      <c r="G1039" s="1">
        <v>45382</v>
      </c>
      <c r="H1039" t="s">
        <v>2060</v>
      </c>
      <c r="I1039" t="s">
        <v>329</v>
      </c>
      <c r="J1039" s="1">
        <v>45292</v>
      </c>
      <c r="K1039">
        <v>-1577000</v>
      </c>
    </row>
    <row r="1040" spans="5:11" x14ac:dyDescent="0.25">
      <c r="E1040" t="s">
        <v>2061</v>
      </c>
      <c r="F1040">
        <v>886163</v>
      </c>
      <c r="G1040" s="1">
        <v>45382</v>
      </c>
      <c r="H1040" t="s">
        <v>2062</v>
      </c>
      <c r="I1040" t="s">
        <v>33</v>
      </c>
      <c r="J1040" s="1">
        <v>45292</v>
      </c>
      <c r="K1040">
        <v>86139000</v>
      </c>
    </row>
    <row r="1041" spans="5:11" x14ac:dyDescent="0.25">
      <c r="E1041" t="s">
        <v>2063</v>
      </c>
      <c r="F1041">
        <v>886206</v>
      </c>
      <c r="G1041" s="1">
        <v>45351</v>
      </c>
      <c r="H1041" t="s">
        <v>2064</v>
      </c>
      <c r="I1041" t="s">
        <v>406</v>
      </c>
      <c r="J1041" s="1">
        <v>45261</v>
      </c>
      <c r="K1041">
        <v>874000</v>
      </c>
    </row>
    <row r="1042" spans="5:11" x14ac:dyDescent="0.25">
      <c r="E1042" t="s">
        <v>2065</v>
      </c>
      <c r="F1042">
        <v>886346</v>
      </c>
      <c r="G1042" s="1">
        <v>45381</v>
      </c>
      <c r="H1042" t="s">
        <v>2066</v>
      </c>
      <c r="I1042" t="s">
        <v>24</v>
      </c>
      <c r="J1042" s="1">
        <v>45291</v>
      </c>
      <c r="K1042">
        <v>24689000</v>
      </c>
    </row>
    <row r="1043" spans="5:11" x14ac:dyDescent="0.25">
      <c r="E1043" t="s">
        <v>2067</v>
      </c>
      <c r="F1043">
        <v>886744</v>
      </c>
      <c r="G1043" s="1">
        <v>45382</v>
      </c>
      <c r="H1043" t="s">
        <v>2068</v>
      </c>
      <c r="I1043" t="s">
        <v>36</v>
      </c>
      <c r="J1043" s="1">
        <v>45292</v>
      </c>
      <c r="K1043">
        <v>-55390000</v>
      </c>
    </row>
    <row r="1044" spans="5:11" x14ac:dyDescent="0.25">
      <c r="E1044" t="s">
        <v>2069</v>
      </c>
      <c r="F1044">
        <v>886835</v>
      </c>
      <c r="G1044" s="1">
        <v>45382</v>
      </c>
      <c r="H1044" t="s">
        <v>2070</v>
      </c>
      <c r="I1044" t="s">
        <v>30</v>
      </c>
      <c r="J1044" s="1">
        <v>45292</v>
      </c>
      <c r="K1044">
        <v>37895000</v>
      </c>
    </row>
    <row r="1045" spans="5:11" x14ac:dyDescent="0.25">
      <c r="E1045" t="s">
        <v>2071</v>
      </c>
      <c r="F1045">
        <v>886982</v>
      </c>
      <c r="G1045" s="1">
        <v>45382</v>
      </c>
      <c r="H1045" t="s">
        <v>2072</v>
      </c>
      <c r="I1045" t="s">
        <v>57</v>
      </c>
      <c r="J1045" s="1">
        <v>45292</v>
      </c>
      <c r="K1045">
        <v>4132000000</v>
      </c>
    </row>
    <row r="1046" spans="5:11" x14ac:dyDescent="0.25">
      <c r="E1046" t="s">
        <v>2073</v>
      </c>
      <c r="F1046">
        <v>887343</v>
      </c>
      <c r="G1046" s="1">
        <v>45382</v>
      </c>
      <c r="H1046" t="s">
        <v>2074</v>
      </c>
      <c r="I1046" t="s">
        <v>504</v>
      </c>
      <c r="J1046" s="1">
        <v>45292</v>
      </c>
      <c r="K1046">
        <v>124080000</v>
      </c>
    </row>
    <row r="1047" spans="5:11" x14ac:dyDescent="0.25">
      <c r="E1047" t="s">
        <v>2075</v>
      </c>
      <c r="F1047">
        <v>887359</v>
      </c>
      <c r="G1047" s="1">
        <v>45382</v>
      </c>
      <c r="H1047" t="s">
        <v>2076</v>
      </c>
      <c r="I1047" t="s">
        <v>24</v>
      </c>
      <c r="J1047" s="1">
        <v>45292</v>
      </c>
      <c r="K1047">
        <v>-3862000</v>
      </c>
    </row>
    <row r="1048" spans="5:11" x14ac:dyDescent="0.25">
      <c r="E1048" t="s">
        <v>2077</v>
      </c>
      <c r="F1048">
        <v>887396</v>
      </c>
      <c r="G1048" s="1">
        <v>45382</v>
      </c>
      <c r="H1048" t="s">
        <v>2078</v>
      </c>
      <c r="I1048" t="s">
        <v>277</v>
      </c>
      <c r="J1048" s="1">
        <v>45292</v>
      </c>
      <c r="K1048">
        <v>-3975196</v>
      </c>
    </row>
    <row r="1049" spans="5:11" x14ac:dyDescent="0.25">
      <c r="E1049" t="s">
        <v>2079</v>
      </c>
      <c r="F1049">
        <v>887596</v>
      </c>
      <c r="G1049" s="1">
        <v>45384</v>
      </c>
      <c r="H1049" t="s">
        <v>2080</v>
      </c>
      <c r="I1049" t="s">
        <v>36</v>
      </c>
      <c r="J1049" s="1">
        <v>45294</v>
      </c>
      <c r="K1049">
        <v>33191000</v>
      </c>
    </row>
    <row r="1050" spans="5:11" x14ac:dyDescent="0.25">
      <c r="E1050" t="s">
        <v>2081</v>
      </c>
      <c r="F1050">
        <v>887733</v>
      </c>
      <c r="G1050" s="1">
        <v>45381</v>
      </c>
      <c r="H1050" t="s">
        <v>2082</v>
      </c>
      <c r="I1050" t="s">
        <v>36</v>
      </c>
      <c r="J1050" s="1">
        <v>45291</v>
      </c>
      <c r="K1050">
        <v>61987000</v>
      </c>
    </row>
    <row r="1051" spans="5:11" x14ac:dyDescent="0.25">
      <c r="E1051" t="s">
        <v>2083</v>
      </c>
      <c r="F1051">
        <v>887905</v>
      </c>
      <c r="G1051" s="1">
        <v>45382</v>
      </c>
      <c r="H1051" t="s">
        <v>2084</v>
      </c>
      <c r="I1051" t="s">
        <v>36</v>
      </c>
      <c r="J1051" s="1">
        <v>45292</v>
      </c>
      <c r="K1051">
        <v>24230000</v>
      </c>
    </row>
    <row r="1052" spans="5:11" x14ac:dyDescent="0.25">
      <c r="E1052" t="s">
        <v>10378</v>
      </c>
      <c r="F1052">
        <v>887936</v>
      </c>
      <c r="G1052" s="1">
        <v>45382</v>
      </c>
      <c r="H1052" t="s">
        <v>2085</v>
      </c>
      <c r="I1052" t="s">
        <v>899</v>
      </c>
      <c r="J1052" s="1">
        <v>45292</v>
      </c>
      <c r="K1052">
        <v>79965000</v>
      </c>
    </row>
    <row r="1053" spans="5:11" x14ac:dyDescent="0.25">
      <c r="E1053" t="s">
        <v>2086</v>
      </c>
      <c r="F1053">
        <v>888981</v>
      </c>
      <c r="G1053" s="1">
        <v>45382</v>
      </c>
      <c r="H1053" t="s">
        <v>2087</v>
      </c>
      <c r="I1053" t="s">
        <v>39</v>
      </c>
      <c r="J1053" s="1">
        <v>45292</v>
      </c>
      <c r="K1053">
        <v>-1028200</v>
      </c>
    </row>
    <row r="1054" spans="5:11" x14ac:dyDescent="0.25">
      <c r="E1054" t="s">
        <v>10379</v>
      </c>
      <c r="F1054">
        <v>889331</v>
      </c>
      <c r="G1054" s="1">
        <v>45381</v>
      </c>
      <c r="H1054" t="s">
        <v>2088</v>
      </c>
      <c r="I1054" t="s">
        <v>19</v>
      </c>
      <c r="J1054" s="1">
        <v>45291</v>
      </c>
      <c r="K1054">
        <v>48452000</v>
      </c>
    </row>
    <row r="1055" spans="5:11" x14ac:dyDescent="0.25">
      <c r="E1055" t="s">
        <v>2089</v>
      </c>
      <c r="F1055">
        <v>889348</v>
      </c>
      <c r="G1055" s="1">
        <v>45382</v>
      </c>
      <c r="H1055" t="s">
        <v>2090</v>
      </c>
      <c r="I1055" t="s">
        <v>57</v>
      </c>
      <c r="J1055" s="1">
        <v>45292</v>
      </c>
      <c r="K1055">
        <v>168238</v>
      </c>
    </row>
    <row r="1056" spans="5:11" x14ac:dyDescent="0.25">
      <c r="E1056" t="s">
        <v>2091</v>
      </c>
      <c r="F1056">
        <v>889353</v>
      </c>
      <c r="G1056" s="1">
        <v>45382</v>
      </c>
      <c r="H1056" t="s">
        <v>2092</v>
      </c>
      <c r="I1056" t="s">
        <v>406</v>
      </c>
      <c r="J1056" s="1">
        <v>45292</v>
      </c>
      <c r="K1056">
        <v>1352480</v>
      </c>
    </row>
    <row r="1057" spans="5:11" x14ac:dyDescent="0.25">
      <c r="E1057" t="s">
        <v>2093</v>
      </c>
      <c r="F1057">
        <v>889609</v>
      </c>
      <c r="G1057" s="1">
        <v>45382</v>
      </c>
      <c r="H1057" t="s">
        <v>2094</v>
      </c>
      <c r="I1057" t="s">
        <v>142</v>
      </c>
      <c r="J1057" s="1">
        <v>45292</v>
      </c>
      <c r="K1057">
        <v>4590000</v>
      </c>
    </row>
    <row r="1058" spans="5:11" x14ac:dyDescent="0.25">
      <c r="E1058" t="s">
        <v>2095</v>
      </c>
      <c r="F1058">
        <v>889900</v>
      </c>
      <c r="G1058" s="1">
        <v>45382</v>
      </c>
      <c r="H1058" t="s">
        <v>2096</v>
      </c>
      <c r="I1058" t="s">
        <v>30</v>
      </c>
      <c r="J1058" s="1">
        <v>45292</v>
      </c>
      <c r="K1058">
        <v>51235000</v>
      </c>
    </row>
    <row r="1059" spans="5:11" x14ac:dyDescent="0.25">
      <c r="E1059" t="s">
        <v>2097</v>
      </c>
      <c r="F1059">
        <v>889971</v>
      </c>
      <c r="G1059" s="1">
        <v>45382</v>
      </c>
      <c r="H1059" t="s">
        <v>2098</v>
      </c>
      <c r="I1059" t="s">
        <v>33</v>
      </c>
      <c r="J1059" s="1">
        <v>45292</v>
      </c>
      <c r="K1059">
        <v>-2597534</v>
      </c>
    </row>
    <row r="1060" spans="5:11" x14ac:dyDescent="0.25">
      <c r="E1060" t="s">
        <v>2099</v>
      </c>
      <c r="F1060">
        <v>890066</v>
      </c>
      <c r="G1060" s="1">
        <v>45382</v>
      </c>
      <c r="H1060" t="s">
        <v>2100</v>
      </c>
      <c r="I1060" t="s">
        <v>299</v>
      </c>
      <c r="J1060" s="1">
        <v>45292</v>
      </c>
      <c r="K1060">
        <v>3158</v>
      </c>
    </row>
    <row r="1061" spans="5:11" x14ac:dyDescent="0.25">
      <c r="E1061" t="s">
        <v>2101</v>
      </c>
      <c r="F1061">
        <v>890394</v>
      </c>
      <c r="G1061" s="1">
        <v>45382</v>
      </c>
      <c r="H1061" t="s">
        <v>2102</v>
      </c>
      <c r="I1061" t="s">
        <v>36</v>
      </c>
      <c r="J1061" s="1">
        <v>45292</v>
      </c>
      <c r="K1061">
        <v>-2031000</v>
      </c>
    </row>
    <row r="1062" spans="5:11" x14ac:dyDescent="0.25">
      <c r="E1062" t="s">
        <v>2103</v>
      </c>
      <c r="F1062">
        <v>890447</v>
      </c>
      <c r="G1062" s="1">
        <v>45382</v>
      </c>
      <c r="H1062" t="s">
        <v>2104</v>
      </c>
      <c r="I1062" t="s">
        <v>30</v>
      </c>
      <c r="J1062" s="1">
        <v>45292</v>
      </c>
      <c r="K1062">
        <v>-17734000</v>
      </c>
    </row>
    <row r="1063" spans="5:11" x14ac:dyDescent="0.25">
      <c r="E1063" t="s">
        <v>2105</v>
      </c>
      <c r="F1063">
        <v>890564</v>
      </c>
      <c r="G1063" s="1">
        <v>45382</v>
      </c>
      <c r="H1063" t="s">
        <v>2106</v>
      </c>
      <c r="I1063" t="s">
        <v>123</v>
      </c>
      <c r="J1063" s="1">
        <v>45292</v>
      </c>
      <c r="K1063">
        <v>38100000</v>
      </c>
    </row>
    <row r="1064" spans="5:11" x14ac:dyDescent="0.25">
      <c r="E1064" t="s">
        <v>2107</v>
      </c>
      <c r="F1064">
        <v>890821</v>
      </c>
      <c r="G1064" s="1">
        <v>45382</v>
      </c>
      <c r="H1064" t="s">
        <v>2108</v>
      </c>
      <c r="I1064" t="s">
        <v>33</v>
      </c>
      <c r="J1064" s="1">
        <v>45292</v>
      </c>
      <c r="K1064">
        <v>-2456915</v>
      </c>
    </row>
    <row r="1065" spans="5:11" x14ac:dyDescent="0.25">
      <c r="E1065" t="s">
        <v>2109</v>
      </c>
      <c r="F1065">
        <v>890926</v>
      </c>
      <c r="G1065" s="1">
        <v>45382</v>
      </c>
      <c r="H1065" t="s">
        <v>2110</v>
      </c>
      <c r="I1065" t="s">
        <v>39</v>
      </c>
      <c r="J1065" s="1">
        <v>45292</v>
      </c>
      <c r="K1065">
        <v>152354000</v>
      </c>
    </row>
    <row r="1066" spans="5:11" x14ac:dyDescent="0.25">
      <c r="E1066" t="s">
        <v>2111</v>
      </c>
      <c r="F1066">
        <v>891014</v>
      </c>
      <c r="G1066" s="1">
        <v>45382</v>
      </c>
      <c r="H1066" t="s">
        <v>2112</v>
      </c>
      <c r="I1066" t="s">
        <v>57</v>
      </c>
      <c r="J1066" s="1">
        <v>45292</v>
      </c>
      <c r="K1066">
        <v>46700000</v>
      </c>
    </row>
    <row r="1067" spans="5:11" x14ac:dyDescent="0.25">
      <c r="E1067" t="s">
        <v>10380</v>
      </c>
      <c r="F1067">
        <v>891166</v>
      </c>
      <c r="G1067" s="1">
        <v>45382</v>
      </c>
      <c r="H1067" t="s">
        <v>2113</v>
      </c>
      <c r="I1067" t="s">
        <v>33</v>
      </c>
      <c r="J1067" s="1">
        <v>45292</v>
      </c>
      <c r="K1067">
        <v>33657000</v>
      </c>
    </row>
    <row r="1068" spans="5:11" x14ac:dyDescent="0.25">
      <c r="E1068" t="s">
        <v>2114</v>
      </c>
      <c r="F1068">
        <v>891417</v>
      </c>
      <c r="G1068" s="1">
        <v>45382</v>
      </c>
      <c r="H1068" t="s">
        <v>2115</v>
      </c>
      <c r="I1068" t="s">
        <v>329</v>
      </c>
      <c r="J1068" s="1">
        <v>45292</v>
      </c>
      <c r="K1068">
        <v>-746207</v>
      </c>
    </row>
    <row r="1069" spans="5:11" x14ac:dyDescent="0.25">
      <c r="E1069" t="s">
        <v>2116</v>
      </c>
      <c r="F1069">
        <v>891482</v>
      </c>
      <c r="G1069" s="1">
        <v>45382</v>
      </c>
      <c r="H1069" t="s">
        <v>2117</v>
      </c>
      <c r="I1069" t="s">
        <v>142</v>
      </c>
      <c r="J1069" s="1">
        <v>45292</v>
      </c>
      <c r="K1069">
        <v>-11272000</v>
      </c>
    </row>
    <row r="1070" spans="5:11" x14ac:dyDescent="0.25">
      <c r="E1070" t="s">
        <v>2118</v>
      </c>
      <c r="F1070">
        <v>891532</v>
      </c>
      <c r="G1070" s="1">
        <v>45382</v>
      </c>
      <c r="H1070" t="s">
        <v>2119</v>
      </c>
      <c r="I1070" t="s">
        <v>64</v>
      </c>
      <c r="J1070" s="1">
        <v>45292</v>
      </c>
      <c r="K1070">
        <v>-3560000</v>
      </c>
    </row>
    <row r="1071" spans="5:11" x14ac:dyDescent="0.25">
      <c r="E1071" t="s">
        <v>2120</v>
      </c>
      <c r="F1071">
        <v>892553</v>
      </c>
      <c r="G1071" s="1">
        <v>45382</v>
      </c>
      <c r="H1071" t="s">
        <v>2121</v>
      </c>
      <c r="I1071" t="s">
        <v>64</v>
      </c>
      <c r="J1071" s="1">
        <v>45292</v>
      </c>
      <c r="K1071">
        <v>11300000</v>
      </c>
    </row>
    <row r="1072" spans="5:11" x14ac:dyDescent="0.25">
      <c r="E1072" t="s">
        <v>10381</v>
      </c>
      <c r="F1072">
        <v>893538</v>
      </c>
      <c r="G1072" s="1">
        <v>45382</v>
      </c>
      <c r="H1072" t="s">
        <v>2122</v>
      </c>
      <c r="I1072" t="s">
        <v>92</v>
      </c>
      <c r="J1072" s="1">
        <v>45292</v>
      </c>
      <c r="K1072">
        <v>131199000</v>
      </c>
    </row>
    <row r="1073" spans="5:11" x14ac:dyDescent="0.25">
      <c r="E1073" t="s">
        <v>2123</v>
      </c>
      <c r="F1073">
        <v>893691</v>
      </c>
      <c r="G1073" s="1">
        <v>45382</v>
      </c>
      <c r="H1073" t="s">
        <v>2124</v>
      </c>
      <c r="I1073" t="s">
        <v>912</v>
      </c>
      <c r="J1073" s="1">
        <v>45292</v>
      </c>
      <c r="K1073">
        <v>61055000</v>
      </c>
    </row>
    <row r="1074" spans="5:11" x14ac:dyDescent="0.25">
      <c r="E1074" t="s">
        <v>2125</v>
      </c>
      <c r="F1074">
        <v>893847</v>
      </c>
      <c r="G1074" s="1">
        <v>45382</v>
      </c>
      <c r="H1074" t="s">
        <v>2126</v>
      </c>
      <c r="I1074" t="s">
        <v>137</v>
      </c>
      <c r="J1074" s="1">
        <v>45292</v>
      </c>
      <c r="K1074">
        <v>4456000</v>
      </c>
    </row>
    <row r="1075" spans="5:11" x14ac:dyDescent="0.25">
      <c r="E1075" t="s">
        <v>10382</v>
      </c>
      <c r="F1075">
        <v>893949</v>
      </c>
      <c r="G1075" s="1">
        <v>45382</v>
      </c>
      <c r="H1075" t="s">
        <v>2127</v>
      </c>
      <c r="I1075" t="s">
        <v>33</v>
      </c>
      <c r="J1075" s="1">
        <v>45292</v>
      </c>
      <c r="K1075">
        <v>4035000</v>
      </c>
    </row>
    <row r="1076" spans="5:11" x14ac:dyDescent="0.25">
      <c r="E1076" t="s">
        <v>2128</v>
      </c>
      <c r="F1076">
        <v>894081</v>
      </c>
      <c r="G1076" s="1">
        <v>45382</v>
      </c>
      <c r="H1076" t="s">
        <v>2129</v>
      </c>
      <c r="I1076" t="s">
        <v>60</v>
      </c>
      <c r="J1076" s="1">
        <v>45292</v>
      </c>
      <c r="K1076">
        <v>8619000</v>
      </c>
    </row>
    <row r="1077" spans="5:11" x14ac:dyDescent="0.25">
      <c r="E1077" t="s">
        <v>2130</v>
      </c>
      <c r="F1077">
        <v>894315</v>
      </c>
      <c r="G1077" s="1">
        <v>45382</v>
      </c>
      <c r="H1077" t="s">
        <v>2131</v>
      </c>
      <c r="I1077" t="s">
        <v>60</v>
      </c>
      <c r="J1077" s="1">
        <v>45292</v>
      </c>
      <c r="K1077">
        <v>-23552000</v>
      </c>
    </row>
    <row r="1078" spans="5:11" x14ac:dyDescent="0.25">
      <c r="E1078" t="s">
        <v>2132</v>
      </c>
      <c r="F1078">
        <v>894405</v>
      </c>
      <c r="G1078" s="1">
        <v>45382</v>
      </c>
      <c r="H1078" t="s">
        <v>2133</v>
      </c>
      <c r="I1078" t="s">
        <v>251</v>
      </c>
      <c r="J1078" s="1">
        <v>45292</v>
      </c>
      <c r="K1078">
        <v>-2312000</v>
      </c>
    </row>
    <row r="1079" spans="5:11" x14ac:dyDescent="0.25">
      <c r="E1079" t="s">
        <v>2134</v>
      </c>
      <c r="F1079">
        <v>894501</v>
      </c>
      <c r="G1079" s="1">
        <v>45382</v>
      </c>
      <c r="H1079" t="s">
        <v>2135</v>
      </c>
      <c r="I1079" t="s">
        <v>123</v>
      </c>
      <c r="J1079" s="1">
        <v>45292</v>
      </c>
      <c r="K1079">
        <v>-165596</v>
      </c>
    </row>
    <row r="1080" spans="5:11" x14ac:dyDescent="0.25">
      <c r="E1080" t="s">
        <v>2136</v>
      </c>
      <c r="F1080">
        <v>894556</v>
      </c>
      <c r="G1080" s="1">
        <v>45382</v>
      </c>
      <c r="H1080" t="s">
        <v>2137</v>
      </c>
      <c r="I1080" t="s">
        <v>2138</v>
      </c>
      <c r="J1080" s="1">
        <v>45292</v>
      </c>
      <c r="K1080">
        <v>-3519710</v>
      </c>
    </row>
    <row r="1081" spans="5:11" x14ac:dyDescent="0.25">
      <c r="E1081" t="s">
        <v>2139</v>
      </c>
      <c r="F1081">
        <v>894560</v>
      </c>
      <c r="G1081" s="1">
        <v>45382</v>
      </c>
      <c r="H1081" t="s">
        <v>2140</v>
      </c>
      <c r="I1081" t="s">
        <v>406</v>
      </c>
      <c r="J1081" s="1">
        <v>45292</v>
      </c>
      <c r="K1081">
        <v>-39653</v>
      </c>
    </row>
    <row r="1082" spans="5:11" x14ac:dyDescent="0.25">
      <c r="E1082" t="s">
        <v>2141</v>
      </c>
      <c r="F1082">
        <v>894627</v>
      </c>
      <c r="G1082" s="1">
        <v>45382</v>
      </c>
      <c r="H1082" t="s">
        <v>2142</v>
      </c>
      <c r="I1082" t="s">
        <v>30</v>
      </c>
      <c r="J1082" s="1">
        <v>45292</v>
      </c>
      <c r="K1082">
        <v>7686000</v>
      </c>
    </row>
    <row r="1083" spans="5:11" x14ac:dyDescent="0.25">
      <c r="E1083" t="s">
        <v>2143</v>
      </c>
      <c r="F1083">
        <v>894671</v>
      </c>
      <c r="G1083" s="1">
        <v>45382</v>
      </c>
      <c r="H1083" t="s">
        <v>2144</v>
      </c>
      <c r="I1083" t="s">
        <v>60</v>
      </c>
      <c r="J1083" s="1">
        <v>45292</v>
      </c>
      <c r="K1083">
        <v>2793000</v>
      </c>
    </row>
    <row r="1084" spans="5:11" x14ac:dyDescent="0.25">
      <c r="E1084" t="s">
        <v>2145</v>
      </c>
      <c r="F1084">
        <v>894871</v>
      </c>
      <c r="G1084" s="1">
        <v>45382</v>
      </c>
      <c r="H1084" t="s">
        <v>2146</v>
      </c>
      <c r="I1084" t="s">
        <v>57</v>
      </c>
      <c r="J1084" s="1">
        <v>45292</v>
      </c>
      <c r="K1084">
        <v>-103358000</v>
      </c>
    </row>
    <row r="1085" spans="5:11" x14ac:dyDescent="0.25">
      <c r="E1085" t="s">
        <v>10383</v>
      </c>
      <c r="F1085">
        <v>895126</v>
      </c>
      <c r="G1085" s="1">
        <v>45382</v>
      </c>
      <c r="H1085" t="s">
        <v>10384</v>
      </c>
      <c r="I1085" t="s">
        <v>277</v>
      </c>
      <c r="J1085" s="1">
        <v>45292</v>
      </c>
      <c r="K1085">
        <v>26000000</v>
      </c>
    </row>
    <row r="1086" spans="5:11" x14ac:dyDescent="0.25">
      <c r="E1086" t="s">
        <v>10385</v>
      </c>
      <c r="F1086">
        <v>895417</v>
      </c>
      <c r="G1086" s="1">
        <v>45382</v>
      </c>
      <c r="H1086" t="s">
        <v>2147</v>
      </c>
      <c r="I1086" t="s">
        <v>19</v>
      </c>
      <c r="J1086" s="1">
        <v>45292</v>
      </c>
      <c r="K1086">
        <v>115271000</v>
      </c>
    </row>
    <row r="1087" spans="5:11" x14ac:dyDescent="0.25">
      <c r="E1087" t="s">
        <v>2148</v>
      </c>
      <c r="F1087">
        <v>895419</v>
      </c>
      <c r="G1087" s="1">
        <v>45382</v>
      </c>
      <c r="H1087" t="s">
        <v>2149</v>
      </c>
      <c r="I1087" t="s">
        <v>172</v>
      </c>
      <c r="J1087" s="1">
        <v>45292</v>
      </c>
      <c r="K1087">
        <v>-148900000</v>
      </c>
    </row>
    <row r="1088" spans="5:11" x14ac:dyDescent="0.25">
      <c r="E1088" t="s">
        <v>2150</v>
      </c>
      <c r="F1088">
        <v>895421</v>
      </c>
      <c r="G1088" s="1">
        <v>45382</v>
      </c>
      <c r="H1088" t="s">
        <v>2151</v>
      </c>
      <c r="I1088" t="s">
        <v>57</v>
      </c>
      <c r="J1088" s="1">
        <v>45292</v>
      </c>
      <c r="K1088">
        <v>3412000000</v>
      </c>
    </row>
    <row r="1089" spans="5:11" x14ac:dyDescent="0.25">
      <c r="E1089" t="s">
        <v>2152</v>
      </c>
      <c r="F1089">
        <v>895447</v>
      </c>
      <c r="G1089" s="1">
        <v>45416</v>
      </c>
      <c r="H1089" t="s">
        <v>2153</v>
      </c>
      <c r="I1089" t="s">
        <v>288</v>
      </c>
      <c r="J1089" s="1">
        <v>45326</v>
      </c>
      <c r="K1089">
        <v>17286000</v>
      </c>
    </row>
    <row r="1090" spans="5:11" x14ac:dyDescent="0.25">
      <c r="E1090" t="s">
        <v>2154</v>
      </c>
      <c r="F1090">
        <v>895456</v>
      </c>
      <c r="G1090" s="1">
        <v>45382</v>
      </c>
      <c r="H1090" t="s">
        <v>2155</v>
      </c>
      <c r="I1090" t="s">
        <v>60</v>
      </c>
      <c r="J1090" s="1">
        <v>45292</v>
      </c>
      <c r="K1090">
        <v>2550000</v>
      </c>
    </row>
    <row r="1091" spans="5:11" x14ac:dyDescent="0.25">
      <c r="E1091" t="s">
        <v>2156</v>
      </c>
      <c r="F1091">
        <v>895464</v>
      </c>
      <c r="G1091" s="1">
        <v>45382</v>
      </c>
      <c r="H1091" t="s">
        <v>2157</v>
      </c>
      <c r="I1091" t="s">
        <v>1164</v>
      </c>
      <c r="J1091" s="1">
        <v>45292</v>
      </c>
      <c r="K1091">
        <v>-409505</v>
      </c>
    </row>
    <row r="1092" spans="5:11" x14ac:dyDescent="0.25">
      <c r="E1092" t="s">
        <v>2158</v>
      </c>
      <c r="F1092">
        <v>896156</v>
      </c>
      <c r="G1092" s="1">
        <v>45382</v>
      </c>
      <c r="H1092" t="s">
        <v>2159</v>
      </c>
      <c r="I1092" t="s">
        <v>27</v>
      </c>
      <c r="J1092" s="1">
        <v>45292</v>
      </c>
      <c r="K1092">
        <v>12953000</v>
      </c>
    </row>
    <row r="1093" spans="5:11" x14ac:dyDescent="0.25">
      <c r="E1093" t="s">
        <v>2160</v>
      </c>
      <c r="F1093">
        <v>896159</v>
      </c>
      <c r="G1093" s="1">
        <v>45382</v>
      </c>
      <c r="H1093" t="s">
        <v>2161</v>
      </c>
      <c r="I1093" t="s">
        <v>2162</v>
      </c>
      <c r="J1093" s="1">
        <v>45292</v>
      </c>
      <c r="K1093">
        <v>2143000000</v>
      </c>
    </row>
    <row r="1094" spans="5:11" x14ac:dyDescent="0.25">
      <c r="E1094" t="s">
        <v>2163</v>
      </c>
      <c r="F1094">
        <v>896262</v>
      </c>
      <c r="G1094" s="1">
        <v>45382</v>
      </c>
      <c r="H1094" t="s">
        <v>2164</v>
      </c>
      <c r="I1094" t="s">
        <v>179</v>
      </c>
      <c r="J1094" s="1">
        <v>45292</v>
      </c>
      <c r="K1094">
        <v>14400000</v>
      </c>
    </row>
    <row r="1095" spans="5:11" x14ac:dyDescent="0.25">
      <c r="E1095" t="s">
        <v>2165</v>
      </c>
      <c r="F1095">
        <v>896264</v>
      </c>
      <c r="G1095" s="1">
        <v>45381</v>
      </c>
      <c r="H1095" t="s">
        <v>2166</v>
      </c>
      <c r="I1095" t="s">
        <v>406</v>
      </c>
      <c r="J1095" s="1">
        <v>45291</v>
      </c>
      <c r="K1095">
        <v>16537000</v>
      </c>
    </row>
    <row r="1096" spans="5:11" x14ac:dyDescent="0.25">
      <c r="E1096" t="s">
        <v>2167</v>
      </c>
      <c r="F1096">
        <v>896429</v>
      </c>
      <c r="G1096" s="1">
        <v>45382</v>
      </c>
      <c r="H1096" t="s">
        <v>2168</v>
      </c>
      <c r="I1096" t="s">
        <v>39</v>
      </c>
      <c r="J1096" s="1">
        <v>45292</v>
      </c>
      <c r="K1096">
        <v>4656000</v>
      </c>
    </row>
    <row r="1097" spans="5:11" x14ac:dyDescent="0.25">
      <c r="E1097" t="s">
        <v>2169</v>
      </c>
      <c r="F1097">
        <v>896493</v>
      </c>
      <c r="G1097" s="1">
        <v>45382</v>
      </c>
      <c r="H1097" t="s">
        <v>2170</v>
      </c>
      <c r="I1097" t="s">
        <v>142</v>
      </c>
      <c r="J1097" s="1">
        <v>45292</v>
      </c>
      <c r="K1097">
        <v>3717000</v>
      </c>
    </row>
    <row r="1098" spans="5:11" x14ac:dyDescent="0.25">
      <c r="E1098" t="s">
        <v>2171</v>
      </c>
      <c r="F1098">
        <v>896622</v>
      </c>
      <c r="G1098" s="1">
        <v>45382</v>
      </c>
      <c r="H1098" t="s">
        <v>2172</v>
      </c>
      <c r="I1098" t="s">
        <v>19</v>
      </c>
      <c r="J1098" s="1">
        <v>45292</v>
      </c>
      <c r="K1098">
        <v>83104000</v>
      </c>
    </row>
    <row r="1099" spans="5:11" x14ac:dyDescent="0.25">
      <c r="E1099" t="s">
        <v>2173</v>
      </c>
      <c r="F1099">
        <v>896878</v>
      </c>
      <c r="G1099" s="1">
        <v>45412</v>
      </c>
      <c r="H1099" t="s">
        <v>2174</v>
      </c>
      <c r="I1099" t="s">
        <v>36</v>
      </c>
      <c r="J1099" s="1">
        <v>45323</v>
      </c>
      <c r="K1099">
        <v>2389000000</v>
      </c>
    </row>
    <row r="1100" spans="5:11" x14ac:dyDescent="0.25">
      <c r="E1100" t="s">
        <v>2175</v>
      </c>
      <c r="F1100">
        <v>897077</v>
      </c>
      <c r="G1100" s="1">
        <v>45382</v>
      </c>
      <c r="H1100" t="s">
        <v>2176</v>
      </c>
      <c r="I1100" t="s">
        <v>30</v>
      </c>
      <c r="J1100" s="1">
        <v>45292</v>
      </c>
      <c r="K1100">
        <v>32120000</v>
      </c>
    </row>
    <row r="1101" spans="5:11" x14ac:dyDescent="0.25">
      <c r="E1101" t="s">
        <v>2177</v>
      </c>
      <c r="F1101">
        <v>897078</v>
      </c>
      <c r="G1101" s="1">
        <v>45382</v>
      </c>
      <c r="H1101" t="s">
        <v>2178</v>
      </c>
      <c r="I1101" t="s">
        <v>46</v>
      </c>
      <c r="J1101" s="1">
        <v>45292</v>
      </c>
      <c r="K1101">
        <v>-3688470</v>
      </c>
    </row>
    <row r="1102" spans="5:11" x14ac:dyDescent="0.25">
      <c r="E1102" t="s">
        <v>10386</v>
      </c>
      <c r="F1102">
        <v>897448</v>
      </c>
      <c r="G1102" s="1">
        <v>45382</v>
      </c>
      <c r="H1102" t="s">
        <v>2179</v>
      </c>
      <c r="I1102" t="s">
        <v>927</v>
      </c>
      <c r="J1102" s="1">
        <v>45292</v>
      </c>
      <c r="K1102">
        <v>-9953000</v>
      </c>
    </row>
    <row r="1103" spans="5:11" x14ac:dyDescent="0.25">
      <c r="E1103" t="s">
        <v>2180</v>
      </c>
      <c r="F1103">
        <v>897723</v>
      </c>
      <c r="G1103" s="1">
        <v>45381</v>
      </c>
      <c r="H1103" t="s">
        <v>2181</v>
      </c>
      <c r="I1103" t="s">
        <v>36</v>
      </c>
      <c r="J1103" s="1">
        <v>45291</v>
      </c>
      <c r="K1103">
        <v>52485000</v>
      </c>
    </row>
    <row r="1104" spans="5:11" x14ac:dyDescent="0.25">
      <c r="E1104" t="s">
        <v>2182</v>
      </c>
      <c r="F1104">
        <v>898173</v>
      </c>
      <c r="G1104" s="1">
        <v>45382</v>
      </c>
      <c r="H1104" t="s">
        <v>2183</v>
      </c>
      <c r="I1104" t="s">
        <v>137</v>
      </c>
      <c r="J1104" s="1">
        <v>45292</v>
      </c>
      <c r="K1104">
        <v>547238000</v>
      </c>
    </row>
    <row r="1105" spans="5:11" x14ac:dyDescent="0.25">
      <c r="E1105" t="s">
        <v>2184</v>
      </c>
      <c r="F1105">
        <v>898174</v>
      </c>
      <c r="G1105" s="1">
        <v>45382</v>
      </c>
      <c r="H1105" t="s">
        <v>2185</v>
      </c>
      <c r="I1105" t="s">
        <v>137</v>
      </c>
      <c r="J1105" s="1">
        <v>45292</v>
      </c>
      <c r="K1105">
        <v>210000000</v>
      </c>
    </row>
    <row r="1106" spans="5:11" x14ac:dyDescent="0.25">
      <c r="E1106" t="s">
        <v>2186</v>
      </c>
      <c r="F1106">
        <v>898293</v>
      </c>
      <c r="G1106" s="1">
        <v>45351</v>
      </c>
      <c r="H1106" t="s">
        <v>2187</v>
      </c>
      <c r="I1106" t="s">
        <v>33</v>
      </c>
      <c r="J1106" s="1">
        <v>45261</v>
      </c>
      <c r="K1106">
        <v>927000000</v>
      </c>
    </row>
    <row r="1107" spans="5:11" x14ac:dyDescent="0.25">
      <c r="E1107" t="s">
        <v>2188</v>
      </c>
      <c r="F1107">
        <v>898437</v>
      </c>
      <c r="G1107" s="1">
        <v>45382</v>
      </c>
      <c r="H1107" t="s">
        <v>2189</v>
      </c>
      <c r="I1107" t="s">
        <v>24</v>
      </c>
      <c r="J1107" s="1">
        <v>45292</v>
      </c>
      <c r="K1107">
        <v>-4514000</v>
      </c>
    </row>
    <row r="1108" spans="5:11" x14ac:dyDescent="0.25">
      <c r="E1108" t="s">
        <v>2190</v>
      </c>
      <c r="F1108">
        <v>899051</v>
      </c>
      <c r="G1108" s="1">
        <v>45382</v>
      </c>
      <c r="H1108" t="s">
        <v>2191</v>
      </c>
      <c r="I1108" t="s">
        <v>19</v>
      </c>
      <c r="J1108" s="1">
        <v>45292</v>
      </c>
      <c r="K1108">
        <v>1218000000</v>
      </c>
    </row>
    <row r="1109" spans="5:11" x14ac:dyDescent="0.25">
      <c r="E1109" t="s">
        <v>2192</v>
      </c>
      <c r="F1109">
        <v>899460</v>
      </c>
      <c r="G1109" s="1">
        <v>45382</v>
      </c>
      <c r="H1109" t="s">
        <v>2193</v>
      </c>
      <c r="I1109" t="s">
        <v>27</v>
      </c>
      <c r="J1109" s="1">
        <v>45292</v>
      </c>
      <c r="K1109">
        <v>10630000</v>
      </c>
    </row>
    <row r="1110" spans="5:11" x14ac:dyDescent="0.25">
      <c r="E1110" t="s">
        <v>2194</v>
      </c>
      <c r="F1110">
        <v>899689</v>
      </c>
      <c r="G1110" s="1">
        <v>45382</v>
      </c>
      <c r="H1110" t="s">
        <v>2195</v>
      </c>
      <c r="I1110" t="s">
        <v>57</v>
      </c>
      <c r="J1110" s="1">
        <v>45292</v>
      </c>
      <c r="K1110">
        <v>6495000</v>
      </c>
    </row>
    <row r="1111" spans="5:11" x14ac:dyDescent="0.25">
      <c r="E1111" t="s">
        <v>2196</v>
      </c>
      <c r="F1111">
        <v>899715</v>
      </c>
      <c r="G1111" s="1">
        <v>45382</v>
      </c>
      <c r="H1111" t="s">
        <v>2197</v>
      </c>
      <c r="I1111" t="s">
        <v>172</v>
      </c>
      <c r="J1111" s="1">
        <v>45292</v>
      </c>
      <c r="K1111">
        <v>22413000</v>
      </c>
    </row>
    <row r="1112" spans="5:11" x14ac:dyDescent="0.25">
      <c r="E1112" t="s">
        <v>2198</v>
      </c>
      <c r="F1112">
        <v>899751</v>
      </c>
      <c r="G1112" s="1">
        <v>45382</v>
      </c>
      <c r="H1112" t="s">
        <v>2199</v>
      </c>
      <c r="I1112" t="s">
        <v>19</v>
      </c>
      <c r="J1112" s="1">
        <v>45292</v>
      </c>
      <c r="K1112">
        <v>9201000</v>
      </c>
    </row>
    <row r="1113" spans="5:11" x14ac:dyDescent="0.25">
      <c r="E1113" t="s">
        <v>2200</v>
      </c>
      <c r="F1113">
        <v>899923</v>
      </c>
      <c r="G1113" s="1">
        <v>45382</v>
      </c>
      <c r="H1113" t="s">
        <v>2201</v>
      </c>
      <c r="I1113" t="s">
        <v>406</v>
      </c>
      <c r="J1113" s="1">
        <v>45292</v>
      </c>
      <c r="K1113">
        <v>-26000000</v>
      </c>
    </row>
    <row r="1114" spans="5:11" x14ac:dyDescent="0.25">
      <c r="E1114" t="s">
        <v>2202</v>
      </c>
      <c r="F1114">
        <v>900075</v>
      </c>
      <c r="G1114" s="1">
        <v>45412</v>
      </c>
      <c r="H1114" t="s">
        <v>2203</v>
      </c>
      <c r="I1114" t="s">
        <v>30</v>
      </c>
      <c r="J1114" s="1">
        <v>45323</v>
      </c>
      <c r="K1114">
        <v>382291000</v>
      </c>
    </row>
    <row r="1115" spans="5:11" x14ac:dyDescent="0.25">
      <c r="E1115" t="s">
        <v>2204</v>
      </c>
      <c r="F1115">
        <v>901491</v>
      </c>
      <c r="G1115" s="1">
        <v>45382</v>
      </c>
      <c r="H1115" t="s">
        <v>2205</v>
      </c>
      <c r="I1115" t="s">
        <v>190</v>
      </c>
      <c r="J1115" s="1">
        <v>45292</v>
      </c>
      <c r="K1115">
        <v>14636000</v>
      </c>
    </row>
    <row r="1116" spans="5:11" x14ac:dyDescent="0.25">
      <c r="E1116" t="s">
        <v>2206</v>
      </c>
      <c r="F1116">
        <v>902791</v>
      </c>
      <c r="G1116" s="1">
        <v>45382</v>
      </c>
      <c r="H1116" t="s">
        <v>2207</v>
      </c>
      <c r="I1116" t="s">
        <v>504</v>
      </c>
      <c r="J1116" s="1">
        <v>45292</v>
      </c>
      <c r="K1116">
        <v>-136000</v>
      </c>
    </row>
    <row r="1117" spans="5:11" x14ac:dyDescent="0.25">
      <c r="E1117" t="s">
        <v>2208</v>
      </c>
      <c r="F1117">
        <v>903419</v>
      </c>
      <c r="G1117" s="1">
        <v>45382</v>
      </c>
      <c r="H1117" t="s">
        <v>2209</v>
      </c>
      <c r="I1117" t="s">
        <v>518</v>
      </c>
      <c r="J1117" s="1">
        <v>45292</v>
      </c>
      <c r="K1117">
        <v>6432000</v>
      </c>
    </row>
    <row r="1118" spans="5:11" x14ac:dyDescent="0.25">
      <c r="E1118" t="s">
        <v>2210</v>
      </c>
      <c r="F1118">
        <v>903651</v>
      </c>
      <c r="G1118" s="1">
        <v>45382</v>
      </c>
      <c r="H1118" t="s">
        <v>2211</v>
      </c>
      <c r="I1118" t="s">
        <v>46</v>
      </c>
      <c r="J1118" s="1">
        <v>45292</v>
      </c>
      <c r="K1118">
        <v>989000</v>
      </c>
    </row>
    <row r="1119" spans="5:11" x14ac:dyDescent="0.25">
      <c r="E1119" t="s">
        <v>2212</v>
      </c>
      <c r="F1119">
        <v>906107</v>
      </c>
      <c r="G1119" s="1">
        <v>45382</v>
      </c>
      <c r="H1119" t="s">
        <v>2213</v>
      </c>
      <c r="I1119" t="s">
        <v>19</v>
      </c>
      <c r="J1119" s="1">
        <v>45292</v>
      </c>
      <c r="K1119">
        <v>295787000</v>
      </c>
    </row>
    <row r="1120" spans="5:11" x14ac:dyDescent="0.25">
      <c r="E1120" t="s">
        <v>2214</v>
      </c>
      <c r="F1120">
        <v>906163</v>
      </c>
      <c r="G1120" s="1">
        <v>45382</v>
      </c>
      <c r="H1120" t="s">
        <v>2215</v>
      </c>
      <c r="I1120" t="s">
        <v>123</v>
      </c>
      <c r="J1120" s="1">
        <v>45292</v>
      </c>
      <c r="K1120">
        <v>394269000</v>
      </c>
    </row>
    <row r="1121" spans="5:11" x14ac:dyDescent="0.25">
      <c r="E1121" t="s">
        <v>2216</v>
      </c>
      <c r="F1121">
        <v>906345</v>
      </c>
      <c r="G1121" s="1">
        <v>45382</v>
      </c>
      <c r="H1121" t="s">
        <v>2217</v>
      </c>
      <c r="I1121" t="s">
        <v>30</v>
      </c>
      <c r="J1121" s="1">
        <v>45292</v>
      </c>
      <c r="K1121">
        <v>83889000</v>
      </c>
    </row>
    <row r="1122" spans="5:11" x14ac:dyDescent="0.25">
      <c r="E1122" t="s">
        <v>2218</v>
      </c>
      <c r="F1122">
        <v>906465</v>
      </c>
      <c r="G1122" s="1">
        <v>45382</v>
      </c>
      <c r="H1122" t="s">
        <v>2219</v>
      </c>
      <c r="I1122" t="s">
        <v>19</v>
      </c>
      <c r="J1122" s="1">
        <v>45292</v>
      </c>
      <c r="K1122">
        <v>26726000</v>
      </c>
    </row>
    <row r="1123" spans="5:11" x14ac:dyDescent="0.25">
      <c r="E1123" t="s">
        <v>10387</v>
      </c>
      <c r="F1123">
        <v>906553</v>
      </c>
      <c r="G1123" s="1">
        <v>45382</v>
      </c>
      <c r="H1123" t="s">
        <v>2220</v>
      </c>
      <c r="I1123" t="s">
        <v>142</v>
      </c>
      <c r="J1123" s="1">
        <v>45292</v>
      </c>
      <c r="K1123">
        <v>136473000</v>
      </c>
    </row>
    <row r="1124" spans="5:11" x14ac:dyDescent="0.25">
      <c r="E1124" t="s">
        <v>2221</v>
      </c>
      <c r="F1124">
        <v>906709</v>
      </c>
      <c r="G1124" s="1">
        <v>45382</v>
      </c>
      <c r="H1124" t="s">
        <v>2222</v>
      </c>
      <c r="I1124" t="s">
        <v>36</v>
      </c>
      <c r="J1124" s="1">
        <v>45292</v>
      </c>
      <c r="K1124">
        <v>-36802000</v>
      </c>
    </row>
    <row r="1125" spans="5:11" x14ac:dyDescent="0.25">
      <c r="E1125" t="s">
        <v>2223</v>
      </c>
      <c r="F1125">
        <v>907242</v>
      </c>
      <c r="G1125" s="1">
        <v>45382</v>
      </c>
      <c r="H1125" t="s">
        <v>2224</v>
      </c>
      <c r="I1125" t="s">
        <v>142</v>
      </c>
      <c r="J1125" s="1">
        <v>45292</v>
      </c>
      <c r="K1125">
        <v>18275000</v>
      </c>
    </row>
    <row r="1126" spans="5:11" x14ac:dyDescent="0.25">
      <c r="E1126" t="s">
        <v>2225</v>
      </c>
      <c r="F1126">
        <v>907254</v>
      </c>
      <c r="G1126" s="1">
        <v>45382</v>
      </c>
      <c r="H1126" t="s">
        <v>2226</v>
      </c>
      <c r="I1126" t="s">
        <v>299</v>
      </c>
      <c r="J1126" s="1">
        <v>45292</v>
      </c>
      <c r="K1126">
        <v>13630000</v>
      </c>
    </row>
    <row r="1127" spans="5:11" x14ac:dyDescent="0.25">
      <c r="E1127" t="s">
        <v>2227</v>
      </c>
      <c r="F1127">
        <v>907471</v>
      </c>
      <c r="G1127" s="1">
        <v>45382</v>
      </c>
      <c r="H1127" t="s">
        <v>2228</v>
      </c>
      <c r="I1127" t="s">
        <v>2045</v>
      </c>
      <c r="J1127" s="1">
        <v>45292</v>
      </c>
      <c r="K1127">
        <v>65268000</v>
      </c>
    </row>
    <row r="1128" spans="5:11" x14ac:dyDescent="0.25">
      <c r="E1128" t="s">
        <v>2229</v>
      </c>
      <c r="F1128">
        <v>907654</v>
      </c>
      <c r="G1128" s="1">
        <v>45382</v>
      </c>
      <c r="H1128" t="s">
        <v>2230</v>
      </c>
      <c r="I1128" t="s">
        <v>92</v>
      </c>
      <c r="J1128" s="1">
        <v>45292</v>
      </c>
      <c r="K1128">
        <v>-2009000</v>
      </c>
    </row>
    <row r="1129" spans="5:11" x14ac:dyDescent="0.25">
      <c r="E1129" t="s">
        <v>2231</v>
      </c>
      <c r="F1129">
        <v>908255</v>
      </c>
      <c r="G1129" s="1">
        <v>45382</v>
      </c>
      <c r="H1129" t="s">
        <v>2232</v>
      </c>
      <c r="I1129" t="s">
        <v>329</v>
      </c>
      <c r="J1129" s="1">
        <v>45292</v>
      </c>
      <c r="K1129">
        <v>206000000</v>
      </c>
    </row>
    <row r="1130" spans="5:11" x14ac:dyDescent="0.25">
      <c r="E1130" t="s">
        <v>2233</v>
      </c>
      <c r="F1130">
        <v>908259</v>
      </c>
      <c r="G1130" s="1">
        <v>45382</v>
      </c>
      <c r="H1130" t="s">
        <v>2234</v>
      </c>
      <c r="I1130" t="s">
        <v>36</v>
      </c>
      <c r="J1130" s="1">
        <v>45292</v>
      </c>
      <c r="K1130">
        <v>-408676</v>
      </c>
    </row>
    <row r="1131" spans="5:11" x14ac:dyDescent="0.25">
      <c r="E1131" t="s">
        <v>2235</v>
      </c>
      <c r="F1131">
        <v>908311</v>
      </c>
      <c r="G1131" s="1">
        <v>45382</v>
      </c>
      <c r="H1131" t="s">
        <v>2236</v>
      </c>
      <c r="I1131" t="s">
        <v>30</v>
      </c>
      <c r="J1131" s="1">
        <v>45292</v>
      </c>
      <c r="K1131">
        <v>-3730000</v>
      </c>
    </row>
    <row r="1132" spans="5:11" x14ac:dyDescent="0.25">
      <c r="E1132" t="s">
        <v>2237</v>
      </c>
      <c r="F1132">
        <v>908315</v>
      </c>
      <c r="G1132" s="1">
        <v>45381</v>
      </c>
      <c r="H1132" t="s">
        <v>2238</v>
      </c>
      <c r="I1132" t="s">
        <v>213</v>
      </c>
      <c r="J1132" s="1">
        <v>45291</v>
      </c>
      <c r="K1132">
        <v>8819000</v>
      </c>
    </row>
    <row r="1133" spans="5:11" x14ac:dyDescent="0.25">
      <c r="E1133" t="s">
        <v>2239</v>
      </c>
      <c r="F1133">
        <v>908937</v>
      </c>
      <c r="G1133" s="1">
        <v>45382</v>
      </c>
      <c r="H1133" t="s">
        <v>2240</v>
      </c>
      <c r="I1133" t="s">
        <v>57</v>
      </c>
      <c r="J1133" s="1">
        <v>45292</v>
      </c>
      <c r="K1133">
        <v>265000000</v>
      </c>
    </row>
    <row r="1134" spans="5:11" x14ac:dyDescent="0.25">
      <c r="E1134" t="s">
        <v>2241</v>
      </c>
      <c r="F1134">
        <v>909108</v>
      </c>
      <c r="G1134" s="1">
        <v>45382</v>
      </c>
      <c r="H1134" t="s">
        <v>2242</v>
      </c>
      <c r="I1134" t="s">
        <v>60</v>
      </c>
      <c r="J1134" s="1">
        <v>45292</v>
      </c>
      <c r="K1134">
        <v>13015933</v>
      </c>
    </row>
    <row r="1135" spans="5:11" x14ac:dyDescent="0.25">
      <c r="E1135" t="s">
        <v>2243</v>
      </c>
      <c r="F1135">
        <v>909494</v>
      </c>
      <c r="G1135" s="1">
        <v>45382</v>
      </c>
      <c r="H1135" t="s">
        <v>2244</v>
      </c>
      <c r="I1135" t="s">
        <v>912</v>
      </c>
      <c r="J1135" s="1">
        <v>45292</v>
      </c>
      <c r="K1135">
        <v>-26484000</v>
      </c>
    </row>
    <row r="1136" spans="5:11" x14ac:dyDescent="0.25">
      <c r="E1136" t="s">
        <v>2245</v>
      </c>
      <c r="F1136">
        <v>909724</v>
      </c>
      <c r="G1136" s="1">
        <v>45382</v>
      </c>
      <c r="H1136" t="s">
        <v>2246</v>
      </c>
      <c r="I1136" t="s">
        <v>30</v>
      </c>
      <c r="J1136" s="1">
        <v>45292</v>
      </c>
      <c r="K1136">
        <v>525000</v>
      </c>
    </row>
    <row r="1137" spans="5:11" x14ac:dyDescent="0.25">
      <c r="E1137" t="s">
        <v>2247</v>
      </c>
      <c r="F1137">
        <v>909832</v>
      </c>
      <c r="G1137" s="1">
        <v>45424</v>
      </c>
      <c r="H1137" t="s">
        <v>2248</v>
      </c>
      <c r="I1137" t="s">
        <v>504</v>
      </c>
      <c r="J1137" s="1">
        <v>45341</v>
      </c>
      <c r="K1137">
        <v>1681000000</v>
      </c>
    </row>
    <row r="1138" spans="5:11" x14ac:dyDescent="0.25">
      <c r="E1138" t="s">
        <v>2249</v>
      </c>
      <c r="F1138">
        <v>910073</v>
      </c>
      <c r="G1138" s="1">
        <v>45382</v>
      </c>
      <c r="H1138" t="s">
        <v>2250</v>
      </c>
      <c r="I1138" t="s">
        <v>57</v>
      </c>
      <c r="J1138" s="1">
        <v>45292</v>
      </c>
      <c r="K1138">
        <v>-327000000</v>
      </c>
    </row>
    <row r="1139" spans="5:11" x14ac:dyDescent="0.25">
      <c r="E1139" t="s">
        <v>2251</v>
      </c>
      <c r="F1139">
        <v>910108</v>
      </c>
      <c r="G1139" s="1">
        <v>45382</v>
      </c>
      <c r="H1139" t="s">
        <v>2252</v>
      </c>
      <c r="I1139" t="s">
        <v>33</v>
      </c>
      <c r="J1139" s="1">
        <v>45292</v>
      </c>
      <c r="K1139">
        <v>-269000</v>
      </c>
    </row>
    <row r="1140" spans="5:11" x14ac:dyDescent="0.25">
      <c r="E1140" t="s">
        <v>2253</v>
      </c>
      <c r="F1140">
        <v>910267</v>
      </c>
      <c r="G1140" s="1">
        <v>45382</v>
      </c>
      <c r="H1140" t="s">
        <v>2254</v>
      </c>
      <c r="I1140" t="s">
        <v>36</v>
      </c>
      <c r="J1140" s="1">
        <v>45292</v>
      </c>
      <c r="K1140">
        <v>-1060000</v>
      </c>
    </row>
    <row r="1141" spans="5:11" x14ac:dyDescent="0.25">
      <c r="E1141" t="s">
        <v>2255</v>
      </c>
      <c r="F1141">
        <v>910329</v>
      </c>
      <c r="G1141" s="1">
        <v>45382</v>
      </c>
      <c r="H1141" t="s">
        <v>2256</v>
      </c>
      <c r="I1141" t="s">
        <v>299</v>
      </c>
      <c r="J1141" s="1">
        <v>45292</v>
      </c>
      <c r="K1141">
        <v>8316000</v>
      </c>
    </row>
    <row r="1142" spans="5:11" x14ac:dyDescent="0.25">
      <c r="E1142" t="s">
        <v>2257</v>
      </c>
      <c r="F1142">
        <v>910406</v>
      </c>
      <c r="G1142" s="1">
        <v>45382</v>
      </c>
      <c r="H1142" t="s">
        <v>2258</v>
      </c>
      <c r="I1142" t="s">
        <v>46</v>
      </c>
      <c r="J1142" s="1">
        <v>45292</v>
      </c>
      <c r="K1142">
        <v>-48194000</v>
      </c>
    </row>
    <row r="1143" spans="5:11" x14ac:dyDescent="0.25">
      <c r="E1143" t="s">
        <v>2259</v>
      </c>
      <c r="F1143">
        <v>910521</v>
      </c>
      <c r="G1143" s="1">
        <v>45382</v>
      </c>
      <c r="H1143" t="s">
        <v>2260</v>
      </c>
      <c r="I1143" t="s">
        <v>36</v>
      </c>
      <c r="J1143" s="1">
        <v>45292</v>
      </c>
      <c r="K1143">
        <v>127545000</v>
      </c>
    </row>
    <row r="1144" spans="5:11" x14ac:dyDescent="0.25">
      <c r="E1144" t="s">
        <v>2261</v>
      </c>
      <c r="F1144">
        <v>910606</v>
      </c>
      <c r="G1144" s="1">
        <v>45382</v>
      </c>
      <c r="H1144" t="s">
        <v>2262</v>
      </c>
      <c r="I1144" t="s">
        <v>33</v>
      </c>
      <c r="J1144" s="1">
        <v>45292</v>
      </c>
      <c r="K1144">
        <v>109774000</v>
      </c>
    </row>
    <row r="1145" spans="5:11" x14ac:dyDescent="0.25">
      <c r="E1145" t="s">
        <v>2263</v>
      </c>
      <c r="F1145">
        <v>910612</v>
      </c>
      <c r="G1145" s="1">
        <v>45382</v>
      </c>
      <c r="H1145" t="s">
        <v>2264</v>
      </c>
      <c r="I1145" t="s">
        <v>69</v>
      </c>
      <c r="J1145" s="1">
        <v>45292</v>
      </c>
      <c r="K1145">
        <v>50000</v>
      </c>
    </row>
    <row r="1146" spans="5:11" x14ac:dyDescent="0.25">
      <c r="E1146" t="s">
        <v>2265</v>
      </c>
      <c r="F1146">
        <v>910638</v>
      </c>
      <c r="G1146" s="1">
        <v>45382</v>
      </c>
      <c r="H1146" t="s">
        <v>2266</v>
      </c>
      <c r="I1146" t="s">
        <v>686</v>
      </c>
      <c r="J1146" s="1">
        <v>45292</v>
      </c>
      <c r="K1146">
        <v>-16001000</v>
      </c>
    </row>
    <row r="1147" spans="5:11" x14ac:dyDescent="0.25">
      <c r="E1147" t="s">
        <v>2267</v>
      </c>
      <c r="F1147">
        <v>911147</v>
      </c>
      <c r="G1147" s="1">
        <v>45382</v>
      </c>
      <c r="H1147" t="s">
        <v>2268</v>
      </c>
      <c r="I1147" t="s">
        <v>92</v>
      </c>
      <c r="J1147" s="1">
        <v>45292</v>
      </c>
      <c r="K1147">
        <v>-13544000</v>
      </c>
    </row>
    <row r="1148" spans="5:11" x14ac:dyDescent="0.25">
      <c r="E1148" t="s">
        <v>10388</v>
      </c>
      <c r="F1148">
        <v>911177</v>
      </c>
      <c r="G1148" s="1">
        <v>45382</v>
      </c>
      <c r="H1148" t="s">
        <v>2269</v>
      </c>
      <c r="I1148" t="s">
        <v>992</v>
      </c>
      <c r="J1148" s="1">
        <v>45292</v>
      </c>
      <c r="K1148">
        <v>-4117000</v>
      </c>
    </row>
    <row r="1149" spans="5:11" x14ac:dyDescent="0.25">
      <c r="E1149" t="s">
        <v>2270</v>
      </c>
      <c r="F1149">
        <v>911216</v>
      </c>
      <c r="G1149" s="1">
        <v>45382</v>
      </c>
      <c r="H1149" t="s">
        <v>2271</v>
      </c>
      <c r="I1149" t="s">
        <v>46</v>
      </c>
      <c r="J1149" s="1">
        <v>45292</v>
      </c>
      <c r="K1149">
        <v>-8435650</v>
      </c>
    </row>
    <row r="1150" spans="5:11" x14ac:dyDescent="0.25">
      <c r="E1150" t="s">
        <v>10389</v>
      </c>
      <c r="F1150">
        <v>912061</v>
      </c>
      <c r="G1150" s="1">
        <v>45382</v>
      </c>
      <c r="H1150" t="s">
        <v>2272</v>
      </c>
      <c r="I1150" t="s">
        <v>2273</v>
      </c>
      <c r="J1150" s="1">
        <v>45292</v>
      </c>
      <c r="K1150">
        <v>188000</v>
      </c>
    </row>
    <row r="1151" spans="5:11" x14ac:dyDescent="0.25">
      <c r="E1151" t="s">
        <v>2274</v>
      </c>
      <c r="F1151">
        <v>912093</v>
      </c>
      <c r="G1151" s="1">
        <v>45381</v>
      </c>
      <c r="H1151" t="s">
        <v>2275</v>
      </c>
      <c r="I1151" t="s">
        <v>113</v>
      </c>
      <c r="J1151" s="1">
        <v>45291</v>
      </c>
      <c r="K1151">
        <v>-24600000</v>
      </c>
    </row>
    <row r="1152" spans="5:11" x14ac:dyDescent="0.25">
      <c r="E1152" t="s">
        <v>2276</v>
      </c>
      <c r="F1152">
        <v>912242</v>
      </c>
      <c r="G1152" s="1">
        <v>45382</v>
      </c>
      <c r="H1152" t="s">
        <v>2277</v>
      </c>
      <c r="I1152" t="s">
        <v>36</v>
      </c>
      <c r="J1152" s="1">
        <v>45292</v>
      </c>
      <c r="K1152">
        <v>-126728000</v>
      </c>
    </row>
    <row r="1153" spans="5:11" x14ac:dyDescent="0.25">
      <c r="E1153" t="s">
        <v>2278</v>
      </c>
      <c r="F1153">
        <v>912463</v>
      </c>
      <c r="G1153" s="1">
        <v>45416</v>
      </c>
      <c r="H1153" t="s">
        <v>2279</v>
      </c>
      <c r="I1153" t="s">
        <v>2162</v>
      </c>
      <c r="J1153" s="1">
        <v>45326</v>
      </c>
      <c r="K1153">
        <v>13022000</v>
      </c>
    </row>
    <row r="1154" spans="5:11" x14ac:dyDescent="0.25">
      <c r="E1154" t="s">
        <v>2280</v>
      </c>
      <c r="F1154">
        <v>912544</v>
      </c>
      <c r="G1154" s="1">
        <v>45382</v>
      </c>
      <c r="H1154" t="s">
        <v>2281</v>
      </c>
      <c r="I1154" t="s">
        <v>33</v>
      </c>
      <c r="J1154" s="1">
        <v>45292</v>
      </c>
      <c r="K1154">
        <v>-303280</v>
      </c>
    </row>
    <row r="1155" spans="5:11" x14ac:dyDescent="0.25">
      <c r="E1155" t="s">
        <v>2282</v>
      </c>
      <c r="F1155">
        <v>912562</v>
      </c>
      <c r="G1155" s="1">
        <v>45382</v>
      </c>
      <c r="H1155" t="s">
        <v>2283</v>
      </c>
      <c r="I1155" t="s">
        <v>57</v>
      </c>
      <c r="J1155" s="1">
        <v>45292</v>
      </c>
      <c r="K1155">
        <v>24946000</v>
      </c>
    </row>
    <row r="1156" spans="5:11" x14ac:dyDescent="0.25">
      <c r="E1156" t="s">
        <v>2284</v>
      </c>
      <c r="F1156">
        <v>912593</v>
      </c>
      <c r="G1156" s="1">
        <v>45382</v>
      </c>
      <c r="H1156" t="s">
        <v>2285</v>
      </c>
      <c r="I1156" t="s">
        <v>329</v>
      </c>
      <c r="J1156" s="1">
        <v>45292</v>
      </c>
      <c r="K1156">
        <v>-25200000</v>
      </c>
    </row>
    <row r="1157" spans="5:11" x14ac:dyDescent="0.25">
      <c r="E1157" t="s">
        <v>2286</v>
      </c>
      <c r="F1157">
        <v>912595</v>
      </c>
      <c r="G1157" s="1">
        <v>45382</v>
      </c>
      <c r="H1157" t="s">
        <v>2287</v>
      </c>
      <c r="I1157" t="s">
        <v>69</v>
      </c>
      <c r="J1157" s="1">
        <v>45292</v>
      </c>
      <c r="K1157">
        <v>143749000</v>
      </c>
    </row>
    <row r="1158" spans="5:11" x14ac:dyDescent="0.25">
      <c r="E1158" t="s">
        <v>2288</v>
      </c>
      <c r="F1158">
        <v>912603</v>
      </c>
      <c r="G1158" s="1">
        <v>45351</v>
      </c>
      <c r="H1158" t="s">
        <v>2289</v>
      </c>
      <c r="I1158" t="s">
        <v>963</v>
      </c>
      <c r="J1158" s="1">
        <v>45261</v>
      </c>
      <c r="K1158">
        <v>-33979000</v>
      </c>
    </row>
    <row r="1159" spans="5:11" x14ac:dyDescent="0.25">
      <c r="E1159" t="s">
        <v>2290</v>
      </c>
      <c r="F1159">
        <v>912615</v>
      </c>
      <c r="G1159" s="1">
        <v>45412</v>
      </c>
      <c r="H1159" t="s">
        <v>2291</v>
      </c>
      <c r="I1159" t="s">
        <v>39</v>
      </c>
      <c r="J1159" s="1">
        <v>45323</v>
      </c>
      <c r="K1159">
        <v>61765000</v>
      </c>
    </row>
    <row r="1160" spans="5:11" x14ac:dyDescent="0.25">
      <c r="E1160" t="s">
        <v>2292</v>
      </c>
      <c r="F1160">
        <v>912728</v>
      </c>
      <c r="G1160" s="1">
        <v>45382</v>
      </c>
      <c r="H1160" t="s">
        <v>2293</v>
      </c>
      <c r="I1160" t="s">
        <v>69</v>
      </c>
      <c r="J1160" s="1">
        <v>45292</v>
      </c>
      <c r="K1160">
        <v>-61712000</v>
      </c>
    </row>
    <row r="1161" spans="5:11" x14ac:dyDescent="0.25">
      <c r="E1161" t="s">
        <v>2294</v>
      </c>
      <c r="F1161">
        <v>912766</v>
      </c>
      <c r="G1161" s="1">
        <v>45382</v>
      </c>
      <c r="H1161" t="s">
        <v>2295</v>
      </c>
      <c r="I1161" t="s">
        <v>33</v>
      </c>
      <c r="J1161" s="1">
        <v>45292</v>
      </c>
      <c r="K1161">
        <v>-10751000</v>
      </c>
    </row>
    <row r="1162" spans="5:11" x14ac:dyDescent="0.25">
      <c r="E1162" t="s">
        <v>2296</v>
      </c>
      <c r="F1162">
        <v>912767</v>
      </c>
      <c r="G1162" s="1">
        <v>45381</v>
      </c>
      <c r="H1162" t="s">
        <v>2297</v>
      </c>
      <c r="I1162" t="s">
        <v>329</v>
      </c>
      <c r="J1162" s="1">
        <v>45291</v>
      </c>
      <c r="K1162">
        <v>120791000</v>
      </c>
    </row>
    <row r="1163" spans="5:11" x14ac:dyDescent="0.25">
      <c r="E1163" t="s">
        <v>2298</v>
      </c>
      <c r="F1163">
        <v>913142</v>
      </c>
      <c r="G1163" s="1">
        <v>45382</v>
      </c>
      <c r="H1163" t="s">
        <v>2299</v>
      </c>
      <c r="I1163" t="s">
        <v>137</v>
      </c>
      <c r="J1163" s="1">
        <v>45292</v>
      </c>
      <c r="K1163">
        <v>37313000</v>
      </c>
    </row>
    <row r="1164" spans="5:11" x14ac:dyDescent="0.25">
      <c r="E1164" t="s">
        <v>2300</v>
      </c>
      <c r="F1164">
        <v>913144</v>
      </c>
      <c r="G1164" s="1">
        <v>45382</v>
      </c>
      <c r="H1164" t="s">
        <v>2301</v>
      </c>
      <c r="I1164" t="s">
        <v>919</v>
      </c>
      <c r="J1164" s="1">
        <v>45292</v>
      </c>
      <c r="K1164">
        <v>373642000</v>
      </c>
    </row>
    <row r="1165" spans="5:11" x14ac:dyDescent="0.25">
      <c r="E1165" t="s">
        <v>2302</v>
      </c>
      <c r="F1165">
        <v>913277</v>
      </c>
      <c r="G1165" s="1">
        <v>45382</v>
      </c>
      <c r="H1165" t="s">
        <v>2303</v>
      </c>
      <c r="I1165" t="s">
        <v>406</v>
      </c>
      <c r="J1165" s="1">
        <v>45292</v>
      </c>
      <c r="K1165">
        <v>21884000</v>
      </c>
    </row>
    <row r="1166" spans="5:11" x14ac:dyDescent="0.25">
      <c r="E1166" t="s">
        <v>2304</v>
      </c>
      <c r="F1166">
        <v>913341</v>
      </c>
      <c r="G1166" s="1">
        <v>45382</v>
      </c>
      <c r="H1166" t="s">
        <v>2305</v>
      </c>
      <c r="I1166" t="s">
        <v>123</v>
      </c>
      <c r="J1166" s="1">
        <v>45292</v>
      </c>
      <c r="K1166">
        <v>3401000</v>
      </c>
    </row>
    <row r="1167" spans="5:11" x14ac:dyDescent="0.25">
      <c r="E1167" t="s">
        <v>2306</v>
      </c>
      <c r="F1167">
        <v>913760</v>
      </c>
      <c r="G1167" s="1">
        <v>45382</v>
      </c>
      <c r="H1167" t="s">
        <v>2307</v>
      </c>
      <c r="I1167" t="s">
        <v>57</v>
      </c>
      <c r="J1167" s="1">
        <v>45292</v>
      </c>
      <c r="K1167">
        <v>53100000</v>
      </c>
    </row>
    <row r="1168" spans="5:11" x14ac:dyDescent="0.25">
      <c r="E1168" t="s">
        <v>2308</v>
      </c>
      <c r="F1168">
        <v>914122</v>
      </c>
      <c r="G1168" s="1">
        <v>45412</v>
      </c>
      <c r="H1168" t="s">
        <v>2309</v>
      </c>
      <c r="I1168" t="s">
        <v>30</v>
      </c>
      <c r="J1168" s="1">
        <v>45323</v>
      </c>
      <c r="K1168">
        <v>1443000</v>
      </c>
    </row>
    <row r="1169" spans="5:11" x14ac:dyDescent="0.25">
      <c r="E1169" t="s">
        <v>2310</v>
      </c>
      <c r="F1169">
        <v>914139</v>
      </c>
      <c r="G1169" s="1">
        <v>45382</v>
      </c>
      <c r="H1169" t="s">
        <v>2311</v>
      </c>
      <c r="I1169" t="s">
        <v>33</v>
      </c>
      <c r="J1169" s="1">
        <v>45292</v>
      </c>
      <c r="K1169">
        <v>-693000</v>
      </c>
    </row>
    <row r="1170" spans="5:11" x14ac:dyDescent="0.25">
      <c r="E1170" t="s">
        <v>2312</v>
      </c>
      <c r="F1170">
        <v>914156</v>
      </c>
      <c r="G1170" s="1">
        <v>45382</v>
      </c>
      <c r="H1170" t="s">
        <v>2313</v>
      </c>
      <c r="I1170" t="s">
        <v>24</v>
      </c>
      <c r="J1170" s="1">
        <v>45292</v>
      </c>
      <c r="K1170">
        <v>12693000</v>
      </c>
    </row>
    <row r="1171" spans="5:11" x14ac:dyDescent="0.25">
      <c r="E1171" t="s">
        <v>2314</v>
      </c>
      <c r="F1171">
        <v>914208</v>
      </c>
      <c r="G1171" s="1">
        <v>45382</v>
      </c>
      <c r="H1171" t="s">
        <v>2315</v>
      </c>
      <c r="I1171" t="s">
        <v>64</v>
      </c>
      <c r="J1171" s="1">
        <v>45292</v>
      </c>
      <c r="K1171">
        <v>141500000</v>
      </c>
    </row>
    <row r="1172" spans="5:11" x14ac:dyDescent="0.25">
      <c r="E1172" t="s">
        <v>2316</v>
      </c>
      <c r="F1172">
        <v>914475</v>
      </c>
      <c r="G1172" s="1">
        <v>45382</v>
      </c>
      <c r="H1172" t="s">
        <v>2317</v>
      </c>
      <c r="I1172" t="s">
        <v>36</v>
      </c>
      <c r="J1172" s="1">
        <v>45292</v>
      </c>
      <c r="K1172">
        <v>43400000</v>
      </c>
    </row>
    <row r="1173" spans="5:11" x14ac:dyDescent="0.25">
      <c r="E1173" t="s">
        <v>2318</v>
      </c>
      <c r="F1173">
        <v>914712</v>
      </c>
      <c r="G1173" s="1">
        <v>45412</v>
      </c>
      <c r="H1173" t="s">
        <v>2319</v>
      </c>
      <c r="I1173" t="s">
        <v>57</v>
      </c>
      <c r="J1173" s="1">
        <v>45323</v>
      </c>
      <c r="K1173">
        <v>71660000</v>
      </c>
    </row>
    <row r="1174" spans="5:11" x14ac:dyDescent="0.25">
      <c r="E1174" t="s">
        <v>2320</v>
      </c>
      <c r="F1174">
        <v>914748</v>
      </c>
      <c r="G1174" s="1">
        <v>45382</v>
      </c>
      <c r="H1174" t="s">
        <v>2321</v>
      </c>
      <c r="I1174" t="s">
        <v>46</v>
      </c>
      <c r="J1174" s="1">
        <v>45292</v>
      </c>
      <c r="K1174">
        <v>408000000</v>
      </c>
    </row>
    <row r="1175" spans="5:11" x14ac:dyDescent="0.25">
      <c r="E1175" t="s">
        <v>2322</v>
      </c>
      <c r="F1175">
        <v>915389</v>
      </c>
      <c r="G1175" s="1">
        <v>45382</v>
      </c>
      <c r="H1175" t="s">
        <v>2323</v>
      </c>
      <c r="I1175" t="s">
        <v>69</v>
      </c>
      <c r="J1175" s="1">
        <v>45292</v>
      </c>
      <c r="K1175">
        <v>165000000</v>
      </c>
    </row>
    <row r="1176" spans="5:11" x14ac:dyDescent="0.25">
      <c r="E1176" t="s">
        <v>2324</v>
      </c>
      <c r="F1176">
        <v>915840</v>
      </c>
      <c r="G1176" s="1">
        <v>45382</v>
      </c>
      <c r="H1176" t="s">
        <v>2325</v>
      </c>
      <c r="I1176" t="s">
        <v>64</v>
      </c>
      <c r="J1176" s="1">
        <v>45292</v>
      </c>
      <c r="K1176">
        <v>39171000</v>
      </c>
    </row>
    <row r="1177" spans="5:11" x14ac:dyDescent="0.25">
      <c r="E1177" t="s">
        <v>2326</v>
      </c>
      <c r="F1177">
        <v>915913</v>
      </c>
      <c r="G1177" s="1">
        <v>45382</v>
      </c>
      <c r="H1177" t="s">
        <v>2327</v>
      </c>
      <c r="I1177" t="s">
        <v>172</v>
      </c>
      <c r="J1177" s="1">
        <v>45292</v>
      </c>
      <c r="K1177">
        <v>2448000</v>
      </c>
    </row>
    <row r="1178" spans="5:11" x14ac:dyDescent="0.25">
      <c r="E1178" t="s">
        <v>2328</v>
      </c>
      <c r="F1178">
        <v>916076</v>
      </c>
      <c r="G1178" s="1">
        <v>45382</v>
      </c>
      <c r="H1178" t="s">
        <v>2329</v>
      </c>
      <c r="I1178" t="s">
        <v>172</v>
      </c>
      <c r="J1178" s="1">
        <v>45292</v>
      </c>
      <c r="K1178">
        <v>1045000000</v>
      </c>
    </row>
    <row r="1179" spans="5:11" x14ac:dyDescent="0.25">
      <c r="E1179" t="s">
        <v>2330</v>
      </c>
      <c r="F1179">
        <v>916365</v>
      </c>
      <c r="G1179" s="1">
        <v>45381</v>
      </c>
      <c r="H1179" t="s">
        <v>2331</v>
      </c>
      <c r="I1179" t="s">
        <v>69</v>
      </c>
      <c r="J1179" s="1">
        <v>45291</v>
      </c>
      <c r="K1179">
        <v>198167000</v>
      </c>
    </row>
    <row r="1180" spans="5:11" x14ac:dyDescent="0.25">
      <c r="E1180" t="s">
        <v>2332</v>
      </c>
      <c r="F1180">
        <v>916540</v>
      </c>
      <c r="G1180" s="1">
        <v>45381</v>
      </c>
      <c r="H1180" t="s">
        <v>2333</v>
      </c>
      <c r="I1180" t="s">
        <v>30</v>
      </c>
      <c r="J1180" s="1">
        <v>45291</v>
      </c>
      <c r="K1180">
        <v>81157000</v>
      </c>
    </row>
    <row r="1181" spans="5:11" x14ac:dyDescent="0.25">
      <c r="E1181" t="s">
        <v>2334</v>
      </c>
      <c r="F1181">
        <v>916907</v>
      </c>
      <c r="G1181" s="1">
        <v>45382</v>
      </c>
      <c r="H1181" t="s">
        <v>2335</v>
      </c>
      <c r="I1181" t="s">
        <v>137</v>
      </c>
      <c r="J1181" s="1">
        <v>45292</v>
      </c>
      <c r="K1181">
        <v>11307000</v>
      </c>
    </row>
    <row r="1182" spans="5:11" x14ac:dyDescent="0.25">
      <c r="E1182" t="s">
        <v>2336</v>
      </c>
      <c r="F1182">
        <v>917225</v>
      </c>
      <c r="G1182" s="1">
        <v>45382</v>
      </c>
      <c r="H1182" t="s">
        <v>2337</v>
      </c>
      <c r="I1182" t="s">
        <v>92</v>
      </c>
      <c r="J1182" s="1">
        <v>45292</v>
      </c>
      <c r="K1182">
        <v>-730000</v>
      </c>
    </row>
    <row r="1183" spans="5:11" x14ac:dyDescent="0.25">
      <c r="E1183" t="s">
        <v>2338</v>
      </c>
      <c r="F1183">
        <v>917251</v>
      </c>
      <c r="G1183" s="1">
        <v>45382</v>
      </c>
      <c r="H1183" t="s">
        <v>2339</v>
      </c>
      <c r="I1183" t="s">
        <v>329</v>
      </c>
      <c r="J1183" s="1">
        <v>45292</v>
      </c>
      <c r="K1183">
        <v>44859000</v>
      </c>
    </row>
    <row r="1184" spans="5:11" x14ac:dyDescent="0.25">
      <c r="E1184" t="s">
        <v>2340</v>
      </c>
      <c r="F1184">
        <v>917273</v>
      </c>
      <c r="G1184" s="1">
        <v>45382</v>
      </c>
      <c r="H1184" t="s">
        <v>2341</v>
      </c>
      <c r="I1184" t="s">
        <v>36</v>
      </c>
      <c r="J1184" s="1">
        <v>45292</v>
      </c>
      <c r="K1184">
        <v>32898000</v>
      </c>
    </row>
    <row r="1185" spans="5:11" x14ac:dyDescent="0.25">
      <c r="E1185" t="s">
        <v>2342</v>
      </c>
      <c r="F1185">
        <v>917470</v>
      </c>
      <c r="G1185" s="1">
        <v>45382</v>
      </c>
      <c r="H1185" t="s">
        <v>2343</v>
      </c>
      <c r="I1185" t="s">
        <v>60</v>
      </c>
      <c r="J1185" s="1">
        <v>45292</v>
      </c>
      <c r="K1185">
        <v>8697000</v>
      </c>
    </row>
    <row r="1186" spans="5:11" x14ac:dyDescent="0.25">
      <c r="E1186" t="s">
        <v>2344</v>
      </c>
      <c r="F1186">
        <v>917491</v>
      </c>
      <c r="G1186" s="1">
        <v>45382</v>
      </c>
      <c r="H1186" t="s">
        <v>2345</v>
      </c>
      <c r="I1186" t="s">
        <v>33</v>
      </c>
      <c r="J1186" s="1">
        <v>45292</v>
      </c>
      <c r="K1186">
        <v>-7267000</v>
      </c>
    </row>
    <row r="1187" spans="5:11" x14ac:dyDescent="0.25">
      <c r="E1187" t="s">
        <v>2346</v>
      </c>
      <c r="F1187">
        <v>917520</v>
      </c>
      <c r="G1187" s="1">
        <v>45382</v>
      </c>
      <c r="H1187" t="s">
        <v>2347</v>
      </c>
      <c r="I1187" t="s">
        <v>46</v>
      </c>
      <c r="J1187" s="1">
        <v>45292</v>
      </c>
      <c r="K1187">
        <v>-3281000</v>
      </c>
    </row>
    <row r="1188" spans="5:11" x14ac:dyDescent="0.25">
      <c r="E1188" t="s">
        <v>2348</v>
      </c>
      <c r="F1188">
        <v>918541</v>
      </c>
      <c r="G1188" s="1">
        <v>45382</v>
      </c>
      <c r="H1188" t="s">
        <v>2349</v>
      </c>
      <c r="I1188" t="s">
        <v>172</v>
      </c>
      <c r="J1188" s="1">
        <v>45292</v>
      </c>
      <c r="K1188">
        <v>-12537000</v>
      </c>
    </row>
    <row r="1189" spans="5:11" x14ac:dyDescent="0.25">
      <c r="E1189" t="s">
        <v>2350</v>
      </c>
      <c r="F1189">
        <v>918965</v>
      </c>
      <c r="G1189" s="1">
        <v>45382</v>
      </c>
      <c r="H1189" t="s">
        <v>2351</v>
      </c>
      <c r="I1189" t="s">
        <v>686</v>
      </c>
      <c r="J1189" s="1">
        <v>45292</v>
      </c>
      <c r="K1189">
        <v>12806000</v>
      </c>
    </row>
    <row r="1190" spans="5:11" x14ac:dyDescent="0.25">
      <c r="E1190" t="s">
        <v>2352</v>
      </c>
      <c r="F1190">
        <v>919012</v>
      </c>
      <c r="G1190" s="1">
        <v>45416</v>
      </c>
      <c r="H1190" t="s">
        <v>2353</v>
      </c>
      <c r="I1190" t="s">
        <v>39</v>
      </c>
      <c r="J1190" s="1">
        <v>45326</v>
      </c>
      <c r="K1190">
        <v>67752000</v>
      </c>
    </row>
    <row r="1191" spans="5:11" x14ac:dyDescent="0.25">
      <c r="E1191" t="s">
        <v>2354</v>
      </c>
      <c r="F1191">
        <v>919864</v>
      </c>
      <c r="G1191" s="1">
        <v>45382</v>
      </c>
      <c r="H1191" t="s">
        <v>2355</v>
      </c>
      <c r="I1191" t="s">
        <v>288</v>
      </c>
      <c r="J1191" s="1">
        <v>45292</v>
      </c>
      <c r="K1191">
        <v>9279000</v>
      </c>
    </row>
    <row r="1192" spans="5:11" x14ac:dyDescent="0.25">
      <c r="E1192" t="s">
        <v>2356</v>
      </c>
      <c r="F1192">
        <v>920112</v>
      </c>
      <c r="G1192" s="1">
        <v>45382</v>
      </c>
      <c r="H1192" t="s">
        <v>2357</v>
      </c>
      <c r="I1192" t="s">
        <v>92</v>
      </c>
      <c r="J1192" s="1">
        <v>45292</v>
      </c>
      <c r="K1192">
        <v>51707000</v>
      </c>
    </row>
    <row r="1193" spans="5:11" x14ac:dyDescent="0.25">
      <c r="E1193" t="s">
        <v>10390</v>
      </c>
      <c r="F1193">
        <v>920148</v>
      </c>
      <c r="G1193" s="1">
        <v>45382</v>
      </c>
      <c r="H1193" t="s">
        <v>2358</v>
      </c>
      <c r="I1193" t="s">
        <v>172</v>
      </c>
      <c r="J1193" s="1">
        <v>45292</v>
      </c>
      <c r="K1193">
        <v>228000000</v>
      </c>
    </row>
    <row r="1194" spans="5:11" x14ac:dyDescent="0.25">
      <c r="E1194" t="s">
        <v>2359</v>
      </c>
      <c r="F1194">
        <v>920371</v>
      </c>
      <c r="G1194" s="1">
        <v>45382</v>
      </c>
      <c r="H1194" t="s">
        <v>2360</v>
      </c>
      <c r="I1194" t="s">
        <v>36</v>
      </c>
      <c r="J1194" s="1">
        <v>45292</v>
      </c>
      <c r="K1194">
        <v>75430000</v>
      </c>
    </row>
    <row r="1195" spans="5:11" x14ac:dyDescent="0.25">
      <c r="E1195" t="s">
        <v>2361</v>
      </c>
      <c r="F1195">
        <v>920427</v>
      </c>
      <c r="G1195" s="1">
        <v>45382</v>
      </c>
      <c r="H1195" t="s">
        <v>2362</v>
      </c>
      <c r="I1195" t="s">
        <v>46</v>
      </c>
      <c r="J1195" s="1">
        <v>45292</v>
      </c>
      <c r="K1195">
        <v>9586000</v>
      </c>
    </row>
    <row r="1196" spans="5:11" x14ac:dyDescent="0.25">
      <c r="E1196" t="s">
        <v>2363</v>
      </c>
      <c r="F1196">
        <v>920760</v>
      </c>
      <c r="G1196" s="1">
        <v>45351</v>
      </c>
      <c r="H1196" t="s">
        <v>2364</v>
      </c>
      <c r="I1196" t="s">
        <v>33</v>
      </c>
      <c r="J1196" s="1">
        <v>45261</v>
      </c>
      <c r="K1196">
        <v>719334000</v>
      </c>
    </row>
    <row r="1197" spans="5:11" x14ac:dyDescent="0.25">
      <c r="E1197" t="s">
        <v>2365</v>
      </c>
      <c r="F1197">
        <v>921114</v>
      </c>
      <c r="G1197" s="1">
        <v>45382</v>
      </c>
      <c r="H1197" t="s">
        <v>2366</v>
      </c>
      <c r="I1197" t="s">
        <v>36</v>
      </c>
      <c r="J1197" s="1">
        <v>45292</v>
      </c>
      <c r="K1197">
        <v>-25021000</v>
      </c>
    </row>
    <row r="1198" spans="5:11" x14ac:dyDescent="0.25">
      <c r="E1198" t="s">
        <v>2367</v>
      </c>
      <c r="F1198">
        <v>921183</v>
      </c>
      <c r="G1198" s="1">
        <v>45382</v>
      </c>
      <c r="H1198" t="s">
        <v>2368</v>
      </c>
      <c r="I1198" t="s">
        <v>213</v>
      </c>
      <c r="J1198" s="1">
        <v>45292</v>
      </c>
      <c r="K1198">
        <v>1318000</v>
      </c>
    </row>
    <row r="1199" spans="5:11" x14ac:dyDescent="0.25">
      <c r="E1199" t="s">
        <v>2369</v>
      </c>
      <c r="F1199">
        <v>921299</v>
      </c>
      <c r="G1199" s="1">
        <v>45382</v>
      </c>
      <c r="H1199" t="s">
        <v>2370</v>
      </c>
      <c r="I1199" t="s">
        <v>36</v>
      </c>
      <c r="J1199" s="1">
        <v>45292</v>
      </c>
      <c r="K1199">
        <v>-32933000</v>
      </c>
    </row>
    <row r="1200" spans="5:11" x14ac:dyDescent="0.25">
      <c r="E1200" t="s">
        <v>2371</v>
      </c>
      <c r="F1200">
        <v>921557</v>
      </c>
      <c r="G1200" s="1">
        <v>45382</v>
      </c>
      <c r="H1200" t="s">
        <v>2372</v>
      </c>
      <c r="I1200" t="s">
        <v>190</v>
      </c>
      <c r="J1200" s="1">
        <v>45292</v>
      </c>
      <c r="K1200">
        <v>30606000</v>
      </c>
    </row>
    <row r="1201" spans="5:11" x14ac:dyDescent="0.25">
      <c r="E1201" t="s">
        <v>2373</v>
      </c>
      <c r="F1201">
        <v>921582</v>
      </c>
      <c r="G1201" s="1">
        <v>45382</v>
      </c>
      <c r="H1201" t="s">
        <v>2374</v>
      </c>
      <c r="I1201" t="s">
        <v>912</v>
      </c>
      <c r="J1201" s="1">
        <v>45292</v>
      </c>
      <c r="K1201">
        <v>3274000</v>
      </c>
    </row>
    <row r="1202" spans="5:11" x14ac:dyDescent="0.25">
      <c r="E1202" t="s">
        <v>2375</v>
      </c>
      <c r="F1202">
        <v>921638</v>
      </c>
      <c r="G1202" s="1">
        <v>45382</v>
      </c>
      <c r="H1202" t="s">
        <v>2376</v>
      </c>
      <c r="I1202" t="s">
        <v>92</v>
      </c>
      <c r="J1202" s="1">
        <v>45292</v>
      </c>
      <c r="K1202">
        <v>-287082000</v>
      </c>
    </row>
    <row r="1203" spans="5:11" x14ac:dyDescent="0.25">
      <c r="E1203" t="s">
        <v>2377</v>
      </c>
      <c r="F1203">
        <v>921738</v>
      </c>
      <c r="G1203" s="1">
        <v>45382</v>
      </c>
      <c r="H1203" t="s">
        <v>2378</v>
      </c>
      <c r="I1203" t="s">
        <v>39</v>
      </c>
      <c r="J1203" s="1">
        <v>45292</v>
      </c>
      <c r="K1203">
        <v>-114700000</v>
      </c>
    </row>
    <row r="1204" spans="5:11" x14ac:dyDescent="0.25">
      <c r="E1204" t="s">
        <v>2379</v>
      </c>
      <c r="F1204">
        <v>921825</v>
      </c>
      <c r="G1204" s="1">
        <v>45382</v>
      </c>
      <c r="H1204" t="s">
        <v>2380</v>
      </c>
      <c r="I1204" t="s">
        <v>19</v>
      </c>
      <c r="J1204" s="1">
        <v>45292</v>
      </c>
      <c r="K1204">
        <v>68452000</v>
      </c>
    </row>
    <row r="1205" spans="5:11" x14ac:dyDescent="0.25">
      <c r="E1205" t="s">
        <v>2381</v>
      </c>
      <c r="F1205">
        <v>922224</v>
      </c>
      <c r="G1205" s="1">
        <v>45382</v>
      </c>
      <c r="H1205" t="s">
        <v>2382</v>
      </c>
      <c r="I1205" t="s">
        <v>39</v>
      </c>
      <c r="J1205" s="1">
        <v>45292</v>
      </c>
      <c r="K1205">
        <v>307000000</v>
      </c>
    </row>
    <row r="1206" spans="5:11" x14ac:dyDescent="0.25">
      <c r="E1206" t="s">
        <v>2383</v>
      </c>
      <c r="F1206">
        <v>922247</v>
      </c>
      <c r="G1206" s="1">
        <v>45382</v>
      </c>
      <c r="H1206" t="s">
        <v>2384</v>
      </c>
      <c r="I1206" t="s">
        <v>33</v>
      </c>
      <c r="J1206" s="1">
        <v>45292</v>
      </c>
      <c r="K1206">
        <v>-4343063</v>
      </c>
    </row>
    <row r="1207" spans="5:11" x14ac:dyDescent="0.25">
      <c r="E1207" t="s">
        <v>2385</v>
      </c>
      <c r="F1207">
        <v>922358</v>
      </c>
      <c r="G1207" s="1">
        <v>45412</v>
      </c>
      <c r="H1207" t="s">
        <v>2386</v>
      </c>
      <c r="I1207" t="s">
        <v>137</v>
      </c>
      <c r="J1207" s="1">
        <v>45323</v>
      </c>
      <c r="K1207">
        <v>52766000</v>
      </c>
    </row>
    <row r="1208" spans="5:11" x14ac:dyDescent="0.25">
      <c r="E1208" t="s">
        <v>10391</v>
      </c>
      <c r="F1208">
        <v>922621</v>
      </c>
      <c r="G1208" s="1">
        <v>45382</v>
      </c>
      <c r="H1208" t="s">
        <v>2387</v>
      </c>
      <c r="I1208" t="s">
        <v>39</v>
      </c>
      <c r="J1208" s="1">
        <v>45292</v>
      </c>
      <c r="K1208">
        <v>124552000</v>
      </c>
    </row>
    <row r="1209" spans="5:11" x14ac:dyDescent="0.25">
      <c r="E1209" t="s">
        <v>2388</v>
      </c>
      <c r="F1209">
        <v>922864</v>
      </c>
      <c r="G1209" s="1">
        <v>45382</v>
      </c>
      <c r="H1209" t="s">
        <v>2389</v>
      </c>
      <c r="I1209" t="s">
        <v>92</v>
      </c>
      <c r="J1209" s="1">
        <v>45292</v>
      </c>
      <c r="K1209">
        <v>-10186000</v>
      </c>
    </row>
    <row r="1210" spans="5:11" x14ac:dyDescent="0.25">
      <c r="E1210" t="s">
        <v>2390</v>
      </c>
      <c r="F1210">
        <v>923120</v>
      </c>
      <c r="G1210" s="1">
        <v>45351</v>
      </c>
      <c r="H1210" t="s">
        <v>2391</v>
      </c>
      <c r="I1210" t="s">
        <v>963</v>
      </c>
      <c r="J1210" s="1">
        <v>45261</v>
      </c>
      <c r="K1210">
        <v>33400000</v>
      </c>
    </row>
    <row r="1211" spans="5:11" x14ac:dyDescent="0.25">
      <c r="E1211" t="s">
        <v>2392</v>
      </c>
      <c r="F1211">
        <v>923139</v>
      </c>
      <c r="G1211" s="1">
        <v>45382</v>
      </c>
      <c r="H1211" t="s">
        <v>2393</v>
      </c>
      <c r="I1211" t="s">
        <v>57</v>
      </c>
      <c r="J1211" s="1">
        <v>45292</v>
      </c>
      <c r="K1211">
        <v>3684000</v>
      </c>
    </row>
    <row r="1212" spans="5:11" x14ac:dyDescent="0.25">
      <c r="E1212" t="s">
        <v>2394</v>
      </c>
      <c r="F1212">
        <v>923601</v>
      </c>
      <c r="G1212" s="1">
        <v>45382</v>
      </c>
      <c r="H1212" t="s">
        <v>2395</v>
      </c>
      <c r="I1212" t="s">
        <v>33</v>
      </c>
      <c r="J1212" s="1">
        <v>45292</v>
      </c>
      <c r="K1212">
        <v>-2367000</v>
      </c>
    </row>
    <row r="1213" spans="5:11" x14ac:dyDescent="0.25">
      <c r="E1213" t="s">
        <v>2396</v>
      </c>
      <c r="F1213">
        <v>923796</v>
      </c>
      <c r="G1213" s="1">
        <v>45382</v>
      </c>
      <c r="H1213" t="s">
        <v>2397</v>
      </c>
      <c r="I1213" t="s">
        <v>33</v>
      </c>
      <c r="J1213" s="1">
        <v>45292</v>
      </c>
      <c r="K1213">
        <v>22668000</v>
      </c>
    </row>
    <row r="1214" spans="5:11" x14ac:dyDescent="0.25">
      <c r="E1214" t="s">
        <v>2398</v>
      </c>
      <c r="F1214">
        <v>924168</v>
      </c>
      <c r="G1214" s="1">
        <v>45382</v>
      </c>
      <c r="H1214" t="s">
        <v>2399</v>
      </c>
      <c r="I1214" t="s">
        <v>60</v>
      </c>
      <c r="J1214" s="1">
        <v>45292</v>
      </c>
      <c r="K1214">
        <v>-418000</v>
      </c>
    </row>
    <row r="1215" spans="5:11" x14ac:dyDescent="0.25">
      <c r="E1215" t="s">
        <v>2400</v>
      </c>
      <c r="F1215">
        <v>924383</v>
      </c>
      <c r="G1215" s="1">
        <v>45382</v>
      </c>
      <c r="H1215" t="s">
        <v>2401</v>
      </c>
      <c r="I1215" t="s">
        <v>36</v>
      </c>
      <c r="J1215" s="1">
        <v>45292</v>
      </c>
      <c r="K1215">
        <v>-6938000</v>
      </c>
    </row>
    <row r="1216" spans="5:11" x14ac:dyDescent="0.25">
      <c r="E1216" t="s">
        <v>2402</v>
      </c>
      <c r="F1216">
        <v>924396</v>
      </c>
      <c r="G1216" s="1">
        <v>45412</v>
      </c>
      <c r="H1216" t="s">
        <v>2403</v>
      </c>
      <c r="I1216" t="s">
        <v>33</v>
      </c>
      <c r="J1216" s="1">
        <v>45323</v>
      </c>
      <c r="K1216">
        <v>-46985</v>
      </c>
    </row>
    <row r="1217" spans="5:11" x14ac:dyDescent="0.25">
      <c r="E1217" t="s">
        <v>2404</v>
      </c>
      <c r="F1217">
        <v>924515</v>
      </c>
      <c r="G1217" s="1">
        <v>45382</v>
      </c>
      <c r="H1217" t="s">
        <v>2405</v>
      </c>
      <c r="I1217" t="s">
        <v>64</v>
      </c>
      <c r="J1217" s="1">
        <v>45292</v>
      </c>
      <c r="K1217">
        <v>-402000</v>
      </c>
    </row>
    <row r="1218" spans="5:11" x14ac:dyDescent="0.25">
      <c r="E1218" t="s">
        <v>2406</v>
      </c>
      <c r="F1218">
        <v>924717</v>
      </c>
      <c r="G1218" s="1">
        <v>45382</v>
      </c>
      <c r="H1218" t="s">
        <v>2407</v>
      </c>
      <c r="I1218" t="s">
        <v>213</v>
      </c>
      <c r="J1218" s="1">
        <v>45292</v>
      </c>
      <c r="K1218">
        <v>247000</v>
      </c>
    </row>
    <row r="1219" spans="5:11" x14ac:dyDescent="0.25">
      <c r="E1219" t="s">
        <v>2408</v>
      </c>
      <c r="F1219">
        <v>924719</v>
      </c>
      <c r="G1219" s="1">
        <v>45382</v>
      </c>
      <c r="H1219" t="s">
        <v>2409</v>
      </c>
      <c r="I1219" t="s">
        <v>123</v>
      </c>
      <c r="J1219" s="1">
        <v>45292</v>
      </c>
      <c r="K1219">
        <v>1147000</v>
      </c>
    </row>
    <row r="1220" spans="5:11" x14ac:dyDescent="0.25">
      <c r="E1220" t="s">
        <v>2410</v>
      </c>
      <c r="F1220">
        <v>924822</v>
      </c>
      <c r="G1220" s="1">
        <v>45382</v>
      </c>
      <c r="H1220" t="s">
        <v>2411</v>
      </c>
      <c r="I1220" t="s">
        <v>69</v>
      </c>
      <c r="J1220" s="1">
        <v>45292</v>
      </c>
      <c r="K1220">
        <v>17023000</v>
      </c>
    </row>
    <row r="1221" spans="5:11" x14ac:dyDescent="0.25">
      <c r="E1221" t="s">
        <v>2412</v>
      </c>
      <c r="F1221">
        <v>924901</v>
      </c>
      <c r="G1221" s="1">
        <v>45382</v>
      </c>
      <c r="H1221" t="s">
        <v>2413</v>
      </c>
      <c r="I1221" t="s">
        <v>46</v>
      </c>
      <c r="J1221" s="1">
        <v>45292</v>
      </c>
      <c r="K1221">
        <v>-3903000</v>
      </c>
    </row>
    <row r="1222" spans="5:11" x14ac:dyDescent="0.25">
      <c r="E1222" t="s">
        <v>2414</v>
      </c>
      <c r="F1222">
        <v>925528</v>
      </c>
      <c r="G1222" s="1">
        <v>45382</v>
      </c>
      <c r="H1222" t="s">
        <v>2415</v>
      </c>
      <c r="I1222" t="s">
        <v>46</v>
      </c>
      <c r="J1222" s="1">
        <v>45292</v>
      </c>
      <c r="K1222">
        <v>9562000</v>
      </c>
    </row>
    <row r="1223" spans="5:11" x14ac:dyDescent="0.25">
      <c r="E1223" t="s">
        <v>2416</v>
      </c>
      <c r="F1223">
        <v>925741</v>
      </c>
      <c r="G1223" s="1">
        <v>45382</v>
      </c>
      <c r="H1223" t="s">
        <v>2417</v>
      </c>
      <c r="I1223" t="s">
        <v>36</v>
      </c>
      <c r="J1223" s="1">
        <v>45292</v>
      </c>
      <c r="K1223">
        <v>-2267000</v>
      </c>
    </row>
    <row r="1224" spans="5:11" x14ac:dyDescent="0.25">
      <c r="E1224" t="s">
        <v>2418</v>
      </c>
      <c r="F1224">
        <v>926282</v>
      </c>
      <c r="G1224" s="1">
        <v>45382</v>
      </c>
      <c r="H1224" t="s">
        <v>2419</v>
      </c>
      <c r="I1224" t="s">
        <v>1123</v>
      </c>
      <c r="J1224" s="1">
        <v>45292</v>
      </c>
      <c r="K1224">
        <v>-324550000</v>
      </c>
    </row>
    <row r="1225" spans="5:11" x14ac:dyDescent="0.25">
      <c r="E1225" t="s">
        <v>2420</v>
      </c>
      <c r="F1225">
        <v>926326</v>
      </c>
      <c r="G1225" s="1">
        <v>45382</v>
      </c>
      <c r="H1225" t="s">
        <v>2421</v>
      </c>
      <c r="I1225" t="s">
        <v>30</v>
      </c>
      <c r="J1225" s="1">
        <v>45292</v>
      </c>
      <c r="K1225">
        <v>-15676000</v>
      </c>
    </row>
    <row r="1226" spans="5:11" x14ac:dyDescent="0.25">
      <c r="E1226" t="s">
        <v>2422</v>
      </c>
      <c r="F1226">
        <v>926423</v>
      </c>
      <c r="G1226" s="1">
        <v>45412</v>
      </c>
      <c r="H1226" t="s">
        <v>2423</v>
      </c>
      <c r="I1226" t="s">
        <v>30</v>
      </c>
      <c r="J1226" s="1">
        <v>45323</v>
      </c>
      <c r="K1226">
        <v>954000</v>
      </c>
    </row>
    <row r="1227" spans="5:11" x14ac:dyDescent="0.25">
      <c r="E1227" t="s">
        <v>2424</v>
      </c>
      <c r="F1227">
        <v>926617</v>
      </c>
      <c r="G1227" s="1">
        <v>45382</v>
      </c>
      <c r="H1227" t="s">
        <v>2425</v>
      </c>
      <c r="I1227" t="s">
        <v>30</v>
      </c>
      <c r="J1227" s="1">
        <v>45292</v>
      </c>
      <c r="K1227">
        <v>-4629000</v>
      </c>
    </row>
    <row r="1228" spans="5:11" x14ac:dyDescent="0.25">
      <c r="E1228" t="s">
        <v>2426</v>
      </c>
      <c r="F1228">
        <v>926844</v>
      </c>
      <c r="G1228" s="1">
        <v>45412</v>
      </c>
      <c r="H1228" t="s">
        <v>2427</v>
      </c>
      <c r="I1228" t="s">
        <v>57</v>
      </c>
      <c r="J1228" s="1">
        <v>45323</v>
      </c>
      <c r="K1228">
        <v>-2633846</v>
      </c>
    </row>
    <row r="1229" spans="5:11" x14ac:dyDescent="0.25">
      <c r="E1229" t="s">
        <v>2428</v>
      </c>
      <c r="F1229">
        <v>927066</v>
      </c>
      <c r="G1229" s="1">
        <v>45382</v>
      </c>
      <c r="H1229" t="s">
        <v>2429</v>
      </c>
      <c r="I1229" t="s">
        <v>92</v>
      </c>
      <c r="J1229" s="1">
        <v>45292</v>
      </c>
      <c r="K1229">
        <v>239649000</v>
      </c>
    </row>
    <row r="1230" spans="5:11" x14ac:dyDescent="0.25">
      <c r="E1230" t="s">
        <v>2430</v>
      </c>
      <c r="F1230">
        <v>927628</v>
      </c>
      <c r="G1230" s="1">
        <v>45382</v>
      </c>
      <c r="H1230" t="s">
        <v>2431</v>
      </c>
      <c r="I1230" t="s">
        <v>123</v>
      </c>
      <c r="J1230" s="1">
        <v>45292</v>
      </c>
      <c r="K1230">
        <v>1280000000</v>
      </c>
    </row>
    <row r="1231" spans="5:11" x14ac:dyDescent="0.25">
      <c r="E1231" t="s">
        <v>2432</v>
      </c>
      <c r="F1231">
        <v>928054</v>
      </c>
      <c r="G1231" s="1">
        <v>45382</v>
      </c>
      <c r="H1231" t="s">
        <v>2433</v>
      </c>
      <c r="I1231" t="s">
        <v>30</v>
      </c>
      <c r="J1231" s="1">
        <v>45292</v>
      </c>
      <c r="K1231">
        <v>1562000</v>
      </c>
    </row>
    <row r="1232" spans="5:11" x14ac:dyDescent="0.25">
      <c r="E1232" t="s">
        <v>2434</v>
      </c>
      <c r="F1232">
        <v>928340</v>
      </c>
      <c r="G1232" s="1">
        <v>45382</v>
      </c>
      <c r="H1232" t="s">
        <v>2435</v>
      </c>
      <c r="I1232" t="s">
        <v>2436</v>
      </c>
      <c r="J1232" s="1">
        <v>45292</v>
      </c>
      <c r="K1232">
        <v>6474348</v>
      </c>
    </row>
    <row r="1233" spans="5:11" x14ac:dyDescent="0.25">
      <c r="E1233" t="s">
        <v>2437</v>
      </c>
      <c r="F1233">
        <v>928465</v>
      </c>
      <c r="G1233" s="1">
        <v>45382</v>
      </c>
      <c r="H1233" t="s">
        <v>2438</v>
      </c>
      <c r="I1233" t="s">
        <v>763</v>
      </c>
      <c r="J1233" s="1">
        <v>45292</v>
      </c>
      <c r="K1233">
        <v>539543</v>
      </c>
    </row>
    <row r="1234" spans="5:11" x14ac:dyDescent="0.25">
      <c r="E1234" t="s">
        <v>10392</v>
      </c>
      <c r="F1234">
        <v>928658</v>
      </c>
      <c r="G1234" s="1">
        <v>45382</v>
      </c>
      <c r="H1234" t="s">
        <v>2439</v>
      </c>
      <c r="I1234" t="s">
        <v>69</v>
      </c>
      <c r="J1234" s="1">
        <v>45292</v>
      </c>
      <c r="K1234">
        <v>3974000</v>
      </c>
    </row>
    <row r="1235" spans="5:11" x14ac:dyDescent="0.25">
      <c r="E1235" t="s">
        <v>10393</v>
      </c>
      <c r="F1235">
        <v>929008</v>
      </c>
      <c r="G1235" s="1">
        <v>45382</v>
      </c>
      <c r="H1235" t="s">
        <v>2440</v>
      </c>
      <c r="I1235" t="s">
        <v>39</v>
      </c>
      <c r="J1235" s="1">
        <v>45292</v>
      </c>
      <c r="K1235">
        <v>115800000</v>
      </c>
    </row>
    <row r="1236" spans="5:11" x14ac:dyDescent="0.25">
      <c r="E1236" t="s">
        <v>2441</v>
      </c>
      <c r="F1236">
        <v>930236</v>
      </c>
      <c r="G1236" s="1">
        <v>45382</v>
      </c>
      <c r="H1236" t="s">
        <v>2442</v>
      </c>
      <c r="I1236" t="s">
        <v>36</v>
      </c>
      <c r="J1236" s="1">
        <v>45292</v>
      </c>
      <c r="K1236">
        <v>30262000</v>
      </c>
    </row>
    <row r="1237" spans="5:11" x14ac:dyDescent="0.25">
      <c r="E1237" t="s">
        <v>2443</v>
      </c>
      <c r="F1237">
        <v>930245</v>
      </c>
      <c r="G1237" s="1">
        <v>45382</v>
      </c>
      <c r="H1237" t="s">
        <v>2444</v>
      </c>
      <c r="I1237" t="s">
        <v>142</v>
      </c>
      <c r="J1237" s="1">
        <v>45292</v>
      </c>
      <c r="K1237">
        <v>-12911</v>
      </c>
    </row>
    <row r="1238" spans="5:11" x14ac:dyDescent="0.25">
      <c r="E1238" t="s">
        <v>10394</v>
      </c>
      <c r="F1238">
        <v>930420</v>
      </c>
      <c r="G1238" s="1">
        <v>45382</v>
      </c>
      <c r="H1238" t="s">
        <v>2445</v>
      </c>
      <c r="I1238" t="s">
        <v>33</v>
      </c>
      <c r="J1238" s="1">
        <v>45292</v>
      </c>
      <c r="K1238">
        <v>10987000</v>
      </c>
    </row>
    <row r="1239" spans="5:11" x14ac:dyDescent="0.25">
      <c r="E1239" t="s">
        <v>2446</v>
      </c>
      <c r="F1239">
        <v>931015</v>
      </c>
      <c r="G1239" s="1">
        <v>45382</v>
      </c>
      <c r="H1239" t="s">
        <v>2447</v>
      </c>
      <c r="I1239" t="s">
        <v>213</v>
      </c>
      <c r="J1239" s="1">
        <v>45292</v>
      </c>
      <c r="K1239">
        <v>3800000</v>
      </c>
    </row>
    <row r="1240" spans="5:11" x14ac:dyDescent="0.25">
      <c r="E1240" t="s">
        <v>2448</v>
      </c>
      <c r="F1240">
        <v>931148</v>
      </c>
      <c r="G1240" s="1">
        <v>45382</v>
      </c>
      <c r="H1240" t="s">
        <v>2449</v>
      </c>
      <c r="I1240" t="s">
        <v>60</v>
      </c>
      <c r="J1240" s="1">
        <v>45292</v>
      </c>
      <c r="K1240">
        <v>-30869000</v>
      </c>
    </row>
    <row r="1241" spans="5:11" x14ac:dyDescent="0.25">
      <c r="E1241" t="s">
        <v>10395</v>
      </c>
      <c r="F1241">
        <v>931584</v>
      </c>
      <c r="G1241" s="1">
        <v>45382</v>
      </c>
      <c r="H1241" t="s">
        <v>2450</v>
      </c>
      <c r="I1241" t="s">
        <v>39</v>
      </c>
      <c r="J1241" s="1">
        <v>45292</v>
      </c>
      <c r="K1241">
        <v>4137000</v>
      </c>
    </row>
    <row r="1242" spans="5:11" x14ac:dyDescent="0.25">
      <c r="E1242" t="s">
        <v>2451</v>
      </c>
      <c r="F1242">
        <v>932021</v>
      </c>
      <c r="G1242" s="1">
        <v>45382</v>
      </c>
      <c r="H1242" t="s">
        <v>2452</v>
      </c>
      <c r="I1242" t="s">
        <v>46</v>
      </c>
      <c r="J1242" s="1">
        <v>45292</v>
      </c>
      <c r="K1242">
        <v>2756900</v>
      </c>
    </row>
    <row r="1243" spans="5:11" x14ac:dyDescent="0.25">
      <c r="E1243" t="s">
        <v>2453</v>
      </c>
      <c r="F1243">
        <v>932696</v>
      </c>
      <c r="G1243" s="1">
        <v>45382</v>
      </c>
      <c r="H1243" t="s">
        <v>2454</v>
      </c>
      <c r="I1243" t="s">
        <v>113</v>
      </c>
      <c r="J1243" s="1">
        <v>45292</v>
      </c>
      <c r="K1243">
        <v>67027000</v>
      </c>
    </row>
    <row r="1244" spans="5:11" x14ac:dyDescent="0.25">
      <c r="E1244" t="s">
        <v>2455</v>
      </c>
      <c r="F1244">
        <v>932781</v>
      </c>
      <c r="G1244" s="1">
        <v>45382</v>
      </c>
      <c r="H1244" t="s">
        <v>2456</v>
      </c>
      <c r="I1244" t="s">
        <v>686</v>
      </c>
      <c r="J1244" s="1">
        <v>45292</v>
      </c>
      <c r="K1244">
        <v>2597000</v>
      </c>
    </row>
    <row r="1245" spans="5:11" x14ac:dyDescent="0.25">
      <c r="E1245" t="s">
        <v>2457</v>
      </c>
      <c r="F1245">
        <v>933034</v>
      </c>
      <c r="G1245" s="1">
        <v>45382</v>
      </c>
      <c r="H1245" t="s">
        <v>2458</v>
      </c>
      <c r="I1245" t="s">
        <v>83</v>
      </c>
      <c r="J1245" s="1">
        <v>45292</v>
      </c>
      <c r="K1245">
        <v>1506000</v>
      </c>
    </row>
    <row r="1246" spans="5:11" x14ac:dyDescent="0.25">
      <c r="E1246" t="s">
        <v>10396</v>
      </c>
      <c r="F1246">
        <v>933036</v>
      </c>
      <c r="G1246" s="1">
        <v>45382</v>
      </c>
      <c r="H1246" t="s">
        <v>2459</v>
      </c>
      <c r="I1246" t="s">
        <v>30</v>
      </c>
      <c r="J1246" s="1">
        <v>45292</v>
      </c>
      <c r="K1246">
        <v>27687000</v>
      </c>
    </row>
    <row r="1247" spans="5:11" x14ac:dyDescent="0.25">
      <c r="E1247" t="s">
        <v>2460</v>
      </c>
      <c r="F1247">
        <v>933136</v>
      </c>
      <c r="G1247" s="1">
        <v>45382</v>
      </c>
      <c r="H1247" t="s">
        <v>2461</v>
      </c>
      <c r="I1247" t="s">
        <v>30</v>
      </c>
      <c r="J1247" s="1">
        <v>45292</v>
      </c>
      <c r="K1247">
        <v>181000000</v>
      </c>
    </row>
    <row r="1248" spans="5:11" x14ac:dyDescent="0.25">
      <c r="E1248" t="s">
        <v>2462</v>
      </c>
      <c r="F1248">
        <v>933972</v>
      </c>
      <c r="G1248" s="1">
        <v>45382</v>
      </c>
      <c r="H1248" t="s">
        <v>2463</v>
      </c>
      <c r="I1248" t="s">
        <v>172</v>
      </c>
      <c r="J1248" s="1">
        <v>45292</v>
      </c>
      <c r="K1248">
        <v>-2024465</v>
      </c>
    </row>
    <row r="1249" spans="5:11" x14ac:dyDescent="0.25">
      <c r="E1249" t="s">
        <v>2464</v>
      </c>
      <c r="F1249">
        <v>933974</v>
      </c>
      <c r="G1249" s="1">
        <v>45382</v>
      </c>
      <c r="H1249" t="s">
        <v>2465</v>
      </c>
      <c r="I1249" t="s">
        <v>24</v>
      </c>
      <c r="J1249" s="1">
        <v>45292</v>
      </c>
      <c r="K1249">
        <v>-136880000</v>
      </c>
    </row>
    <row r="1250" spans="5:11" x14ac:dyDescent="0.25">
      <c r="E1250" t="s">
        <v>2466</v>
      </c>
      <c r="F1250">
        <v>934549</v>
      </c>
      <c r="G1250" s="1">
        <v>45382</v>
      </c>
      <c r="H1250" t="s">
        <v>2467</v>
      </c>
      <c r="I1250" t="s">
        <v>57</v>
      </c>
      <c r="J1250" s="1">
        <v>45292</v>
      </c>
      <c r="K1250">
        <v>-186000</v>
      </c>
    </row>
    <row r="1251" spans="5:11" x14ac:dyDescent="0.25">
      <c r="E1251" t="s">
        <v>2468</v>
      </c>
      <c r="F1251">
        <v>934612</v>
      </c>
      <c r="G1251" s="1">
        <v>45382</v>
      </c>
      <c r="H1251" t="s">
        <v>2469</v>
      </c>
      <c r="I1251" t="s">
        <v>30</v>
      </c>
      <c r="J1251" s="1">
        <v>45292</v>
      </c>
      <c r="K1251">
        <v>1143000000</v>
      </c>
    </row>
    <row r="1252" spans="5:11" x14ac:dyDescent="0.25">
      <c r="E1252" t="s">
        <v>2470</v>
      </c>
      <c r="F1252">
        <v>934796</v>
      </c>
      <c r="G1252" s="1">
        <v>45382</v>
      </c>
      <c r="H1252" t="s">
        <v>2471</v>
      </c>
      <c r="I1252" t="s">
        <v>2273</v>
      </c>
      <c r="J1252" s="1">
        <v>45292</v>
      </c>
      <c r="K1252">
        <v>-320210</v>
      </c>
    </row>
    <row r="1253" spans="5:11" x14ac:dyDescent="0.25">
      <c r="E1253" t="s">
        <v>2472</v>
      </c>
      <c r="F1253">
        <v>935036</v>
      </c>
      <c r="G1253" s="1">
        <v>45382</v>
      </c>
      <c r="H1253" t="s">
        <v>2473</v>
      </c>
      <c r="I1253" t="s">
        <v>763</v>
      </c>
      <c r="J1253" s="1">
        <v>45292</v>
      </c>
      <c r="K1253">
        <v>-7751000</v>
      </c>
    </row>
    <row r="1254" spans="5:11" x14ac:dyDescent="0.25">
      <c r="E1254" t="s">
        <v>2474</v>
      </c>
      <c r="F1254">
        <v>935419</v>
      </c>
      <c r="G1254" s="1">
        <v>45382</v>
      </c>
      <c r="H1254" t="s">
        <v>2475</v>
      </c>
      <c r="I1254" t="s">
        <v>30</v>
      </c>
      <c r="J1254" s="1">
        <v>45292</v>
      </c>
      <c r="K1254">
        <v>774000</v>
      </c>
    </row>
    <row r="1255" spans="5:11" x14ac:dyDescent="0.25">
      <c r="E1255" t="s">
        <v>2476</v>
      </c>
      <c r="F1255">
        <v>935703</v>
      </c>
      <c r="G1255" s="1">
        <v>45416</v>
      </c>
      <c r="H1255" t="s">
        <v>2477</v>
      </c>
      <c r="I1255" t="s">
        <v>123</v>
      </c>
      <c r="J1255" s="1">
        <v>45326</v>
      </c>
      <c r="K1255">
        <v>300100000</v>
      </c>
    </row>
    <row r="1256" spans="5:11" x14ac:dyDescent="0.25">
      <c r="E1256" t="s">
        <v>2478</v>
      </c>
      <c r="F1256">
        <v>936340</v>
      </c>
      <c r="G1256" s="1">
        <v>45382</v>
      </c>
      <c r="H1256" t="s">
        <v>2479</v>
      </c>
      <c r="I1256" t="s">
        <v>329</v>
      </c>
      <c r="J1256" s="1">
        <v>45292</v>
      </c>
      <c r="K1256">
        <v>313000000</v>
      </c>
    </row>
    <row r="1257" spans="5:11" x14ac:dyDescent="0.25">
      <c r="E1257" t="s">
        <v>2480</v>
      </c>
      <c r="F1257">
        <v>936395</v>
      </c>
      <c r="G1257" s="1">
        <v>45409</v>
      </c>
      <c r="H1257" t="s">
        <v>2481</v>
      </c>
      <c r="I1257" t="s">
        <v>299</v>
      </c>
      <c r="J1257" s="1">
        <v>45319</v>
      </c>
      <c r="K1257">
        <v>-16849000</v>
      </c>
    </row>
    <row r="1258" spans="5:11" x14ac:dyDescent="0.25">
      <c r="E1258" t="s">
        <v>2482</v>
      </c>
      <c r="F1258">
        <v>936468</v>
      </c>
      <c r="G1258" s="1">
        <v>45382</v>
      </c>
      <c r="H1258" t="s">
        <v>2483</v>
      </c>
      <c r="I1258" t="s">
        <v>299</v>
      </c>
      <c r="J1258" s="1">
        <v>45292</v>
      </c>
      <c r="K1258">
        <v>1545000000</v>
      </c>
    </row>
    <row r="1259" spans="5:11" x14ac:dyDescent="0.25">
      <c r="E1259" t="s">
        <v>2484</v>
      </c>
      <c r="F1259">
        <v>936528</v>
      </c>
      <c r="G1259" s="1">
        <v>45382</v>
      </c>
      <c r="H1259" t="s">
        <v>2485</v>
      </c>
      <c r="I1259" t="s">
        <v>504</v>
      </c>
      <c r="J1259" s="1">
        <v>45292</v>
      </c>
      <c r="K1259">
        <v>15888000</v>
      </c>
    </row>
    <row r="1260" spans="5:11" x14ac:dyDescent="0.25">
      <c r="E1260" t="s">
        <v>2486</v>
      </c>
      <c r="F1260">
        <v>937098</v>
      </c>
      <c r="G1260" s="1">
        <v>45382</v>
      </c>
      <c r="H1260" t="s">
        <v>2487</v>
      </c>
      <c r="I1260" t="s">
        <v>36</v>
      </c>
      <c r="J1260" s="1">
        <v>45292</v>
      </c>
      <c r="K1260">
        <v>91000000</v>
      </c>
    </row>
    <row r="1261" spans="5:11" x14ac:dyDescent="0.25">
      <c r="E1261" t="s">
        <v>2488</v>
      </c>
      <c r="F1261">
        <v>937556</v>
      </c>
      <c r="G1261" s="1">
        <v>45381</v>
      </c>
      <c r="H1261" t="s">
        <v>2489</v>
      </c>
      <c r="I1261" t="s">
        <v>36</v>
      </c>
      <c r="J1261" s="1">
        <v>45291</v>
      </c>
      <c r="K1261">
        <v>18900000</v>
      </c>
    </row>
    <row r="1262" spans="5:11" x14ac:dyDescent="0.25">
      <c r="E1262" t="s">
        <v>2490</v>
      </c>
      <c r="F1262">
        <v>939767</v>
      </c>
      <c r="G1262" s="1">
        <v>45380</v>
      </c>
      <c r="H1262" t="s">
        <v>2491</v>
      </c>
      <c r="I1262" t="s">
        <v>36</v>
      </c>
      <c r="J1262" s="1">
        <v>45290</v>
      </c>
      <c r="K1262">
        <v>37317000</v>
      </c>
    </row>
    <row r="1263" spans="5:11" x14ac:dyDescent="0.25">
      <c r="E1263" t="s">
        <v>2492</v>
      </c>
      <c r="F1263">
        <v>940942</v>
      </c>
      <c r="G1263" s="1">
        <v>45382</v>
      </c>
      <c r="H1263" t="s">
        <v>2493</v>
      </c>
      <c r="I1263" t="s">
        <v>19</v>
      </c>
      <c r="J1263" s="1">
        <v>45292</v>
      </c>
      <c r="K1263">
        <v>27053000</v>
      </c>
    </row>
    <row r="1264" spans="5:11" x14ac:dyDescent="0.25">
      <c r="E1264" t="s">
        <v>2494</v>
      </c>
      <c r="F1264">
        <v>940944</v>
      </c>
      <c r="G1264" s="1">
        <v>45347</v>
      </c>
      <c r="H1264" t="s">
        <v>2495</v>
      </c>
      <c r="I1264" t="s">
        <v>33</v>
      </c>
      <c r="J1264" s="1">
        <v>45257</v>
      </c>
      <c r="K1264">
        <v>312900000</v>
      </c>
    </row>
    <row r="1265" spans="5:11" x14ac:dyDescent="0.25">
      <c r="E1265" t="s">
        <v>2496</v>
      </c>
      <c r="F1265">
        <v>942126</v>
      </c>
      <c r="G1265" s="1">
        <v>45382</v>
      </c>
      <c r="H1265" t="s">
        <v>2497</v>
      </c>
      <c r="I1265" t="s">
        <v>36</v>
      </c>
      <c r="J1265" s="1">
        <v>45292</v>
      </c>
      <c r="K1265">
        <v>552000</v>
      </c>
    </row>
    <row r="1266" spans="5:11" x14ac:dyDescent="0.25">
      <c r="E1266" t="s">
        <v>2498</v>
      </c>
      <c r="F1266">
        <v>943452</v>
      </c>
      <c r="G1266" s="1">
        <v>45382</v>
      </c>
      <c r="H1266" t="s">
        <v>2499</v>
      </c>
      <c r="I1266" t="s">
        <v>39</v>
      </c>
      <c r="J1266" s="1">
        <v>45292</v>
      </c>
      <c r="K1266">
        <v>272000000</v>
      </c>
    </row>
    <row r="1267" spans="5:11" x14ac:dyDescent="0.25">
      <c r="E1267" t="s">
        <v>2500</v>
      </c>
      <c r="F1267">
        <v>943535</v>
      </c>
      <c r="G1267" s="1">
        <v>45382</v>
      </c>
      <c r="H1267" t="s">
        <v>2501</v>
      </c>
      <c r="I1267" t="s">
        <v>33</v>
      </c>
      <c r="J1267" s="1">
        <v>45292</v>
      </c>
      <c r="K1267">
        <v>-1383177</v>
      </c>
    </row>
    <row r="1268" spans="5:11" x14ac:dyDescent="0.25">
      <c r="E1268" t="s">
        <v>2502</v>
      </c>
      <c r="F1268">
        <v>943819</v>
      </c>
      <c r="G1268" s="1">
        <v>45382</v>
      </c>
      <c r="H1268" t="s">
        <v>2503</v>
      </c>
      <c r="I1268" t="s">
        <v>36</v>
      </c>
      <c r="J1268" s="1">
        <v>45292</v>
      </c>
      <c r="K1268">
        <v>300492000</v>
      </c>
    </row>
    <row r="1269" spans="5:11" x14ac:dyDescent="0.25">
      <c r="E1269" t="s">
        <v>2504</v>
      </c>
      <c r="F1269">
        <v>944075</v>
      </c>
      <c r="G1269" s="1">
        <v>45382</v>
      </c>
      <c r="H1269" t="s">
        <v>2505</v>
      </c>
      <c r="I1269" t="s">
        <v>36</v>
      </c>
      <c r="J1269" s="1">
        <v>45292</v>
      </c>
      <c r="K1269">
        <v>-557415</v>
      </c>
    </row>
    <row r="1270" spans="5:11" x14ac:dyDescent="0.25">
      <c r="E1270" t="s">
        <v>2506</v>
      </c>
      <c r="F1270">
        <v>944130</v>
      </c>
      <c r="G1270" s="1">
        <v>45382</v>
      </c>
      <c r="H1270" t="s">
        <v>2507</v>
      </c>
      <c r="I1270" t="s">
        <v>36</v>
      </c>
      <c r="J1270" s="1">
        <v>45292</v>
      </c>
      <c r="K1270">
        <v>-349000</v>
      </c>
    </row>
    <row r="1271" spans="5:11" x14ac:dyDescent="0.25">
      <c r="E1271" t="s">
        <v>2508</v>
      </c>
      <c r="F1271">
        <v>944148</v>
      </c>
      <c r="G1271" s="1">
        <v>45382</v>
      </c>
      <c r="H1271" t="s">
        <v>2509</v>
      </c>
      <c r="I1271" t="s">
        <v>60</v>
      </c>
      <c r="J1271" s="1">
        <v>45292</v>
      </c>
      <c r="K1271">
        <v>76884000</v>
      </c>
    </row>
    <row r="1272" spans="5:11" x14ac:dyDescent="0.25">
      <c r="E1272" t="s">
        <v>2510</v>
      </c>
      <c r="F1272">
        <v>944480</v>
      </c>
      <c r="G1272" s="1">
        <v>45382</v>
      </c>
      <c r="H1272" t="s">
        <v>2511</v>
      </c>
      <c r="I1272" t="s">
        <v>299</v>
      </c>
      <c r="J1272" s="1">
        <v>45292</v>
      </c>
      <c r="K1272">
        <v>-1992000</v>
      </c>
    </row>
    <row r="1273" spans="5:11" x14ac:dyDescent="0.25">
      <c r="E1273" t="s">
        <v>2512</v>
      </c>
      <c r="F1273">
        <v>944695</v>
      </c>
      <c r="G1273" s="1">
        <v>45382</v>
      </c>
      <c r="H1273" t="s">
        <v>2513</v>
      </c>
      <c r="I1273" t="s">
        <v>24</v>
      </c>
      <c r="J1273" s="1">
        <v>45292</v>
      </c>
      <c r="K1273">
        <v>115500000</v>
      </c>
    </row>
    <row r="1274" spans="5:11" x14ac:dyDescent="0.25">
      <c r="E1274" t="s">
        <v>2514</v>
      </c>
      <c r="F1274">
        <v>944745</v>
      </c>
      <c r="G1274" s="1">
        <v>45382</v>
      </c>
      <c r="H1274" t="s">
        <v>2515</v>
      </c>
      <c r="I1274" t="s">
        <v>60</v>
      </c>
      <c r="J1274" s="1">
        <v>45292</v>
      </c>
      <c r="K1274">
        <v>6360000</v>
      </c>
    </row>
    <row r="1275" spans="5:11" x14ac:dyDescent="0.25">
      <c r="E1275" t="s">
        <v>2516</v>
      </c>
      <c r="F1275">
        <v>944809</v>
      </c>
      <c r="G1275" s="1">
        <v>45382</v>
      </c>
      <c r="H1275" t="s">
        <v>2517</v>
      </c>
      <c r="I1275" t="s">
        <v>33</v>
      </c>
      <c r="J1275" s="1">
        <v>45292</v>
      </c>
      <c r="K1275">
        <v>-81836000</v>
      </c>
    </row>
    <row r="1276" spans="5:11" x14ac:dyDescent="0.25">
      <c r="E1276" t="s">
        <v>10397</v>
      </c>
      <c r="F1276">
        <v>945114</v>
      </c>
      <c r="G1276" s="1">
        <v>45382</v>
      </c>
      <c r="H1276" t="s">
        <v>2518</v>
      </c>
      <c r="I1276" t="s">
        <v>57</v>
      </c>
      <c r="J1276" s="1">
        <v>45292</v>
      </c>
      <c r="K1276">
        <v>13200000</v>
      </c>
    </row>
    <row r="1277" spans="5:11" x14ac:dyDescent="0.25">
      <c r="E1277" t="s">
        <v>2519</v>
      </c>
      <c r="F1277">
        <v>945394</v>
      </c>
      <c r="G1277" s="1">
        <v>45382</v>
      </c>
      <c r="H1277" t="s">
        <v>2520</v>
      </c>
      <c r="I1277" t="s">
        <v>24</v>
      </c>
      <c r="J1277" s="1">
        <v>45292</v>
      </c>
      <c r="K1277">
        <v>-78383000</v>
      </c>
    </row>
    <row r="1278" spans="5:11" x14ac:dyDescent="0.25">
      <c r="E1278" t="s">
        <v>2521</v>
      </c>
      <c r="F1278">
        <v>945617</v>
      </c>
      <c r="G1278" s="1">
        <v>45382</v>
      </c>
      <c r="H1278" t="s">
        <v>2522</v>
      </c>
      <c r="I1278" t="s">
        <v>92</v>
      </c>
      <c r="J1278" s="1">
        <v>45292</v>
      </c>
      <c r="K1278">
        <v>-132551</v>
      </c>
    </row>
    <row r="1279" spans="5:11" x14ac:dyDescent="0.25">
      <c r="E1279" t="s">
        <v>10398</v>
      </c>
      <c r="F1279">
        <v>945841</v>
      </c>
      <c r="G1279" s="1">
        <v>45382</v>
      </c>
      <c r="H1279" t="s">
        <v>2523</v>
      </c>
      <c r="I1279" t="s">
        <v>179</v>
      </c>
      <c r="J1279" s="1">
        <v>45292</v>
      </c>
      <c r="K1279">
        <v>78885000</v>
      </c>
    </row>
    <row r="1280" spans="5:11" x14ac:dyDescent="0.25">
      <c r="E1280" t="s">
        <v>2524</v>
      </c>
      <c r="F1280">
        <v>945983</v>
      </c>
      <c r="G1280" s="1">
        <v>45382</v>
      </c>
      <c r="H1280" t="s">
        <v>2525</v>
      </c>
      <c r="I1280" t="s">
        <v>46</v>
      </c>
      <c r="J1280" s="1">
        <v>45292</v>
      </c>
      <c r="K1280">
        <v>2731000</v>
      </c>
    </row>
    <row r="1281" spans="5:11" x14ac:dyDescent="0.25">
      <c r="E1281" t="s">
        <v>2526</v>
      </c>
      <c r="F1281">
        <v>946155</v>
      </c>
      <c r="G1281" s="1">
        <v>45382</v>
      </c>
      <c r="H1281" t="s">
        <v>2527</v>
      </c>
      <c r="I1281" t="s">
        <v>57</v>
      </c>
      <c r="J1281" s="1">
        <v>45292</v>
      </c>
      <c r="K1281">
        <v>-626000000</v>
      </c>
    </row>
    <row r="1282" spans="5:11" x14ac:dyDescent="0.25">
      <c r="E1282" t="s">
        <v>2528</v>
      </c>
      <c r="F1282">
        <v>946486</v>
      </c>
      <c r="G1282" s="1">
        <v>45382</v>
      </c>
      <c r="H1282" t="s">
        <v>2529</v>
      </c>
      <c r="I1282" t="s">
        <v>39</v>
      </c>
      <c r="J1282" s="1">
        <v>45292</v>
      </c>
      <c r="K1282">
        <v>10219000</v>
      </c>
    </row>
    <row r="1283" spans="5:11" x14ac:dyDescent="0.25">
      <c r="E1283" t="s">
        <v>2530</v>
      </c>
      <c r="F1283">
        <v>946563</v>
      </c>
      <c r="G1283" s="1">
        <v>45382</v>
      </c>
      <c r="H1283" t="s">
        <v>2531</v>
      </c>
      <c r="I1283" t="s">
        <v>30</v>
      </c>
      <c r="J1283" s="1">
        <v>45292</v>
      </c>
      <c r="K1283">
        <v>429384</v>
      </c>
    </row>
    <row r="1284" spans="5:11" x14ac:dyDescent="0.25">
      <c r="E1284" t="s">
        <v>2532</v>
      </c>
      <c r="F1284">
        <v>946644</v>
      </c>
      <c r="G1284" s="1">
        <v>45382</v>
      </c>
      <c r="H1284" t="s">
        <v>2533</v>
      </c>
      <c r="I1284" t="s">
        <v>33</v>
      </c>
      <c r="J1284" s="1">
        <v>45292</v>
      </c>
      <c r="K1284">
        <v>-5817000</v>
      </c>
    </row>
    <row r="1285" spans="5:11" x14ac:dyDescent="0.25">
      <c r="E1285" t="s">
        <v>2534</v>
      </c>
      <c r="F1285">
        <v>946647</v>
      </c>
      <c r="G1285" s="1">
        <v>45382</v>
      </c>
      <c r="H1285" t="s">
        <v>2535</v>
      </c>
      <c r="I1285" t="s">
        <v>60</v>
      </c>
      <c r="J1285" s="1">
        <v>45292</v>
      </c>
      <c r="K1285">
        <v>17789000</v>
      </c>
    </row>
    <row r="1286" spans="5:11" x14ac:dyDescent="0.25">
      <c r="E1286" t="s">
        <v>2536</v>
      </c>
      <c r="F1286">
        <v>946673</v>
      </c>
      <c r="G1286" s="1">
        <v>45382</v>
      </c>
      <c r="H1286" t="s">
        <v>2537</v>
      </c>
      <c r="I1286" t="s">
        <v>504</v>
      </c>
      <c r="J1286" s="1">
        <v>45292</v>
      </c>
      <c r="K1286">
        <v>37559000</v>
      </c>
    </row>
    <row r="1287" spans="5:11" x14ac:dyDescent="0.25">
      <c r="E1287" t="s">
        <v>2538</v>
      </c>
      <c r="F1287">
        <v>947484</v>
      </c>
      <c r="G1287" s="1">
        <v>45382</v>
      </c>
      <c r="H1287" t="s">
        <v>2539</v>
      </c>
      <c r="I1287" t="s">
        <v>919</v>
      </c>
      <c r="J1287" s="1">
        <v>45292</v>
      </c>
      <c r="K1287">
        <v>1120000000</v>
      </c>
    </row>
    <row r="1288" spans="5:11" x14ac:dyDescent="0.25">
      <c r="E1288" t="s">
        <v>2540</v>
      </c>
      <c r="F1288">
        <v>947559</v>
      </c>
      <c r="G1288" s="1">
        <v>45382</v>
      </c>
      <c r="H1288" t="s">
        <v>2541</v>
      </c>
      <c r="I1288" t="s">
        <v>162</v>
      </c>
      <c r="J1288" s="1">
        <v>45292</v>
      </c>
      <c r="K1288">
        <v>20628000</v>
      </c>
    </row>
    <row r="1289" spans="5:11" x14ac:dyDescent="0.25">
      <c r="E1289" t="s">
        <v>2542</v>
      </c>
      <c r="F1289">
        <v>948320</v>
      </c>
      <c r="G1289" s="1">
        <v>45382</v>
      </c>
      <c r="H1289" t="s">
        <v>2543</v>
      </c>
      <c r="I1289" t="s">
        <v>57</v>
      </c>
      <c r="J1289" s="1">
        <v>45292</v>
      </c>
      <c r="K1289">
        <v>-6768355</v>
      </c>
    </row>
    <row r="1290" spans="5:11" x14ac:dyDescent="0.25">
      <c r="E1290" t="s">
        <v>2544</v>
      </c>
      <c r="F1290">
        <v>948708</v>
      </c>
      <c r="G1290" s="1">
        <v>45382</v>
      </c>
      <c r="H1290" t="s">
        <v>2545</v>
      </c>
      <c r="I1290" t="s">
        <v>39</v>
      </c>
      <c r="J1290" s="1">
        <v>45292</v>
      </c>
      <c r="K1290">
        <v>-31007000</v>
      </c>
    </row>
    <row r="1291" spans="5:11" x14ac:dyDescent="0.25">
      <c r="E1291" t="s">
        <v>2546</v>
      </c>
      <c r="F1291">
        <v>949039</v>
      </c>
      <c r="G1291" s="1">
        <v>45382</v>
      </c>
      <c r="H1291" t="s">
        <v>2547</v>
      </c>
      <c r="I1291" t="s">
        <v>30</v>
      </c>
      <c r="J1291" s="1">
        <v>45292</v>
      </c>
      <c r="K1291">
        <v>11612000</v>
      </c>
    </row>
    <row r="1292" spans="5:11" x14ac:dyDescent="0.25">
      <c r="E1292" t="s">
        <v>2548</v>
      </c>
      <c r="F1292">
        <v>949157</v>
      </c>
      <c r="G1292" s="1">
        <v>45382</v>
      </c>
      <c r="H1292" t="s">
        <v>2549</v>
      </c>
      <c r="I1292" t="s">
        <v>19</v>
      </c>
      <c r="J1292" s="1">
        <v>45292</v>
      </c>
      <c r="K1292">
        <v>246800000</v>
      </c>
    </row>
    <row r="1293" spans="5:11" x14ac:dyDescent="0.25">
      <c r="E1293" t="s">
        <v>2550</v>
      </c>
      <c r="F1293">
        <v>949858</v>
      </c>
      <c r="G1293" s="1">
        <v>45382</v>
      </c>
      <c r="H1293" t="s">
        <v>2551</v>
      </c>
      <c r="I1293" t="s">
        <v>2552</v>
      </c>
      <c r="J1293" s="1">
        <v>45292</v>
      </c>
      <c r="K1293">
        <v>-6494000</v>
      </c>
    </row>
    <row r="1294" spans="5:11" x14ac:dyDescent="0.25">
      <c r="E1294" t="s">
        <v>10399</v>
      </c>
      <c r="F1294">
        <v>949870</v>
      </c>
      <c r="G1294" s="1">
        <v>45381</v>
      </c>
      <c r="H1294" t="s">
        <v>2553</v>
      </c>
      <c r="I1294" t="s">
        <v>24</v>
      </c>
      <c r="J1294" s="1">
        <v>45291</v>
      </c>
      <c r="K1294">
        <v>12597000</v>
      </c>
    </row>
    <row r="1295" spans="5:11" x14ac:dyDescent="0.25">
      <c r="E1295" t="s">
        <v>2554</v>
      </c>
      <c r="F1295">
        <v>949961</v>
      </c>
      <c r="G1295" s="1">
        <v>45382</v>
      </c>
      <c r="H1295" t="s">
        <v>2555</v>
      </c>
      <c r="I1295" t="s">
        <v>30</v>
      </c>
      <c r="J1295" s="1">
        <v>45292</v>
      </c>
      <c r="K1295">
        <v>1178000</v>
      </c>
    </row>
    <row r="1296" spans="5:11" x14ac:dyDescent="0.25">
      <c r="E1296" t="s">
        <v>2556</v>
      </c>
      <c r="F1296">
        <v>1000209</v>
      </c>
      <c r="G1296" s="1">
        <v>45382</v>
      </c>
      <c r="H1296" t="s">
        <v>2557</v>
      </c>
      <c r="I1296" t="s">
        <v>57</v>
      </c>
      <c r="J1296" s="1">
        <v>45292</v>
      </c>
      <c r="K1296">
        <v>10024000</v>
      </c>
    </row>
    <row r="1297" spans="5:11" x14ac:dyDescent="0.25">
      <c r="E1297" t="s">
        <v>2558</v>
      </c>
      <c r="F1297">
        <v>1000228</v>
      </c>
      <c r="G1297" s="1">
        <v>45381</v>
      </c>
      <c r="H1297" t="s">
        <v>2559</v>
      </c>
      <c r="I1297" t="s">
        <v>57</v>
      </c>
      <c r="J1297" s="1">
        <v>45291</v>
      </c>
      <c r="K1297">
        <v>93000000</v>
      </c>
    </row>
    <row r="1298" spans="5:11" x14ac:dyDescent="0.25">
      <c r="E1298" t="s">
        <v>2560</v>
      </c>
      <c r="F1298">
        <v>1000230</v>
      </c>
      <c r="G1298" s="1">
        <v>45412</v>
      </c>
      <c r="H1298" t="s">
        <v>2561</v>
      </c>
      <c r="I1298" t="s">
        <v>123</v>
      </c>
      <c r="J1298" s="1">
        <v>45323</v>
      </c>
      <c r="K1298">
        <v>-1601346</v>
      </c>
    </row>
    <row r="1299" spans="5:11" x14ac:dyDescent="0.25">
      <c r="E1299" t="s">
        <v>2562</v>
      </c>
      <c r="F1299">
        <v>1000623</v>
      </c>
      <c r="G1299" s="1">
        <v>45382</v>
      </c>
      <c r="H1299" t="s">
        <v>2563</v>
      </c>
      <c r="I1299" t="s">
        <v>64</v>
      </c>
      <c r="J1299" s="1">
        <v>45292</v>
      </c>
      <c r="K1299">
        <v>-28000000</v>
      </c>
    </row>
    <row r="1300" spans="5:11" x14ac:dyDescent="0.25">
      <c r="E1300" t="s">
        <v>2564</v>
      </c>
      <c r="F1300">
        <v>1000694</v>
      </c>
      <c r="G1300" s="1">
        <v>45382</v>
      </c>
      <c r="H1300" t="s">
        <v>2565</v>
      </c>
      <c r="I1300" t="s">
        <v>2566</v>
      </c>
      <c r="J1300" s="1">
        <v>45292</v>
      </c>
      <c r="K1300">
        <v>-147550000</v>
      </c>
    </row>
    <row r="1301" spans="5:11" x14ac:dyDescent="0.25">
      <c r="E1301" t="s">
        <v>2567</v>
      </c>
      <c r="F1301">
        <v>1000753</v>
      </c>
      <c r="G1301" s="1">
        <v>45382</v>
      </c>
      <c r="H1301" t="s">
        <v>2568</v>
      </c>
      <c r="I1301" t="s">
        <v>30</v>
      </c>
      <c r="J1301" s="1">
        <v>45292</v>
      </c>
      <c r="K1301">
        <v>79000000</v>
      </c>
    </row>
    <row r="1302" spans="5:11" x14ac:dyDescent="0.25">
      <c r="E1302" t="s">
        <v>2569</v>
      </c>
      <c r="F1302">
        <v>1001115</v>
      </c>
      <c r="G1302" s="1">
        <v>45382</v>
      </c>
      <c r="H1302" t="s">
        <v>2570</v>
      </c>
      <c r="I1302" t="s">
        <v>30</v>
      </c>
      <c r="J1302" s="1">
        <v>45292</v>
      </c>
      <c r="K1302">
        <v>-4327000</v>
      </c>
    </row>
    <row r="1303" spans="5:11" x14ac:dyDescent="0.25">
      <c r="E1303" t="s">
        <v>2571</v>
      </c>
      <c r="F1303">
        <v>1001171</v>
      </c>
      <c r="G1303" s="1">
        <v>45382</v>
      </c>
      <c r="H1303" t="s">
        <v>2572</v>
      </c>
      <c r="I1303" t="s">
        <v>36</v>
      </c>
      <c r="J1303" s="1">
        <v>45292</v>
      </c>
      <c r="K1303">
        <v>-164000</v>
      </c>
    </row>
    <row r="1304" spans="5:11" x14ac:dyDescent="0.25">
      <c r="E1304" t="s">
        <v>2573</v>
      </c>
      <c r="F1304">
        <v>1001233</v>
      </c>
      <c r="G1304" s="1">
        <v>45382</v>
      </c>
      <c r="H1304" t="s">
        <v>2574</v>
      </c>
      <c r="I1304" t="s">
        <v>36</v>
      </c>
      <c r="J1304" s="1">
        <v>45292</v>
      </c>
      <c r="K1304">
        <v>-49089000</v>
      </c>
    </row>
    <row r="1305" spans="5:11" x14ac:dyDescent="0.25">
      <c r="E1305" t="s">
        <v>2575</v>
      </c>
      <c r="F1305">
        <v>1001316</v>
      </c>
      <c r="G1305" s="1">
        <v>45382</v>
      </c>
      <c r="H1305" t="s">
        <v>2576</v>
      </c>
      <c r="I1305" t="s">
        <v>172</v>
      </c>
      <c r="J1305" s="1">
        <v>45292</v>
      </c>
      <c r="K1305">
        <v>-10707000</v>
      </c>
    </row>
    <row r="1306" spans="5:11" x14ac:dyDescent="0.25">
      <c r="E1306" t="s">
        <v>2577</v>
      </c>
      <c r="F1306">
        <v>1001385</v>
      </c>
      <c r="G1306" s="1">
        <v>45382</v>
      </c>
      <c r="H1306" t="s">
        <v>2578</v>
      </c>
      <c r="I1306" t="s">
        <v>504</v>
      </c>
      <c r="J1306" s="1">
        <v>45292</v>
      </c>
      <c r="K1306">
        <v>5238000</v>
      </c>
    </row>
    <row r="1307" spans="5:11" x14ac:dyDescent="0.25">
      <c r="E1307" t="s">
        <v>2579</v>
      </c>
      <c r="F1307">
        <v>1001614</v>
      </c>
      <c r="G1307" s="1">
        <v>45382</v>
      </c>
      <c r="H1307" t="s">
        <v>2580</v>
      </c>
      <c r="I1307" t="s">
        <v>277</v>
      </c>
      <c r="J1307" s="1">
        <v>45292</v>
      </c>
      <c r="K1307">
        <v>18758000</v>
      </c>
    </row>
    <row r="1308" spans="5:11" x14ac:dyDescent="0.25">
      <c r="E1308" t="s">
        <v>2581</v>
      </c>
      <c r="F1308">
        <v>1001902</v>
      </c>
      <c r="G1308" s="1">
        <v>45381</v>
      </c>
      <c r="H1308" t="s">
        <v>2582</v>
      </c>
      <c r="I1308" t="s">
        <v>36</v>
      </c>
      <c r="J1308" s="1">
        <v>45291</v>
      </c>
      <c r="K1308">
        <v>-1606000</v>
      </c>
    </row>
    <row r="1309" spans="5:11" x14ac:dyDescent="0.25">
      <c r="E1309" t="s">
        <v>2583</v>
      </c>
      <c r="F1309">
        <v>1001907</v>
      </c>
      <c r="G1309" s="1">
        <v>45382</v>
      </c>
      <c r="H1309" t="s">
        <v>2584</v>
      </c>
      <c r="I1309" t="s">
        <v>30</v>
      </c>
      <c r="J1309" s="1">
        <v>45292</v>
      </c>
      <c r="K1309">
        <v>-3154000</v>
      </c>
    </row>
    <row r="1310" spans="5:11" x14ac:dyDescent="0.25">
      <c r="E1310" t="s">
        <v>2585</v>
      </c>
      <c r="F1310">
        <v>1002590</v>
      </c>
      <c r="G1310" s="1">
        <v>45382</v>
      </c>
      <c r="H1310" t="s">
        <v>2586</v>
      </c>
      <c r="I1310" t="s">
        <v>27</v>
      </c>
      <c r="J1310" s="1">
        <v>45292</v>
      </c>
      <c r="K1310">
        <v>68374000</v>
      </c>
    </row>
    <row r="1311" spans="5:11" x14ac:dyDescent="0.25">
      <c r="E1311" t="s">
        <v>2587</v>
      </c>
      <c r="F1311">
        <v>1002638</v>
      </c>
      <c r="G1311" s="1">
        <v>45382</v>
      </c>
      <c r="H1311" t="s">
        <v>2588</v>
      </c>
      <c r="I1311" t="s">
        <v>912</v>
      </c>
      <c r="J1311" s="1">
        <v>45292</v>
      </c>
      <c r="K1311">
        <v>98285000</v>
      </c>
    </row>
    <row r="1312" spans="5:11" x14ac:dyDescent="0.25">
      <c r="E1312" t="s">
        <v>2589</v>
      </c>
      <c r="F1312">
        <v>1003078</v>
      </c>
      <c r="G1312" s="1">
        <v>45353</v>
      </c>
      <c r="H1312" t="s">
        <v>2590</v>
      </c>
      <c r="I1312" t="s">
        <v>57</v>
      </c>
      <c r="J1312" s="1">
        <v>45263</v>
      </c>
      <c r="K1312">
        <v>61847000</v>
      </c>
    </row>
    <row r="1313" spans="5:11" x14ac:dyDescent="0.25">
      <c r="E1313" t="s">
        <v>2591</v>
      </c>
      <c r="F1313">
        <v>1004434</v>
      </c>
      <c r="G1313" s="1">
        <v>45382</v>
      </c>
      <c r="H1313" t="s">
        <v>2592</v>
      </c>
      <c r="I1313" t="s">
        <v>33</v>
      </c>
      <c r="J1313" s="1">
        <v>45292</v>
      </c>
      <c r="K1313">
        <v>149800000</v>
      </c>
    </row>
    <row r="1314" spans="5:11" x14ac:dyDescent="0.25">
      <c r="E1314" t="s">
        <v>2593</v>
      </c>
      <c r="F1314">
        <v>1004702</v>
      </c>
      <c r="G1314" s="1">
        <v>45382</v>
      </c>
      <c r="H1314" t="s">
        <v>2594</v>
      </c>
      <c r="I1314" t="s">
        <v>46</v>
      </c>
      <c r="J1314" s="1">
        <v>45292</v>
      </c>
      <c r="K1314">
        <v>28667000</v>
      </c>
    </row>
    <row r="1315" spans="5:11" x14ac:dyDescent="0.25">
      <c r="E1315" t="s">
        <v>2595</v>
      </c>
      <c r="F1315">
        <v>1004724</v>
      </c>
      <c r="G1315" s="1">
        <v>45382</v>
      </c>
      <c r="H1315" t="s">
        <v>2596</v>
      </c>
      <c r="I1315" t="s">
        <v>64</v>
      </c>
      <c r="J1315" s="1">
        <v>45292</v>
      </c>
      <c r="K1315">
        <v>-962000</v>
      </c>
    </row>
    <row r="1316" spans="5:11" x14ac:dyDescent="0.25">
      <c r="E1316" t="s">
        <v>2597</v>
      </c>
      <c r="F1316">
        <v>1004989</v>
      </c>
      <c r="G1316" s="1">
        <v>45382</v>
      </c>
      <c r="H1316" t="s">
        <v>2598</v>
      </c>
      <c r="I1316" t="s">
        <v>329</v>
      </c>
      <c r="J1316" s="1">
        <v>45292</v>
      </c>
      <c r="K1316">
        <v>6627000</v>
      </c>
    </row>
    <row r="1317" spans="5:11" x14ac:dyDescent="0.25">
      <c r="E1317" t="s">
        <v>2599</v>
      </c>
      <c r="F1317">
        <v>1005101</v>
      </c>
      <c r="G1317" s="1">
        <v>45382</v>
      </c>
      <c r="H1317" t="s">
        <v>2600</v>
      </c>
      <c r="I1317" t="s">
        <v>36</v>
      </c>
      <c r="J1317" s="1">
        <v>45292</v>
      </c>
      <c r="K1317">
        <v>-529000</v>
      </c>
    </row>
    <row r="1318" spans="5:11" x14ac:dyDescent="0.25">
      <c r="E1318" t="s">
        <v>2601</v>
      </c>
      <c r="F1318">
        <v>1005210</v>
      </c>
      <c r="G1318" s="1">
        <v>45381</v>
      </c>
      <c r="H1318" t="s">
        <v>2602</v>
      </c>
      <c r="I1318" t="s">
        <v>46</v>
      </c>
      <c r="J1318" s="1">
        <v>45291</v>
      </c>
      <c r="K1318">
        <v>111500000</v>
      </c>
    </row>
    <row r="1319" spans="5:11" x14ac:dyDescent="0.25">
      <c r="E1319" t="s">
        <v>2603</v>
      </c>
      <c r="F1319">
        <v>1005284</v>
      </c>
      <c r="G1319" s="1">
        <v>45382</v>
      </c>
      <c r="H1319" t="s">
        <v>2604</v>
      </c>
      <c r="I1319" t="s">
        <v>46</v>
      </c>
      <c r="J1319" s="1">
        <v>45292</v>
      </c>
      <c r="K1319">
        <v>56853000</v>
      </c>
    </row>
    <row r="1320" spans="5:11" x14ac:dyDescent="0.25">
      <c r="E1320" t="s">
        <v>2605</v>
      </c>
      <c r="F1320">
        <v>1005286</v>
      </c>
      <c r="G1320" s="1">
        <v>45347</v>
      </c>
      <c r="H1320" t="s">
        <v>2606</v>
      </c>
      <c r="I1320" t="s">
        <v>213</v>
      </c>
      <c r="J1320" s="1">
        <v>45257</v>
      </c>
      <c r="K1320">
        <v>15632000</v>
      </c>
    </row>
    <row r="1321" spans="5:11" x14ac:dyDescent="0.25">
      <c r="E1321" t="s">
        <v>2607</v>
      </c>
      <c r="F1321">
        <v>1005731</v>
      </c>
      <c r="G1321" s="1">
        <v>45412</v>
      </c>
      <c r="H1321" t="s">
        <v>2608</v>
      </c>
      <c r="I1321" t="s">
        <v>46</v>
      </c>
      <c r="J1321" s="1">
        <v>45323</v>
      </c>
      <c r="K1321">
        <v>5551000</v>
      </c>
    </row>
    <row r="1322" spans="5:11" x14ac:dyDescent="0.25">
      <c r="E1322" t="s">
        <v>2609</v>
      </c>
      <c r="F1322">
        <v>1005757</v>
      </c>
      <c r="G1322" s="1">
        <v>45382</v>
      </c>
      <c r="H1322" t="s">
        <v>2610</v>
      </c>
      <c r="I1322" t="s">
        <v>92</v>
      </c>
      <c r="J1322" s="1">
        <v>45292</v>
      </c>
      <c r="K1322">
        <v>19467000</v>
      </c>
    </row>
    <row r="1323" spans="5:11" x14ac:dyDescent="0.25">
      <c r="E1323" t="s">
        <v>2611</v>
      </c>
      <c r="F1323">
        <v>1005817</v>
      </c>
      <c r="G1323" s="1">
        <v>45382</v>
      </c>
      <c r="H1323" t="s">
        <v>2612</v>
      </c>
      <c r="I1323" t="s">
        <v>57</v>
      </c>
      <c r="J1323" s="1">
        <v>45292</v>
      </c>
      <c r="K1323">
        <v>16872000</v>
      </c>
    </row>
    <row r="1324" spans="5:11" x14ac:dyDescent="0.25">
      <c r="E1324" t="s">
        <v>2613</v>
      </c>
      <c r="F1324">
        <v>1006028</v>
      </c>
      <c r="G1324" s="1">
        <v>45412</v>
      </c>
      <c r="H1324" t="s">
        <v>2614</v>
      </c>
      <c r="I1324" t="s">
        <v>36</v>
      </c>
      <c r="J1324" s="1">
        <v>45323</v>
      </c>
      <c r="K1324">
        <v>-857000</v>
      </c>
    </row>
    <row r="1325" spans="5:11" x14ac:dyDescent="0.25">
      <c r="E1325" t="s">
        <v>2615</v>
      </c>
      <c r="F1325">
        <v>1006045</v>
      </c>
      <c r="G1325" s="1">
        <v>45381</v>
      </c>
      <c r="H1325" t="s">
        <v>2616</v>
      </c>
      <c r="I1325" t="s">
        <v>36</v>
      </c>
      <c r="J1325" s="1">
        <v>45291</v>
      </c>
      <c r="K1325">
        <v>-3464000</v>
      </c>
    </row>
    <row r="1326" spans="5:11" x14ac:dyDescent="0.25">
      <c r="E1326" t="s">
        <v>2617</v>
      </c>
      <c r="F1326">
        <v>1006281</v>
      </c>
      <c r="G1326" s="1">
        <v>45382</v>
      </c>
      <c r="H1326" t="s">
        <v>2618</v>
      </c>
      <c r="I1326" t="s">
        <v>46</v>
      </c>
      <c r="J1326" s="1">
        <v>45292</v>
      </c>
      <c r="K1326">
        <v>-4595000</v>
      </c>
    </row>
    <row r="1327" spans="5:11" x14ac:dyDescent="0.25">
      <c r="E1327" t="s">
        <v>2619</v>
      </c>
      <c r="F1327">
        <v>1006655</v>
      </c>
      <c r="G1327" s="1">
        <v>45382</v>
      </c>
      <c r="H1327" t="s">
        <v>2620</v>
      </c>
      <c r="I1327" t="s">
        <v>30</v>
      </c>
      <c r="J1327" s="1">
        <v>45292</v>
      </c>
      <c r="K1327">
        <v>289000</v>
      </c>
    </row>
    <row r="1328" spans="5:11" x14ac:dyDescent="0.25">
      <c r="E1328" t="s">
        <v>2621</v>
      </c>
      <c r="F1328">
        <v>1006830</v>
      </c>
      <c r="G1328" s="1">
        <v>45382</v>
      </c>
      <c r="H1328" t="s">
        <v>2622</v>
      </c>
      <c r="I1328" t="s">
        <v>60</v>
      </c>
      <c r="J1328" s="1">
        <v>45292</v>
      </c>
      <c r="K1328">
        <v>2052000</v>
      </c>
    </row>
    <row r="1329" spans="5:11" x14ac:dyDescent="0.25">
      <c r="E1329" t="s">
        <v>2623</v>
      </c>
      <c r="F1329">
        <v>1006837</v>
      </c>
      <c r="G1329" s="1">
        <v>45382</v>
      </c>
      <c r="H1329" t="s">
        <v>2624</v>
      </c>
      <c r="I1329" t="s">
        <v>57</v>
      </c>
      <c r="J1329" s="1">
        <v>45292</v>
      </c>
      <c r="K1329">
        <v>-17400000</v>
      </c>
    </row>
    <row r="1330" spans="5:11" x14ac:dyDescent="0.25">
      <c r="E1330" t="s">
        <v>2625</v>
      </c>
      <c r="F1330">
        <v>1007019</v>
      </c>
      <c r="G1330" s="1">
        <v>45412</v>
      </c>
      <c r="H1330" t="s">
        <v>2626</v>
      </c>
      <c r="I1330" t="s">
        <v>57</v>
      </c>
      <c r="J1330" s="1">
        <v>45323</v>
      </c>
      <c r="K1330">
        <v>-21841</v>
      </c>
    </row>
    <row r="1331" spans="5:11" x14ac:dyDescent="0.25">
      <c r="E1331" t="s">
        <v>2627</v>
      </c>
      <c r="F1331">
        <v>1007587</v>
      </c>
      <c r="G1331" s="1">
        <v>45382</v>
      </c>
      <c r="H1331" t="s">
        <v>2628</v>
      </c>
      <c r="I1331" t="s">
        <v>101</v>
      </c>
      <c r="J1331" s="1">
        <v>45292</v>
      </c>
      <c r="K1331">
        <v>-3163000</v>
      </c>
    </row>
    <row r="1332" spans="5:11" x14ac:dyDescent="0.25">
      <c r="E1332" t="s">
        <v>2629</v>
      </c>
      <c r="F1332">
        <v>1008586</v>
      </c>
      <c r="G1332" s="1">
        <v>45412</v>
      </c>
      <c r="H1332" t="s">
        <v>2630</v>
      </c>
      <c r="I1332" t="s">
        <v>64</v>
      </c>
      <c r="J1332" s="1">
        <v>45323</v>
      </c>
      <c r="K1332">
        <v>-2739000</v>
      </c>
    </row>
    <row r="1333" spans="5:11" x14ac:dyDescent="0.25">
      <c r="E1333" t="s">
        <v>2631</v>
      </c>
      <c r="F1333">
        <v>1008653</v>
      </c>
      <c r="G1333" s="1">
        <v>45382</v>
      </c>
      <c r="H1333" t="s">
        <v>2632</v>
      </c>
      <c r="I1333" t="s">
        <v>57</v>
      </c>
      <c r="J1333" s="1">
        <v>45292</v>
      </c>
      <c r="K1333">
        <v>-18529</v>
      </c>
    </row>
    <row r="1334" spans="5:11" x14ac:dyDescent="0.25">
      <c r="E1334" t="s">
        <v>2633</v>
      </c>
      <c r="F1334">
        <v>1008848</v>
      </c>
      <c r="G1334" s="1">
        <v>45382</v>
      </c>
      <c r="H1334" t="s">
        <v>2634</v>
      </c>
      <c r="I1334" t="s">
        <v>57</v>
      </c>
      <c r="J1334" s="1">
        <v>45292</v>
      </c>
      <c r="K1334">
        <v>-27395000</v>
      </c>
    </row>
    <row r="1335" spans="5:11" x14ac:dyDescent="0.25">
      <c r="E1335" t="s">
        <v>2635</v>
      </c>
      <c r="F1335">
        <v>1009829</v>
      </c>
      <c r="G1335" s="1">
        <v>45382</v>
      </c>
      <c r="H1335" t="s">
        <v>2636</v>
      </c>
      <c r="I1335" t="s">
        <v>36</v>
      </c>
      <c r="J1335" s="1">
        <v>45292</v>
      </c>
      <c r="K1335">
        <v>-14505000</v>
      </c>
    </row>
    <row r="1336" spans="5:11" x14ac:dyDescent="0.25">
      <c r="E1336" t="s">
        <v>2637</v>
      </c>
      <c r="F1336">
        <v>1009891</v>
      </c>
      <c r="G1336" s="1">
        <v>45382</v>
      </c>
      <c r="H1336" t="s">
        <v>2638</v>
      </c>
      <c r="I1336" t="s">
        <v>57</v>
      </c>
      <c r="J1336" s="1">
        <v>45292</v>
      </c>
      <c r="K1336">
        <v>-706000</v>
      </c>
    </row>
    <row r="1337" spans="5:11" x14ac:dyDescent="0.25">
      <c r="E1337" t="s">
        <v>10400</v>
      </c>
      <c r="F1337">
        <v>1009919</v>
      </c>
      <c r="G1337" s="1">
        <v>45382</v>
      </c>
      <c r="H1337" t="s">
        <v>2639</v>
      </c>
      <c r="I1337" t="s">
        <v>113</v>
      </c>
      <c r="J1337" s="1">
        <v>45292</v>
      </c>
      <c r="K1337">
        <v>-29617</v>
      </c>
    </row>
    <row r="1338" spans="5:11" x14ac:dyDescent="0.25">
      <c r="E1338" t="s">
        <v>2640</v>
      </c>
      <c r="F1338">
        <v>1010086</v>
      </c>
      <c r="G1338" s="1">
        <v>45382</v>
      </c>
      <c r="H1338" t="s">
        <v>2641</v>
      </c>
      <c r="I1338" t="s">
        <v>57</v>
      </c>
      <c r="J1338" s="1">
        <v>45292</v>
      </c>
      <c r="K1338">
        <v>10277340</v>
      </c>
    </row>
    <row r="1339" spans="5:11" x14ac:dyDescent="0.25">
      <c r="E1339" t="s">
        <v>2642</v>
      </c>
      <c r="F1339">
        <v>1010470</v>
      </c>
      <c r="G1339" s="1">
        <v>45382</v>
      </c>
      <c r="H1339" t="s">
        <v>2643</v>
      </c>
      <c r="I1339" t="s">
        <v>36</v>
      </c>
      <c r="J1339" s="1">
        <v>45292</v>
      </c>
      <c r="K1339">
        <v>1495000</v>
      </c>
    </row>
    <row r="1340" spans="5:11" x14ac:dyDescent="0.25">
      <c r="E1340" t="s">
        <v>2644</v>
      </c>
      <c r="F1340">
        <v>1011509</v>
      </c>
      <c r="G1340" s="1">
        <v>45382</v>
      </c>
      <c r="H1340" t="s">
        <v>2645</v>
      </c>
      <c r="I1340" t="s">
        <v>92</v>
      </c>
      <c r="J1340" s="1">
        <v>45292</v>
      </c>
      <c r="K1340">
        <v>-4565000</v>
      </c>
    </row>
    <row r="1341" spans="5:11" x14ac:dyDescent="0.25">
      <c r="E1341" t="s">
        <v>2646</v>
      </c>
      <c r="F1341">
        <v>1012019</v>
      </c>
      <c r="G1341" s="1">
        <v>45382</v>
      </c>
      <c r="H1341" t="s">
        <v>2647</v>
      </c>
      <c r="I1341" t="s">
        <v>30</v>
      </c>
      <c r="J1341" s="1">
        <v>45292</v>
      </c>
      <c r="K1341">
        <v>71608000</v>
      </c>
    </row>
    <row r="1342" spans="5:11" x14ac:dyDescent="0.25">
      <c r="E1342" t="s">
        <v>2648</v>
      </c>
      <c r="F1342">
        <v>1012100</v>
      </c>
      <c r="G1342" s="1">
        <v>45382</v>
      </c>
      <c r="H1342" t="s">
        <v>2649</v>
      </c>
      <c r="I1342" t="s">
        <v>172</v>
      </c>
      <c r="J1342" s="1">
        <v>45292</v>
      </c>
      <c r="K1342">
        <v>82000000</v>
      </c>
    </row>
    <row r="1343" spans="5:11" x14ac:dyDescent="0.25">
      <c r="E1343" t="s">
        <v>2650</v>
      </c>
      <c r="F1343">
        <v>1012477</v>
      </c>
      <c r="G1343" s="1">
        <v>45382</v>
      </c>
      <c r="H1343" t="s">
        <v>2651</v>
      </c>
      <c r="I1343" t="s">
        <v>927</v>
      </c>
      <c r="J1343" s="1">
        <v>45292</v>
      </c>
      <c r="K1343">
        <v>-27342000</v>
      </c>
    </row>
    <row r="1344" spans="5:11" x14ac:dyDescent="0.25">
      <c r="E1344" t="s">
        <v>2652</v>
      </c>
      <c r="F1344">
        <v>1013237</v>
      </c>
      <c r="G1344" s="1">
        <v>45351</v>
      </c>
      <c r="H1344" t="s">
        <v>2653</v>
      </c>
      <c r="I1344" t="s">
        <v>27</v>
      </c>
      <c r="J1344" s="1">
        <v>45261</v>
      </c>
      <c r="K1344">
        <v>140940000</v>
      </c>
    </row>
    <row r="1345" spans="5:11" x14ac:dyDescent="0.25">
      <c r="E1345" t="s">
        <v>2654</v>
      </c>
      <c r="F1345">
        <v>1013272</v>
      </c>
      <c r="G1345" s="1">
        <v>45382</v>
      </c>
      <c r="H1345" t="s">
        <v>2655</v>
      </c>
      <c r="I1345" t="s">
        <v>39</v>
      </c>
      <c r="J1345" s="1">
        <v>45292</v>
      </c>
      <c r="K1345">
        <v>4433000</v>
      </c>
    </row>
    <row r="1346" spans="5:11" x14ac:dyDescent="0.25">
      <c r="E1346" t="s">
        <v>2656</v>
      </c>
      <c r="F1346">
        <v>1013462</v>
      </c>
      <c r="G1346" s="1">
        <v>45382</v>
      </c>
      <c r="H1346" t="s">
        <v>2657</v>
      </c>
      <c r="I1346" t="s">
        <v>39</v>
      </c>
      <c r="J1346" s="1">
        <v>45292</v>
      </c>
      <c r="K1346">
        <v>34778000</v>
      </c>
    </row>
    <row r="1347" spans="5:11" x14ac:dyDescent="0.25">
      <c r="E1347" t="s">
        <v>2658</v>
      </c>
      <c r="F1347">
        <v>1013488</v>
      </c>
      <c r="G1347" s="1">
        <v>45384</v>
      </c>
      <c r="H1347" t="s">
        <v>2659</v>
      </c>
      <c r="I1347" t="s">
        <v>36</v>
      </c>
      <c r="J1347" s="1">
        <v>45294</v>
      </c>
      <c r="K1347">
        <v>7723000</v>
      </c>
    </row>
    <row r="1348" spans="5:11" x14ac:dyDescent="0.25">
      <c r="E1348" t="s">
        <v>2660</v>
      </c>
      <c r="F1348">
        <v>1013706</v>
      </c>
      <c r="G1348" s="1">
        <v>45382</v>
      </c>
      <c r="H1348" t="s">
        <v>2661</v>
      </c>
      <c r="I1348" t="s">
        <v>30</v>
      </c>
      <c r="J1348" s="1">
        <v>45292</v>
      </c>
      <c r="K1348">
        <v>91000</v>
      </c>
    </row>
    <row r="1349" spans="5:11" x14ac:dyDescent="0.25">
      <c r="E1349" t="s">
        <v>10401</v>
      </c>
      <c r="F1349">
        <v>1013857</v>
      </c>
      <c r="G1349" s="1">
        <v>45382</v>
      </c>
      <c r="H1349" t="s">
        <v>2662</v>
      </c>
      <c r="I1349" t="s">
        <v>24</v>
      </c>
      <c r="J1349" s="1">
        <v>45292</v>
      </c>
      <c r="K1349">
        <v>-12124000</v>
      </c>
    </row>
    <row r="1350" spans="5:11" x14ac:dyDescent="0.25">
      <c r="E1350" t="s">
        <v>2663</v>
      </c>
      <c r="F1350">
        <v>1013871</v>
      </c>
      <c r="G1350" s="1">
        <v>45382</v>
      </c>
      <c r="H1350" t="s">
        <v>2664</v>
      </c>
      <c r="I1350" t="s">
        <v>30</v>
      </c>
      <c r="J1350" s="1">
        <v>45292</v>
      </c>
      <c r="K1350">
        <v>511000000</v>
      </c>
    </row>
    <row r="1351" spans="5:11" x14ac:dyDescent="0.25">
      <c r="E1351" t="s">
        <v>2665</v>
      </c>
      <c r="F1351">
        <v>1013880</v>
      </c>
      <c r="G1351" s="1">
        <v>45382</v>
      </c>
      <c r="H1351" t="s">
        <v>2666</v>
      </c>
      <c r="I1351" t="s">
        <v>92</v>
      </c>
      <c r="J1351" s="1">
        <v>45292</v>
      </c>
      <c r="K1351">
        <v>-2305000</v>
      </c>
    </row>
    <row r="1352" spans="5:11" x14ac:dyDescent="0.25">
      <c r="E1352" t="s">
        <v>2667</v>
      </c>
      <c r="F1352">
        <v>1013934</v>
      </c>
      <c r="G1352" s="1">
        <v>45382</v>
      </c>
      <c r="H1352" t="s">
        <v>2668</v>
      </c>
      <c r="I1352" t="s">
        <v>123</v>
      </c>
      <c r="J1352" s="1">
        <v>45292</v>
      </c>
      <c r="K1352">
        <v>29702000</v>
      </c>
    </row>
    <row r="1353" spans="5:11" x14ac:dyDescent="0.25">
      <c r="E1353" t="s">
        <v>2669</v>
      </c>
      <c r="F1353">
        <v>1014052</v>
      </c>
      <c r="G1353" s="1">
        <v>45412</v>
      </c>
      <c r="H1353" t="s">
        <v>2670</v>
      </c>
      <c r="I1353" t="s">
        <v>30</v>
      </c>
      <c r="J1353" s="1">
        <v>45323</v>
      </c>
      <c r="K1353">
        <v>-4529000</v>
      </c>
    </row>
    <row r="1354" spans="5:11" x14ac:dyDescent="0.25">
      <c r="E1354" t="s">
        <v>2671</v>
      </c>
      <c r="F1354">
        <v>1014473</v>
      </c>
      <c r="G1354" s="1">
        <v>45382</v>
      </c>
      <c r="H1354" t="s">
        <v>2672</v>
      </c>
      <c r="I1354" t="s">
        <v>123</v>
      </c>
      <c r="J1354" s="1">
        <v>45292</v>
      </c>
      <c r="K1354">
        <v>194100000</v>
      </c>
    </row>
    <row r="1355" spans="5:11" x14ac:dyDescent="0.25">
      <c r="E1355" t="s">
        <v>10402</v>
      </c>
      <c r="F1355">
        <v>1014739</v>
      </c>
      <c r="G1355" s="1">
        <v>45382</v>
      </c>
      <c r="H1355" t="s">
        <v>2673</v>
      </c>
      <c r="I1355" t="s">
        <v>19</v>
      </c>
      <c r="J1355" s="1">
        <v>45292</v>
      </c>
      <c r="K1355">
        <v>44791000</v>
      </c>
    </row>
    <row r="1356" spans="5:11" x14ac:dyDescent="0.25">
      <c r="E1356" t="s">
        <v>2674</v>
      </c>
      <c r="F1356">
        <v>1014763</v>
      </c>
      <c r="G1356" s="1">
        <v>45382</v>
      </c>
      <c r="H1356" t="s">
        <v>2675</v>
      </c>
      <c r="I1356" t="s">
        <v>36</v>
      </c>
      <c r="J1356" s="1">
        <v>45292</v>
      </c>
      <c r="K1356">
        <v>-3314810</v>
      </c>
    </row>
    <row r="1357" spans="5:11" x14ac:dyDescent="0.25">
      <c r="E1357" t="s">
        <v>2676</v>
      </c>
      <c r="F1357">
        <v>1015155</v>
      </c>
      <c r="G1357" s="1">
        <v>45382</v>
      </c>
      <c r="H1357" t="s">
        <v>2677</v>
      </c>
      <c r="I1357" t="s">
        <v>172</v>
      </c>
      <c r="J1357" s="1">
        <v>45292</v>
      </c>
      <c r="K1357">
        <v>-3632707</v>
      </c>
    </row>
    <row r="1358" spans="5:11" x14ac:dyDescent="0.25">
      <c r="E1358" t="s">
        <v>2678</v>
      </c>
      <c r="F1358">
        <v>1015328</v>
      </c>
      <c r="G1358" s="1">
        <v>45382</v>
      </c>
      <c r="H1358" t="s">
        <v>2679</v>
      </c>
      <c r="I1358" t="s">
        <v>19</v>
      </c>
      <c r="J1358" s="1">
        <v>45292</v>
      </c>
      <c r="K1358">
        <v>187294000</v>
      </c>
    </row>
    <row r="1359" spans="5:11" x14ac:dyDescent="0.25">
      <c r="E1359" t="s">
        <v>2680</v>
      </c>
      <c r="F1359">
        <v>1015739</v>
      </c>
      <c r="G1359" s="1">
        <v>45382</v>
      </c>
      <c r="H1359" t="s">
        <v>2681</v>
      </c>
      <c r="I1359" t="s">
        <v>24</v>
      </c>
      <c r="J1359" s="1">
        <v>45292</v>
      </c>
      <c r="K1359">
        <v>-982000</v>
      </c>
    </row>
    <row r="1360" spans="5:11" x14ac:dyDescent="0.25">
      <c r="E1360" t="s">
        <v>2682</v>
      </c>
      <c r="F1360">
        <v>1016281</v>
      </c>
      <c r="G1360" s="1">
        <v>45382</v>
      </c>
      <c r="H1360" t="s">
        <v>2683</v>
      </c>
      <c r="I1360" t="s">
        <v>30</v>
      </c>
      <c r="J1360" s="1">
        <v>45292</v>
      </c>
      <c r="K1360">
        <v>6973000</v>
      </c>
    </row>
    <row r="1361" spans="5:11" x14ac:dyDescent="0.25">
      <c r="E1361" t="s">
        <v>2684</v>
      </c>
      <c r="F1361">
        <v>1016504</v>
      </c>
      <c r="G1361" s="1">
        <v>45382</v>
      </c>
      <c r="H1361" t="s">
        <v>2685</v>
      </c>
      <c r="I1361" t="s">
        <v>46</v>
      </c>
      <c r="J1361" s="1">
        <v>45292</v>
      </c>
      <c r="K1361">
        <v>285000</v>
      </c>
    </row>
    <row r="1362" spans="5:11" x14ac:dyDescent="0.25">
      <c r="E1362" t="s">
        <v>2686</v>
      </c>
      <c r="F1362">
        <v>1017303</v>
      </c>
      <c r="G1362" s="1">
        <v>45382</v>
      </c>
      <c r="H1362" t="s">
        <v>2687</v>
      </c>
      <c r="I1362" t="s">
        <v>27</v>
      </c>
      <c r="J1362" s="1">
        <v>45292</v>
      </c>
      <c r="K1362">
        <v>-1036000</v>
      </c>
    </row>
    <row r="1363" spans="5:11" x14ac:dyDescent="0.25">
      <c r="E1363" t="s">
        <v>2688</v>
      </c>
      <c r="F1363">
        <v>1017480</v>
      </c>
      <c r="G1363" s="1">
        <v>45416</v>
      </c>
      <c r="H1363" t="s">
        <v>2689</v>
      </c>
      <c r="I1363" t="s">
        <v>1123</v>
      </c>
      <c r="J1363" s="1">
        <v>45326</v>
      </c>
      <c r="K1363">
        <v>32500000</v>
      </c>
    </row>
    <row r="1364" spans="5:11" x14ac:dyDescent="0.25">
      <c r="E1364" t="s">
        <v>2690</v>
      </c>
      <c r="F1364">
        <v>1017491</v>
      </c>
      <c r="G1364" s="1">
        <v>45382</v>
      </c>
      <c r="H1364" t="s">
        <v>2691</v>
      </c>
      <c r="I1364" t="s">
        <v>57</v>
      </c>
      <c r="J1364" s="1">
        <v>45292</v>
      </c>
      <c r="K1364">
        <v>-2664000</v>
      </c>
    </row>
    <row r="1365" spans="5:11" x14ac:dyDescent="0.25">
      <c r="E1365" t="s">
        <v>2692</v>
      </c>
      <c r="F1365">
        <v>1017655</v>
      </c>
      <c r="G1365" s="1">
        <v>45382</v>
      </c>
      <c r="H1365" t="s">
        <v>2693</v>
      </c>
      <c r="I1365" t="s">
        <v>24</v>
      </c>
      <c r="J1365" s="1">
        <v>45292</v>
      </c>
      <c r="K1365">
        <v>299562</v>
      </c>
    </row>
    <row r="1366" spans="5:11" x14ac:dyDescent="0.25">
      <c r="E1366" t="s">
        <v>2694</v>
      </c>
      <c r="F1366">
        <v>1018164</v>
      </c>
      <c r="G1366" s="1">
        <v>45382</v>
      </c>
      <c r="H1366" t="s">
        <v>2695</v>
      </c>
      <c r="I1366" t="s">
        <v>33</v>
      </c>
      <c r="J1366" s="1">
        <v>45292</v>
      </c>
      <c r="K1366">
        <v>20869000</v>
      </c>
    </row>
    <row r="1367" spans="5:11" x14ac:dyDescent="0.25">
      <c r="E1367" t="s">
        <v>2696</v>
      </c>
      <c r="F1367">
        <v>1018399</v>
      </c>
      <c r="G1367" s="1">
        <v>45382</v>
      </c>
      <c r="H1367" t="s">
        <v>2697</v>
      </c>
      <c r="I1367" t="s">
        <v>24</v>
      </c>
      <c r="J1367" s="1">
        <v>45292</v>
      </c>
      <c r="K1367">
        <v>8507000</v>
      </c>
    </row>
    <row r="1368" spans="5:11" x14ac:dyDescent="0.25">
      <c r="E1368" t="s">
        <v>2698</v>
      </c>
      <c r="F1368">
        <v>1018724</v>
      </c>
      <c r="G1368" s="1">
        <v>45382</v>
      </c>
      <c r="H1368" t="s">
        <v>2699</v>
      </c>
      <c r="I1368" t="s">
        <v>504</v>
      </c>
      <c r="J1368" s="1">
        <v>45292</v>
      </c>
      <c r="K1368">
        <v>10431000000</v>
      </c>
    </row>
    <row r="1369" spans="5:11" x14ac:dyDescent="0.25">
      <c r="E1369" t="s">
        <v>2700</v>
      </c>
      <c r="F1369">
        <v>1018840</v>
      </c>
      <c r="G1369" s="1">
        <v>45416</v>
      </c>
      <c r="H1369" t="s">
        <v>2701</v>
      </c>
      <c r="I1369" t="s">
        <v>60</v>
      </c>
      <c r="J1369" s="1">
        <v>45326</v>
      </c>
      <c r="K1369">
        <v>113850000</v>
      </c>
    </row>
    <row r="1370" spans="5:11" x14ac:dyDescent="0.25">
      <c r="E1370" t="s">
        <v>2702</v>
      </c>
      <c r="F1370">
        <v>1018963</v>
      </c>
      <c r="G1370" s="1">
        <v>45382</v>
      </c>
      <c r="H1370" t="s">
        <v>2703</v>
      </c>
      <c r="I1370" t="s">
        <v>30</v>
      </c>
      <c r="J1370" s="1">
        <v>45292</v>
      </c>
      <c r="K1370">
        <v>66100000</v>
      </c>
    </row>
    <row r="1371" spans="5:11" x14ac:dyDescent="0.25">
      <c r="E1371" t="s">
        <v>2704</v>
      </c>
      <c r="F1371">
        <v>1018979</v>
      </c>
      <c r="G1371" s="1">
        <v>45382</v>
      </c>
      <c r="H1371" t="s">
        <v>2705</v>
      </c>
      <c r="I1371" t="s">
        <v>179</v>
      </c>
      <c r="J1371" s="1">
        <v>45292</v>
      </c>
      <c r="K1371">
        <v>16925000</v>
      </c>
    </row>
    <row r="1372" spans="5:11" x14ac:dyDescent="0.25">
      <c r="E1372" t="s">
        <v>2706</v>
      </c>
      <c r="F1372">
        <v>1019034</v>
      </c>
      <c r="G1372" s="1">
        <v>45382</v>
      </c>
      <c r="H1372" t="s">
        <v>2707</v>
      </c>
      <c r="I1372" t="s">
        <v>46</v>
      </c>
      <c r="J1372" s="1">
        <v>45292</v>
      </c>
      <c r="K1372">
        <v>-510285</v>
      </c>
    </row>
    <row r="1373" spans="5:11" x14ac:dyDescent="0.25">
      <c r="E1373" t="s">
        <v>2708</v>
      </c>
      <c r="F1373">
        <v>1019849</v>
      </c>
      <c r="G1373" s="1">
        <v>45382</v>
      </c>
      <c r="H1373" t="s">
        <v>2709</v>
      </c>
      <c r="I1373" t="s">
        <v>329</v>
      </c>
      <c r="J1373" s="1">
        <v>45292</v>
      </c>
      <c r="K1373">
        <v>215200000</v>
      </c>
    </row>
    <row r="1374" spans="5:11" x14ac:dyDescent="0.25">
      <c r="E1374" t="s">
        <v>2710</v>
      </c>
      <c r="F1374">
        <v>1020214</v>
      </c>
      <c r="G1374" s="1">
        <v>45382</v>
      </c>
      <c r="H1374" t="s">
        <v>2711</v>
      </c>
      <c r="I1374" t="s">
        <v>36</v>
      </c>
      <c r="J1374" s="1">
        <v>45292</v>
      </c>
      <c r="K1374">
        <v>-9688000</v>
      </c>
    </row>
    <row r="1375" spans="5:11" x14ac:dyDescent="0.25">
      <c r="E1375" t="s">
        <v>2712</v>
      </c>
      <c r="F1375">
        <v>1020710</v>
      </c>
      <c r="G1375" s="1">
        <v>45382</v>
      </c>
      <c r="H1375" t="s">
        <v>2713</v>
      </c>
      <c r="I1375" t="s">
        <v>30</v>
      </c>
      <c r="J1375" s="1">
        <v>45292</v>
      </c>
      <c r="K1375">
        <v>11332000</v>
      </c>
    </row>
    <row r="1376" spans="5:11" x14ac:dyDescent="0.25">
      <c r="E1376" t="s">
        <v>2714</v>
      </c>
      <c r="F1376">
        <v>1020859</v>
      </c>
      <c r="G1376" s="1">
        <v>45409</v>
      </c>
      <c r="H1376" t="s">
        <v>2715</v>
      </c>
      <c r="I1376" t="s">
        <v>101</v>
      </c>
      <c r="J1376" s="1">
        <v>45319</v>
      </c>
      <c r="K1376">
        <v>-21000000</v>
      </c>
    </row>
    <row r="1377" spans="5:11" x14ac:dyDescent="0.25">
      <c r="E1377" t="s">
        <v>2716</v>
      </c>
      <c r="F1377">
        <v>1021162</v>
      </c>
      <c r="G1377" s="1">
        <v>45382</v>
      </c>
      <c r="H1377" t="s">
        <v>2717</v>
      </c>
      <c r="I1377" t="s">
        <v>39</v>
      </c>
      <c r="J1377" s="1">
        <v>45292</v>
      </c>
      <c r="K1377">
        <v>547745000</v>
      </c>
    </row>
    <row r="1378" spans="5:11" x14ac:dyDescent="0.25">
      <c r="E1378" t="s">
        <v>2718</v>
      </c>
      <c r="F1378">
        <v>1021561</v>
      </c>
      <c r="G1378" s="1">
        <v>45382</v>
      </c>
      <c r="H1378" t="s">
        <v>2719</v>
      </c>
      <c r="I1378" t="s">
        <v>406</v>
      </c>
      <c r="J1378" s="1">
        <v>45292</v>
      </c>
      <c r="K1378">
        <v>-533000</v>
      </c>
    </row>
    <row r="1379" spans="5:11" x14ac:dyDescent="0.25">
      <c r="E1379" t="s">
        <v>2720</v>
      </c>
      <c r="F1379">
        <v>1021635</v>
      </c>
      <c r="G1379" s="1">
        <v>45382</v>
      </c>
      <c r="H1379" t="s">
        <v>2721</v>
      </c>
      <c r="I1379" t="s">
        <v>277</v>
      </c>
      <c r="J1379" s="1">
        <v>45292</v>
      </c>
      <c r="K1379">
        <v>18600000</v>
      </c>
    </row>
    <row r="1380" spans="5:11" x14ac:dyDescent="0.25">
      <c r="E1380" t="s">
        <v>2722</v>
      </c>
      <c r="F1380">
        <v>1021860</v>
      </c>
      <c r="G1380" s="1">
        <v>45382</v>
      </c>
      <c r="H1380" t="s">
        <v>2723</v>
      </c>
      <c r="I1380" t="s">
        <v>30</v>
      </c>
      <c r="J1380" s="1">
        <v>45292</v>
      </c>
      <c r="K1380">
        <v>119000000</v>
      </c>
    </row>
    <row r="1381" spans="5:11" x14ac:dyDescent="0.25">
      <c r="E1381" t="s">
        <v>2724</v>
      </c>
      <c r="F1381">
        <v>1021917</v>
      </c>
      <c r="G1381" s="1">
        <v>45382</v>
      </c>
      <c r="H1381" t="s">
        <v>2725</v>
      </c>
      <c r="I1381" t="s">
        <v>33</v>
      </c>
      <c r="J1381" s="1">
        <v>45292</v>
      </c>
      <c r="K1381">
        <v>-2228890</v>
      </c>
    </row>
    <row r="1382" spans="5:11" x14ac:dyDescent="0.25">
      <c r="E1382" t="s">
        <v>2726</v>
      </c>
      <c r="F1382">
        <v>1022079</v>
      </c>
      <c r="G1382" s="1">
        <v>45382</v>
      </c>
      <c r="H1382" t="s">
        <v>2727</v>
      </c>
      <c r="I1382" t="s">
        <v>46</v>
      </c>
      <c r="J1382" s="1">
        <v>45292</v>
      </c>
      <c r="K1382">
        <v>194000000</v>
      </c>
    </row>
    <row r="1383" spans="5:11" x14ac:dyDescent="0.25">
      <c r="E1383" t="s">
        <v>2728</v>
      </c>
      <c r="F1383">
        <v>1022321</v>
      </c>
      <c r="G1383" s="1">
        <v>45382</v>
      </c>
      <c r="H1383" t="s">
        <v>2729</v>
      </c>
      <c r="I1383" t="s">
        <v>30</v>
      </c>
      <c r="J1383" s="1">
        <v>45292</v>
      </c>
      <c r="K1383">
        <v>11353000</v>
      </c>
    </row>
    <row r="1384" spans="5:11" x14ac:dyDescent="0.25">
      <c r="E1384" t="s">
        <v>2730</v>
      </c>
      <c r="F1384">
        <v>1022505</v>
      </c>
      <c r="G1384" s="1">
        <v>45382</v>
      </c>
      <c r="H1384" t="s">
        <v>2731</v>
      </c>
      <c r="I1384" t="s">
        <v>24</v>
      </c>
      <c r="J1384" s="1">
        <v>45292</v>
      </c>
      <c r="K1384">
        <v>-253000</v>
      </c>
    </row>
    <row r="1385" spans="5:11" x14ac:dyDescent="0.25">
      <c r="E1385" t="s">
        <v>2732</v>
      </c>
      <c r="F1385">
        <v>1022652</v>
      </c>
      <c r="G1385" s="1">
        <v>45382</v>
      </c>
      <c r="H1385" t="s">
        <v>2733</v>
      </c>
      <c r="I1385" t="s">
        <v>36</v>
      </c>
      <c r="J1385" s="1">
        <v>45292</v>
      </c>
      <c r="K1385">
        <v>-4455000</v>
      </c>
    </row>
    <row r="1386" spans="5:11" x14ac:dyDescent="0.25">
      <c r="E1386" t="s">
        <v>2734</v>
      </c>
      <c r="F1386">
        <v>1022671</v>
      </c>
      <c r="G1386" s="1">
        <v>45382</v>
      </c>
      <c r="H1386" t="s">
        <v>2735</v>
      </c>
      <c r="I1386" t="s">
        <v>288</v>
      </c>
      <c r="J1386" s="1">
        <v>45292</v>
      </c>
      <c r="K1386">
        <v>584041000</v>
      </c>
    </row>
    <row r="1387" spans="5:11" x14ac:dyDescent="0.25">
      <c r="E1387" t="s">
        <v>2736</v>
      </c>
      <c r="F1387">
        <v>1022899</v>
      </c>
      <c r="G1387" s="1">
        <v>45382</v>
      </c>
      <c r="H1387" t="s">
        <v>2737</v>
      </c>
      <c r="I1387" t="s">
        <v>57</v>
      </c>
      <c r="J1387" s="1">
        <v>45292</v>
      </c>
      <c r="K1387">
        <v>-1724294</v>
      </c>
    </row>
    <row r="1388" spans="5:11" x14ac:dyDescent="0.25">
      <c r="E1388" t="s">
        <v>2738</v>
      </c>
      <c r="F1388">
        <v>1023024</v>
      </c>
      <c r="G1388" s="1">
        <v>45382</v>
      </c>
      <c r="H1388" t="s">
        <v>2739</v>
      </c>
      <c r="I1388" t="s">
        <v>213</v>
      </c>
      <c r="J1388" s="1">
        <v>45292</v>
      </c>
      <c r="K1388">
        <v>18207000</v>
      </c>
    </row>
    <row r="1389" spans="5:11" x14ac:dyDescent="0.25">
      <c r="E1389" t="s">
        <v>2740</v>
      </c>
      <c r="F1389">
        <v>1023128</v>
      </c>
      <c r="G1389" s="1">
        <v>45382</v>
      </c>
      <c r="H1389" t="s">
        <v>2741</v>
      </c>
      <c r="I1389" t="s">
        <v>963</v>
      </c>
      <c r="J1389" s="1">
        <v>45292</v>
      </c>
      <c r="K1389">
        <v>162600000</v>
      </c>
    </row>
    <row r="1390" spans="5:11" x14ac:dyDescent="0.25">
      <c r="E1390" t="s">
        <v>2742</v>
      </c>
      <c r="F1390">
        <v>1023313</v>
      </c>
      <c r="G1390" s="1">
        <v>45382</v>
      </c>
      <c r="H1390" t="s">
        <v>2743</v>
      </c>
      <c r="I1390" t="s">
        <v>24</v>
      </c>
      <c r="J1390" s="1">
        <v>45292</v>
      </c>
      <c r="K1390">
        <v>-6673000</v>
      </c>
    </row>
    <row r="1391" spans="5:11" x14ac:dyDescent="0.25">
      <c r="E1391" t="s">
        <v>2744</v>
      </c>
      <c r="F1391">
        <v>1023459</v>
      </c>
      <c r="G1391" s="1">
        <v>45351</v>
      </c>
      <c r="H1391" t="s">
        <v>2745</v>
      </c>
      <c r="I1391" t="s">
        <v>36</v>
      </c>
      <c r="J1391" s="1">
        <v>45261</v>
      </c>
      <c r="K1391">
        <v>4029000</v>
      </c>
    </row>
    <row r="1392" spans="5:11" x14ac:dyDescent="0.25">
      <c r="E1392" t="s">
        <v>2746</v>
      </c>
      <c r="F1392">
        <v>1024305</v>
      </c>
      <c r="G1392" s="1">
        <v>45382</v>
      </c>
      <c r="H1392" t="s">
        <v>2747</v>
      </c>
      <c r="I1392" t="s">
        <v>57</v>
      </c>
      <c r="J1392" s="1">
        <v>45292</v>
      </c>
      <c r="K1392">
        <v>3800000</v>
      </c>
    </row>
    <row r="1393" spans="5:11" x14ac:dyDescent="0.25">
      <c r="E1393" t="s">
        <v>2748</v>
      </c>
      <c r="F1393">
        <v>1024478</v>
      </c>
      <c r="G1393" s="1">
        <v>45382</v>
      </c>
      <c r="H1393" t="s">
        <v>2749</v>
      </c>
      <c r="I1393" t="s">
        <v>83</v>
      </c>
      <c r="J1393" s="1">
        <v>45292</v>
      </c>
      <c r="K1393">
        <v>266200000</v>
      </c>
    </row>
    <row r="1394" spans="5:11" x14ac:dyDescent="0.25">
      <c r="E1394" t="s">
        <v>2750</v>
      </c>
      <c r="F1394">
        <v>1024795</v>
      </c>
      <c r="G1394" s="1">
        <v>45381</v>
      </c>
      <c r="H1394" t="s">
        <v>2751</v>
      </c>
      <c r="I1394" t="s">
        <v>33</v>
      </c>
      <c r="J1394" s="1">
        <v>45291</v>
      </c>
      <c r="K1394">
        <v>9200000</v>
      </c>
    </row>
    <row r="1395" spans="5:11" x14ac:dyDescent="0.25">
      <c r="E1395" t="s">
        <v>2752</v>
      </c>
      <c r="F1395">
        <v>1025378</v>
      </c>
      <c r="G1395" s="1">
        <v>45382</v>
      </c>
      <c r="H1395" t="s">
        <v>2753</v>
      </c>
      <c r="I1395" t="s">
        <v>57</v>
      </c>
      <c r="J1395" s="1">
        <v>45292</v>
      </c>
      <c r="K1395">
        <v>159223000</v>
      </c>
    </row>
    <row r="1396" spans="5:11" x14ac:dyDescent="0.25">
      <c r="E1396" t="s">
        <v>2754</v>
      </c>
      <c r="F1396">
        <v>1025771</v>
      </c>
      <c r="G1396" s="1">
        <v>45382</v>
      </c>
      <c r="H1396" t="s">
        <v>2755</v>
      </c>
      <c r="I1396" t="s">
        <v>46</v>
      </c>
      <c r="J1396" s="1">
        <v>45292</v>
      </c>
      <c r="K1396">
        <v>-35271</v>
      </c>
    </row>
    <row r="1397" spans="5:11" x14ac:dyDescent="0.25">
      <c r="E1397" t="s">
        <v>2756</v>
      </c>
      <c r="F1397">
        <v>1025835</v>
      </c>
      <c r="G1397" s="1">
        <v>45382</v>
      </c>
      <c r="H1397" t="s">
        <v>2757</v>
      </c>
      <c r="I1397" t="s">
        <v>137</v>
      </c>
      <c r="J1397" s="1">
        <v>45292</v>
      </c>
      <c r="K1397">
        <v>40401000</v>
      </c>
    </row>
    <row r="1398" spans="5:11" x14ac:dyDescent="0.25">
      <c r="E1398" t="s">
        <v>2758</v>
      </c>
      <c r="F1398">
        <v>1026214</v>
      </c>
      <c r="G1398" s="1">
        <v>45382</v>
      </c>
      <c r="H1398" t="s">
        <v>2759</v>
      </c>
      <c r="I1398" t="s">
        <v>123</v>
      </c>
      <c r="J1398" s="1">
        <v>45292</v>
      </c>
      <c r="K1398">
        <v>2766000000</v>
      </c>
    </row>
    <row r="1399" spans="5:11" x14ac:dyDescent="0.25">
      <c r="E1399" t="s">
        <v>2760</v>
      </c>
      <c r="F1399">
        <v>1026655</v>
      </c>
      <c r="G1399" s="1">
        <v>45382</v>
      </c>
      <c r="H1399" t="s">
        <v>2761</v>
      </c>
      <c r="I1399" t="s">
        <v>60</v>
      </c>
      <c r="J1399" s="1">
        <v>45292</v>
      </c>
      <c r="K1399">
        <v>3759000</v>
      </c>
    </row>
    <row r="1400" spans="5:11" x14ac:dyDescent="0.25">
      <c r="E1400" t="s">
        <v>2762</v>
      </c>
      <c r="F1400">
        <v>1027838</v>
      </c>
      <c r="G1400" s="1">
        <v>45382</v>
      </c>
      <c r="H1400" t="s">
        <v>2763</v>
      </c>
      <c r="I1400" t="s">
        <v>213</v>
      </c>
      <c r="J1400" s="1">
        <v>45292</v>
      </c>
      <c r="K1400">
        <v>-2209000</v>
      </c>
    </row>
    <row r="1401" spans="5:11" x14ac:dyDescent="0.25">
      <c r="E1401" t="s">
        <v>2764</v>
      </c>
      <c r="F1401">
        <v>1028918</v>
      </c>
      <c r="G1401" s="1">
        <v>45382</v>
      </c>
      <c r="H1401" t="s">
        <v>2765</v>
      </c>
      <c r="I1401" t="s">
        <v>36</v>
      </c>
      <c r="J1401" s="1">
        <v>45292</v>
      </c>
      <c r="K1401">
        <v>47025000</v>
      </c>
    </row>
    <row r="1402" spans="5:11" x14ac:dyDescent="0.25">
      <c r="E1402" t="s">
        <v>2766</v>
      </c>
      <c r="F1402">
        <v>1029125</v>
      </c>
      <c r="G1402" s="1">
        <v>45382</v>
      </c>
      <c r="H1402" t="s">
        <v>2767</v>
      </c>
      <c r="I1402" t="s">
        <v>213</v>
      </c>
      <c r="J1402" s="1">
        <v>45292</v>
      </c>
      <c r="K1402">
        <v>-7121000</v>
      </c>
    </row>
    <row r="1403" spans="5:11" x14ac:dyDescent="0.25">
      <c r="E1403" t="s">
        <v>2768</v>
      </c>
      <c r="F1403">
        <v>1029142</v>
      </c>
      <c r="G1403" s="1">
        <v>45382</v>
      </c>
      <c r="H1403" t="s">
        <v>2769</v>
      </c>
      <c r="I1403" t="s">
        <v>36</v>
      </c>
      <c r="J1403" s="1">
        <v>45292</v>
      </c>
      <c r="K1403">
        <v>-8721000</v>
      </c>
    </row>
    <row r="1404" spans="5:11" x14ac:dyDescent="0.25">
      <c r="E1404" t="s">
        <v>2770</v>
      </c>
      <c r="F1404">
        <v>1029199</v>
      </c>
      <c r="G1404" s="1">
        <v>45382</v>
      </c>
      <c r="H1404" t="s">
        <v>2771</v>
      </c>
      <c r="I1404" t="s">
        <v>106</v>
      </c>
      <c r="J1404" s="1">
        <v>45292</v>
      </c>
      <c r="K1404">
        <v>26200000</v>
      </c>
    </row>
    <row r="1405" spans="5:11" x14ac:dyDescent="0.25">
      <c r="E1405" t="s">
        <v>2772</v>
      </c>
      <c r="F1405">
        <v>1030192</v>
      </c>
      <c r="G1405" s="1">
        <v>45382</v>
      </c>
      <c r="H1405" t="s">
        <v>2773</v>
      </c>
      <c r="I1405" t="s">
        <v>1071</v>
      </c>
      <c r="J1405" s="1">
        <v>45292</v>
      </c>
      <c r="K1405">
        <v>2155814</v>
      </c>
    </row>
    <row r="1406" spans="5:11" x14ac:dyDescent="0.25">
      <c r="E1406" t="s">
        <v>2774</v>
      </c>
      <c r="F1406">
        <v>1030469</v>
      </c>
      <c r="G1406" s="1">
        <v>45382</v>
      </c>
      <c r="H1406" t="s">
        <v>2775</v>
      </c>
      <c r="I1406" t="s">
        <v>1347</v>
      </c>
      <c r="J1406" s="1">
        <v>45292</v>
      </c>
      <c r="K1406">
        <v>49692000</v>
      </c>
    </row>
    <row r="1407" spans="5:11" x14ac:dyDescent="0.25">
      <c r="E1407" t="s">
        <v>2776</v>
      </c>
      <c r="F1407">
        <v>1031093</v>
      </c>
      <c r="G1407" s="1">
        <v>45412</v>
      </c>
      <c r="H1407" t="s">
        <v>2777</v>
      </c>
      <c r="I1407" t="s">
        <v>1716</v>
      </c>
      <c r="J1407" s="1">
        <v>45323</v>
      </c>
      <c r="K1407">
        <v>-19197</v>
      </c>
    </row>
    <row r="1408" spans="5:11" x14ac:dyDescent="0.25">
      <c r="E1408" t="s">
        <v>2778</v>
      </c>
      <c r="F1408">
        <v>1031203</v>
      </c>
      <c r="G1408" s="1">
        <v>45382</v>
      </c>
      <c r="H1408" t="s">
        <v>2779</v>
      </c>
      <c r="I1408" t="s">
        <v>30</v>
      </c>
      <c r="J1408" s="1">
        <v>45292</v>
      </c>
      <c r="K1408">
        <v>147900000</v>
      </c>
    </row>
    <row r="1409" spans="5:11" x14ac:dyDescent="0.25">
      <c r="E1409" t="s">
        <v>2780</v>
      </c>
      <c r="F1409">
        <v>1031235</v>
      </c>
      <c r="G1409" s="1">
        <v>45382</v>
      </c>
      <c r="H1409" t="s">
        <v>2781</v>
      </c>
      <c r="I1409" t="s">
        <v>57</v>
      </c>
      <c r="J1409" s="1">
        <v>45292</v>
      </c>
      <c r="K1409">
        <v>266150</v>
      </c>
    </row>
    <row r="1410" spans="5:11" x14ac:dyDescent="0.25">
      <c r="E1410" t="s">
        <v>2782</v>
      </c>
      <c r="F1410">
        <v>1031296</v>
      </c>
      <c r="G1410" s="1">
        <v>45382</v>
      </c>
      <c r="H1410" t="s">
        <v>2783</v>
      </c>
      <c r="I1410" t="s">
        <v>60</v>
      </c>
      <c r="J1410" s="1">
        <v>45292</v>
      </c>
      <c r="K1410">
        <v>253000000</v>
      </c>
    </row>
    <row r="1411" spans="5:11" x14ac:dyDescent="0.25">
      <c r="E1411" t="s">
        <v>2784</v>
      </c>
      <c r="F1411">
        <v>1031308</v>
      </c>
      <c r="G1411" s="1">
        <v>45382</v>
      </c>
      <c r="H1411" t="s">
        <v>2785</v>
      </c>
      <c r="I1411" t="s">
        <v>39</v>
      </c>
      <c r="J1411" s="1">
        <v>45292</v>
      </c>
      <c r="K1411">
        <v>70310000</v>
      </c>
    </row>
    <row r="1412" spans="5:11" x14ac:dyDescent="0.25">
      <c r="E1412" t="s">
        <v>2786</v>
      </c>
      <c r="F1412">
        <v>1031623</v>
      </c>
      <c r="G1412" s="1">
        <v>45382</v>
      </c>
      <c r="H1412" t="s">
        <v>2787</v>
      </c>
      <c r="I1412" t="s">
        <v>30</v>
      </c>
      <c r="J1412" s="1">
        <v>45292</v>
      </c>
      <c r="K1412">
        <v>6240000</v>
      </c>
    </row>
    <row r="1413" spans="5:11" x14ac:dyDescent="0.25">
      <c r="E1413" t="s">
        <v>2788</v>
      </c>
      <c r="F1413">
        <v>1032033</v>
      </c>
      <c r="G1413" s="1">
        <v>45382</v>
      </c>
      <c r="H1413" t="s">
        <v>2789</v>
      </c>
      <c r="I1413" t="s">
        <v>186</v>
      </c>
      <c r="J1413" s="1">
        <v>45292</v>
      </c>
      <c r="K1413">
        <v>289931000</v>
      </c>
    </row>
    <row r="1414" spans="5:11" x14ac:dyDescent="0.25">
      <c r="E1414" t="s">
        <v>2790</v>
      </c>
      <c r="F1414">
        <v>1032208</v>
      </c>
      <c r="G1414" s="1">
        <v>45382</v>
      </c>
      <c r="H1414" t="s">
        <v>2791</v>
      </c>
      <c r="I1414" t="s">
        <v>36</v>
      </c>
      <c r="J1414" s="1">
        <v>45292</v>
      </c>
      <c r="K1414">
        <v>812000000</v>
      </c>
    </row>
    <row r="1415" spans="5:11" x14ac:dyDescent="0.25">
      <c r="E1415" t="s">
        <v>2792</v>
      </c>
      <c r="F1415">
        <v>1032220</v>
      </c>
      <c r="G1415" s="1">
        <v>45382</v>
      </c>
      <c r="H1415" t="s">
        <v>2793</v>
      </c>
      <c r="I1415" t="s">
        <v>123</v>
      </c>
      <c r="J1415" s="1">
        <v>45292</v>
      </c>
      <c r="K1415">
        <v>80510000</v>
      </c>
    </row>
    <row r="1416" spans="5:11" x14ac:dyDescent="0.25">
      <c r="E1416" t="s">
        <v>2794</v>
      </c>
      <c r="F1416">
        <v>1034054</v>
      </c>
      <c r="G1416" s="1">
        <v>45382</v>
      </c>
      <c r="H1416" t="s">
        <v>2795</v>
      </c>
      <c r="I1416" t="s">
        <v>33</v>
      </c>
      <c r="J1416" s="1">
        <v>45292</v>
      </c>
      <c r="K1416">
        <v>154543000</v>
      </c>
    </row>
    <row r="1417" spans="5:11" x14ac:dyDescent="0.25">
      <c r="E1417" t="s">
        <v>2796</v>
      </c>
      <c r="F1417">
        <v>1034670</v>
      </c>
      <c r="G1417" s="1">
        <v>45382</v>
      </c>
      <c r="H1417" t="s">
        <v>2797</v>
      </c>
      <c r="I1417" t="s">
        <v>655</v>
      </c>
      <c r="J1417" s="1">
        <v>45292</v>
      </c>
      <c r="K1417">
        <v>126000000</v>
      </c>
    </row>
    <row r="1418" spans="5:11" x14ac:dyDescent="0.25">
      <c r="E1418" t="s">
        <v>2798</v>
      </c>
      <c r="F1418">
        <v>1034760</v>
      </c>
      <c r="G1418" s="1">
        <v>45382</v>
      </c>
      <c r="H1418" t="s">
        <v>2799</v>
      </c>
      <c r="I1418" t="s">
        <v>123</v>
      </c>
      <c r="J1418" s="1">
        <v>45292</v>
      </c>
      <c r="K1418">
        <v>-653110</v>
      </c>
    </row>
    <row r="1419" spans="5:11" x14ac:dyDescent="0.25">
      <c r="E1419" t="s">
        <v>2800</v>
      </c>
      <c r="F1419">
        <v>1034842</v>
      </c>
      <c r="G1419" s="1">
        <v>45382</v>
      </c>
      <c r="H1419" t="s">
        <v>2801</v>
      </c>
      <c r="I1419" t="s">
        <v>36</v>
      </c>
      <c r="J1419" s="1">
        <v>45292</v>
      </c>
      <c r="K1419">
        <v>-8247000</v>
      </c>
    </row>
    <row r="1420" spans="5:11" x14ac:dyDescent="0.25">
      <c r="E1420" t="s">
        <v>2802</v>
      </c>
      <c r="F1420">
        <v>1035002</v>
      </c>
      <c r="G1420" s="1">
        <v>45382</v>
      </c>
      <c r="H1420" t="s">
        <v>2803</v>
      </c>
      <c r="I1420" t="s">
        <v>30</v>
      </c>
      <c r="J1420" s="1">
        <v>45292</v>
      </c>
      <c r="K1420">
        <v>1245000000</v>
      </c>
    </row>
    <row r="1421" spans="5:11" x14ac:dyDescent="0.25">
      <c r="E1421" t="s">
        <v>2804</v>
      </c>
      <c r="F1421">
        <v>1035092</v>
      </c>
      <c r="G1421" s="1">
        <v>45382</v>
      </c>
      <c r="H1421" t="s">
        <v>2805</v>
      </c>
      <c r="I1421" t="s">
        <v>299</v>
      </c>
      <c r="J1421" s="1">
        <v>45292</v>
      </c>
      <c r="K1421">
        <v>8184000</v>
      </c>
    </row>
    <row r="1422" spans="5:11" x14ac:dyDescent="0.25">
      <c r="E1422" t="s">
        <v>2806</v>
      </c>
      <c r="F1422">
        <v>1035201</v>
      </c>
      <c r="G1422" s="1">
        <v>45382</v>
      </c>
      <c r="H1422" t="s">
        <v>2807</v>
      </c>
      <c r="I1422" t="s">
        <v>36</v>
      </c>
      <c r="J1422" s="1">
        <v>45292</v>
      </c>
      <c r="K1422">
        <v>69917000</v>
      </c>
    </row>
    <row r="1423" spans="5:11" x14ac:dyDescent="0.25">
      <c r="E1423" t="s">
        <v>2808</v>
      </c>
      <c r="F1423">
        <v>1035267</v>
      </c>
      <c r="G1423" s="1">
        <v>45382</v>
      </c>
      <c r="H1423" t="s">
        <v>2809</v>
      </c>
      <c r="I1423" t="s">
        <v>36</v>
      </c>
      <c r="J1423" s="1">
        <v>45292</v>
      </c>
      <c r="K1423">
        <v>544900000</v>
      </c>
    </row>
    <row r="1424" spans="5:11" x14ac:dyDescent="0.25">
      <c r="E1424" t="s">
        <v>2810</v>
      </c>
      <c r="F1424">
        <v>1035443</v>
      </c>
      <c r="G1424" s="1">
        <v>45382</v>
      </c>
      <c r="H1424" t="s">
        <v>2811</v>
      </c>
      <c r="I1424" t="s">
        <v>36</v>
      </c>
      <c r="J1424" s="1">
        <v>45292</v>
      </c>
      <c r="K1424">
        <v>170545000</v>
      </c>
    </row>
    <row r="1425" spans="5:11" x14ac:dyDescent="0.25">
      <c r="E1425" t="s">
        <v>2812</v>
      </c>
      <c r="F1425">
        <v>1035976</v>
      </c>
      <c r="G1425" s="1">
        <v>45382</v>
      </c>
      <c r="H1425" t="s">
        <v>2813</v>
      </c>
      <c r="I1425" t="s">
        <v>39</v>
      </c>
      <c r="J1425" s="1">
        <v>45292</v>
      </c>
      <c r="K1425">
        <v>3532000</v>
      </c>
    </row>
    <row r="1426" spans="5:11" x14ac:dyDescent="0.25">
      <c r="E1426" t="s">
        <v>2814</v>
      </c>
      <c r="F1426">
        <v>1035983</v>
      </c>
      <c r="G1426" s="1">
        <v>45382</v>
      </c>
      <c r="H1426" t="s">
        <v>2815</v>
      </c>
      <c r="I1426" t="s">
        <v>30</v>
      </c>
      <c r="J1426" s="1">
        <v>45292</v>
      </c>
      <c r="K1426">
        <v>96319000</v>
      </c>
    </row>
    <row r="1427" spans="5:11" x14ac:dyDescent="0.25">
      <c r="E1427" t="s">
        <v>2816</v>
      </c>
      <c r="F1427">
        <v>1036044</v>
      </c>
      <c r="G1427" s="1">
        <v>45382</v>
      </c>
      <c r="H1427" t="s">
        <v>2817</v>
      </c>
      <c r="I1427" t="s">
        <v>36</v>
      </c>
      <c r="J1427" s="1">
        <v>45292</v>
      </c>
      <c r="K1427">
        <v>-4558000</v>
      </c>
    </row>
    <row r="1428" spans="5:11" x14ac:dyDescent="0.25">
      <c r="E1428" t="s">
        <v>2818</v>
      </c>
      <c r="F1428">
        <v>1036262</v>
      </c>
      <c r="G1428" s="1">
        <v>45382</v>
      </c>
      <c r="H1428" t="s">
        <v>2819</v>
      </c>
      <c r="I1428" t="s">
        <v>46</v>
      </c>
      <c r="J1428" s="1">
        <v>45292</v>
      </c>
      <c r="K1428">
        <v>662000</v>
      </c>
    </row>
    <row r="1429" spans="5:11" x14ac:dyDescent="0.25">
      <c r="E1429" t="s">
        <v>2820</v>
      </c>
      <c r="F1429">
        <v>1036848</v>
      </c>
      <c r="G1429" s="1">
        <v>45382</v>
      </c>
      <c r="H1429" t="s">
        <v>2821</v>
      </c>
      <c r="I1429" t="s">
        <v>36</v>
      </c>
      <c r="J1429" s="1">
        <v>45292</v>
      </c>
      <c r="K1429">
        <v>-866800</v>
      </c>
    </row>
    <row r="1430" spans="5:11" x14ac:dyDescent="0.25">
      <c r="E1430" t="s">
        <v>2822</v>
      </c>
      <c r="F1430">
        <v>1037540</v>
      </c>
      <c r="G1430" s="1">
        <v>45382</v>
      </c>
      <c r="H1430" t="s">
        <v>2823</v>
      </c>
      <c r="I1430" t="s">
        <v>24</v>
      </c>
      <c r="J1430" s="1">
        <v>45292</v>
      </c>
      <c r="K1430">
        <v>79883000</v>
      </c>
    </row>
    <row r="1431" spans="5:11" x14ac:dyDescent="0.25">
      <c r="E1431" t="s">
        <v>2824</v>
      </c>
      <c r="F1431">
        <v>1037646</v>
      </c>
      <c r="G1431" s="1">
        <v>45382</v>
      </c>
      <c r="H1431" t="s">
        <v>2825</v>
      </c>
      <c r="I1431" t="s">
        <v>60</v>
      </c>
      <c r="J1431" s="1">
        <v>45292</v>
      </c>
      <c r="K1431">
        <v>177509000</v>
      </c>
    </row>
    <row r="1432" spans="5:11" x14ac:dyDescent="0.25">
      <c r="E1432" t="s">
        <v>2826</v>
      </c>
      <c r="F1432">
        <v>1037676</v>
      </c>
      <c r="G1432" s="1">
        <v>45382</v>
      </c>
      <c r="H1432" t="s">
        <v>2827</v>
      </c>
      <c r="I1432" t="s">
        <v>137</v>
      </c>
      <c r="J1432" s="1">
        <v>45292</v>
      </c>
      <c r="K1432">
        <v>55953000</v>
      </c>
    </row>
    <row r="1433" spans="5:11" x14ac:dyDescent="0.25">
      <c r="E1433" t="s">
        <v>2828</v>
      </c>
      <c r="F1433">
        <v>1037868</v>
      </c>
      <c r="G1433" s="1">
        <v>45382</v>
      </c>
      <c r="H1433" t="s">
        <v>2829</v>
      </c>
      <c r="I1433" t="s">
        <v>39</v>
      </c>
      <c r="J1433" s="1">
        <v>45292</v>
      </c>
      <c r="K1433">
        <v>310943000</v>
      </c>
    </row>
    <row r="1434" spans="5:11" x14ac:dyDescent="0.25">
      <c r="E1434" t="s">
        <v>2830</v>
      </c>
      <c r="F1434">
        <v>1037976</v>
      </c>
      <c r="G1434" s="1">
        <v>45382</v>
      </c>
      <c r="H1434" t="s">
        <v>2831</v>
      </c>
      <c r="I1434" t="s">
        <v>19</v>
      </c>
      <c r="J1434" s="1">
        <v>45292</v>
      </c>
      <c r="K1434">
        <v>66100000</v>
      </c>
    </row>
    <row r="1435" spans="5:11" x14ac:dyDescent="0.25">
      <c r="E1435" t="s">
        <v>2832</v>
      </c>
      <c r="F1435">
        <v>1038277</v>
      </c>
      <c r="G1435" s="1">
        <v>45382</v>
      </c>
      <c r="H1435" t="s">
        <v>2833</v>
      </c>
      <c r="I1435" t="s">
        <v>1071</v>
      </c>
      <c r="J1435" s="1">
        <v>45292</v>
      </c>
      <c r="K1435">
        <v>-154051</v>
      </c>
    </row>
    <row r="1436" spans="5:11" x14ac:dyDescent="0.25">
      <c r="E1436" t="s">
        <v>2834</v>
      </c>
      <c r="F1436">
        <v>1038357</v>
      </c>
      <c r="G1436" s="1">
        <v>45382</v>
      </c>
      <c r="H1436" t="s">
        <v>2835</v>
      </c>
      <c r="I1436" t="s">
        <v>30</v>
      </c>
      <c r="J1436" s="1">
        <v>45292</v>
      </c>
      <c r="K1436">
        <v>1095000000</v>
      </c>
    </row>
    <row r="1437" spans="5:11" x14ac:dyDescent="0.25">
      <c r="E1437" t="s">
        <v>2836</v>
      </c>
      <c r="F1437">
        <v>1038773</v>
      </c>
      <c r="G1437" s="1">
        <v>45382</v>
      </c>
      <c r="H1437" t="s">
        <v>2837</v>
      </c>
      <c r="I1437" t="s">
        <v>69</v>
      </c>
      <c r="J1437" s="1">
        <v>45292</v>
      </c>
      <c r="K1437">
        <v>9358000</v>
      </c>
    </row>
    <row r="1438" spans="5:11" x14ac:dyDescent="0.25">
      <c r="E1438" t="s">
        <v>2838</v>
      </c>
      <c r="F1438">
        <v>1039280</v>
      </c>
      <c r="G1438" s="1">
        <v>45382</v>
      </c>
      <c r="H1438" t="s">
        <v>2839</v>
      </c>
      <c r="I1438" t="s">
        <v>36</v>
      </c>
      <c r="J1438" s="1">
        <v>45292</v>
      </c>
      <c r="K1438">
        <v>327549</v>
      </c>
    </row>
    <row r="1439" spans="5:11" x14ac:dyDescent="0.25">
      <c r="E1439" t="s">
        <v>2840</v>
      </c>
      <c r="F1439">
        <v>1039399</v>
      </c>
      <c r="G1439" s="1">
        <v>45381</v>
      </c>
      <c r="H1439" t="s">
        <v>2841</v>
      </c>
      <c r="I1439" t="s">
        <v>36</v>
      </c>
      <c r="J1439" s="1">
        <v>45291</v>
      </c>
      <c r="K1439">
        <v>21781000</v>
      </c>
    </row>
    <row r="1440" spans="5:11" x14ac:dyDescent="0.25">
      <c r="E1440" t="s">
        <v>2842</v>
      </c>
      <c r="F1440">
        <v>1039466</v>
      </c>
      <c r="G1440" s="1">
        <v>45382</v>
      </c>
      <c r="H1440" t="s">
        <v>2843</v>
      </c>
      <c r="I1440" t="s">
        <v>60</v>
      </c>
      <c r="J1440" s="1">
        <v>45292</v>
      </c>
      <c r="K1440">
        <v>-492594</v>
      </c>
    </row>
    <row r="1441" spans="5:11" x14ac:dyDescent="0.25">
      <c r="E1441" t="s">
        <v>2844</v>
      </c>
      <c r="F1441">
        <v>1039828</v>
      </c>
      <c r="G1441" s="1">
        <v>45382</v>
      </c>
      <c r="H1441" t="s">
        <v>2845</v>
      </c>
      <c r="I1441" t="s">
        <v>95</v>
      </c>
      <c r="J1441" s="1">
        <v>45292</v>
      </c>
      <c r="K1441">
        <v>342998000</v>
      </c>
    </row>
    <row r="1442" spans="5:11" x14ac:dyDescent="0.25">
      <c r="E1442" t="s">
        <v>2846</v>
      </c>
      <c r="F1442">
        <v>1040161</v>
      </c>
      <c r="G1442" s="1">
        <v>45382</v>
      </c>
      <c r="H1442" t="s">
        <v>2847</v>
      </c>
      <c r="I1442" t="s">
        <v>963</v>
      </c>
      <c r="J1442" s="1">
        <v>45292</v>
      </c>
      <c r="K1442">
        <v>-5066000</v>
      </c>
    </row>
    <row r="1443" spans="5:11" x14ac:dyDescent="0.25">
      <c r="E1443" t="s">
        <v>2848</v>
      </c>
      <c r="F1443">
        <v>1040470</v>
      </c>
      <c r="G1443" s="1">
        <v>45351</v>
      </c>
      <c r="H1443" t="s">
        <v>2849</v>
      </c>
      <c r="I1443" t="s">
        <v>36</v>
      </c>
      <c r="J1443" s="1">
        <v>45261</v>
      </c>
      <c r="K1443">
        <v>-1471000</v>
      </c>
    </row>
    <row r="1444" spans="5:11" x14ac:dyDescent="0.25">
      <c r="E1444" t="s">
        <v>2850</v>
      </c>
      <c r="F1444">
        <v>1040896</v>
      </c>
      <c r="G1444" s="1">
        <v>45382</v>
      </c>
      <c r="H1444" t="s">
        <v>2851</v>
      </c>
      <c r="I1444" t="s">
        <v>57</v>
      </c>
      <c r="J1444" s="1">
        <v>45292</v>
      </c>
      <c r="K1444">
        <v>-442000</v>
      </c>
    </row>
    <row r="1445" spans="5:11" x14ac:dyDescent="0.25">
      <c r="E1445" t="s">
        <v>2852</v>
      </c>
      <c r="F1445">
        <v>1040971</v>
      </c>
      <c r="G1445" s="1">
        <v>45382</v>
      </c>
      <c r="H1445" t="s">
        <v>2853</v>
      </c>
      <c r="I1445" t="s">
        <v>57</v>
      </c>
      <c r="J1445" s="1">
        <v>45292</v>
      </c>
      <c r="K1445">
        <v>16879000</v>
      </c>
    </row>
    <row r="1446" spans="5:11" x14ac:dyDescent="0.25">
      <c r="E1446" t="s">
        <v>2854</v>
      </c>
      <c r="F1446">
        <v>1041024</v>
      </c>
      <c r="G1446" s="1">
        <v>45382</v>
      </c>
      <c r="H1446" t="s">
        <v>2855</v>
      </c>
      <c r="I1446" t="s">
        <v>329</v>
      </c>
      <c r="J1446" s="1">
        <v>45292</v>
      </c>
      <c r="K1446">
        <v>-1731000</v>
      </c>
    </row>
    <row r="1447" spans="5:11" x14ac:dyDescent="0.25">
      <c r="E1447" t="s">
        <v>2856</v>
      </c>
      <c r="F1447">
        <v>1041061</v>
      </c>
      <c r="G1447" s="1">
        <v>45382</v>
      </c>
      <c r="H1447" t="s">
        <v>2857</v>
      </c>
      <c r="I1447" t="s">
        <v>190</v>
      </c>
      <c r="J1447" s="1">
        <v>45292</v>
      </c>
      <c r="K1447">
        <v>314000000</v>
      </c>
    </row>
    <row r="1448" spans="5:11" x14ac:dyDescent="0.25">
      <c r="E1448" t="s">
        <v>2858</v>
      </c>
      <c r="F1448">
        <v>1041368</v>
      </c>
      <c r="G1448" s="1">
        <v>45382</v>
      </c>
      <c r="H1448" t="s">
        <v>2859</v>
      </c>
      <c r="I1448" t="s">
        <v>504</v>
      </c>
      <c r="J1448" s="1">
        <v>45292</v>
      </c>
      <c r="K1448">
        <v>-2968000</v>
      </c>
    </row>
    <row r="1449" spans="5:11" x14ac:dyDescent="0.25">
      <c r="E1449" t="s">
        <v>2860</v>
      </c>
      <c r="F1449">
        <v>1041514</v>
      </c>
      <c r="G1449" s="1">
        <v>45382</v>
      </c>
      <c r="H1449" t="s">
        <v>2861</v>
      </c>
      <c r="I1449" t="s">
        <v>2862</v>
      </c>
      <c r="J1449" s="1">
        <v>45292</v>
      </c>
      <c r="K1449">
        <v>-4047000</v>
      </c>
    </row>
    <row r="1450" spans="5:11" x14ac:dyDescent="0.25">
      <c r="E1450" t="s">
        <v>2863</v>
      </c>
      <c r="F1450">
        <v>1041657</v>
      </c>
      <c r="G1450" s="1">
        <v>45382</v>
      </c>
      <c r="H1450" t="s">
        <v>2864</v>
      </c>
      <c r="I1450" t="s">
        <v>299</v>
      </c>
      <c r="J1450" s="1">
        <v>45292</v>
      </c>
      <c r="K1450">
        <v>7493000</v>
      </c>
    </row>
    <row r="1451" spans="5:11" x14ac:dyDescent="0.25">
      <c r="E1451" t="s">
        <v>2865</v>
      </c>
      <c r="F1451">
        <v>1041803</v>
      </c>
      <c r="G1451" s="1">
        <v>45351</v>
      </c>
      <c r="H1451" t="s">
        <v>2866</v>
      </c>
      <c r="I1451" t="s">
        <v>36</v>
      </c>
      <c r="J1451" s="1">
        <v>45261</v>
      </c>
      <c r="K1451">
        <v>39271000</v>
      </c>
    </row>
    <row r="1452" spans="5:11" x14ac:dyDescent="0.25">
      <c r="E1452" t="s">
        <v>2867</v>
      </c>
      <c r="F1452">
        <v>1041859</v>
      </c>
      <c r="G1452" s="1">
        <v>45416</v>
      </c>
      <c r="H1452" t="s">
        <v>2868</v>
      </c>
      <c r="I1452" t="s">
        <v>46</v>
      </c>
      <c r="J1452" s="1">
        <v>45326</v>
      </c>
      <c r="K1452">
        <v>-37795000</v>
      </c>
    </row>
    <row r="1453" spans="5:11" x14ac:dyDescent="0.25">
      <c r="E1453" t="s">
        <v>2869</v>
      </c>
      <c r="F1453">
        <v>1042046</v>
      </c>
      <c r="G1453" s="1">
        <v>45382</v>
      </c>
      <c r="H1453" t="s">
        <v>2870</v>
      </c>
      <c r="I1453" t="s">
        <v>60</v>
      </c>
      <c r="J1453" s="1">
        <v>45292</v>
      </c>
      <c r="K1453">
        <v>242000000</v>
      </c>
    </row>
    <row r="1454" spans="5:11" x14ac:dyDescent="0.25">
      <c r="E1454" t="s">
        <v>2871</v>
      </c>
      <c r="F1454">
        <v>1042187</v>
      </c>
      <c r="G1454" s="1">
        <v>45382</v>
      </c>
      <c r="H1454" t="s">
        <v>2872</v>
      </c>
      <c r="I1454" t="s">
        <v>19</v>
      </c>
      <c r="J1454" s="1">
        <v>45292</v>
      </c>
      <c r="K1454">
        <v>-576000</v>
      </c>
    </row>
    <row r="1455" spans="5:11" x14ac:dyDescent="0.25">
      <c r="E1455" t="s">
        <v>2873</v>
      </c>
      <c r="F1455">
        <v>1042418</v>
      </c>
      <c r="G1455" s="1">
        <v>45382</v>
      </c>
      <c r="H1455" t="s">
        <v>2874</v>
      </c>
      <c r="I1455" t="s">
        <v>33</v>
      </c>
      <c r="J1455" s="1">
        <v>45292</v>
      </c>
      <c r="K1455">
        <v>-684711</v>
      </c>
    </row>
    <row r="1456" spans="5:11" x14ac:dyDescent="0.25">
      <c r="E1456" t="s">
        <v>2875</v>
      </c>
      <c r="F1456">
        <v>1042729</v>
      </c>
      <c r="G1456" s="1">
        <v>45382</v>
      </c>
      <c r="H1456" t="s">
        <v>2876</v>
      </c>
      <c r="I1456" t="s">
        <v>329</v>
      </c>
      <c r="J1456" s="1">
        <v>45292</v>
      </c>
      <c r="K1456">
        <v>21562000</v>
      </c>
    </row>
    <row r="1457" spans="5:11" x14ac:dyDescent="0.25">
      <c r="E1457" t="s">
        <v>2877</v>
      </c>
      <c r="F1457">
        <v>1042776</v>
      </c>
      <c r="G1457" s="1">
        <v>45382</v>
      </c>
      <c r="H1457" t="s">
        <v>2878</v>
      </c>
      <c r="I1457" t="s">
        <v>64</v>
      </c>
      <c r="J1457" s="1">
        <v>45292</v>
      </c>
      <c r="K1457">
        <v>-27763000</v>
      </c>
    </row>
    <row r="1458" spans="5:11" x14ac:dyDescent="0.25">
      <c r="E1458" t="s">
        <v>2879</v>
      </c>
      <c r="F1458">
        <v>1042893</v>
      </c>
      <c r="G1458" s="1">
        <v>45382</v>
      </c>
      <c r="H1458" t="s">
        <v>2880</v>
      </c>
      <c r="I1458" t="s">
        <v>30</v>
      </c>
      <c r="J1458" s="1">
        <v>45292</v>
      </c>
      <c r="K1458">
        <v>-19984000</v>
      </c>
    </row>
    <row r="1459" spans="5:11" x14ac:dyDescent="0.25">
      <c r="E1459" t="s">
        <v>2881</v>
      </c>
      <c r="F1459">
        <v>1043000</v>
      </c>
      <c r="G1459" s="1">
        <v>45382</v>
      </c>
      <c r="H1459" t="s">
        <v>2882</v>
      </c>
      <c r="I1459" t="s">
        <v>30</v>
      </c>
      <c r="J1459" s="1">
        <v>45292</v>
      </c>
      <c r="K1459">
        <v>27019000</v>
      </c>
    </row>
    <row r="1460" spans="5:11" x14ac:dyDescent="0.25">
      <c r="E1460" t="s">
        <v>2883</v>
      </c>
      <c r="F1460">
        <v>1043186</v>
      </c>
      <c r="G1460" s="1">
        <v>45382</v>
      </c>
      <c r="H1460" t="s">
        <v>2884</v>
      </c>
      <c r="I1460" t="s">
        <v>30</v>
      </c>
      <c r="J1460" s="1">
        <v>45292</v>
      </c>
      <c r="K1460">
        <v>1469000</v>
      </c>
    </row>
    <row r="1461" spans="5:11" x14ac:dyDescent="0.25">
      <c r="E1461" t="s">
        <v>2885</v>
      </c>
      <c r="F1461">
        <v>1043219</v>
      </c>
      <c r="G1461" s="1">
        <v>45382</v>
      </c>
      <c r="H1461" t="s">
        <v>2886</v>
      </c>
      <c r="I1461" t="s">
        <v>57</v>
      </c>
      <c r="J1461" s="1">
        <v>45292</v>
      </c>
      <c r="K1461">
        <v>462892000</v>
      </c>
    </row>
    <row r="1462" spans="5:11" x14ac:dyDescent="0.25">
      <c r="E1462" t="s">
        <v>2887</v>
      </c>
      <c r="F1462">
        <v>1043277</v>
      </c>
      <c r="G1462" s="1">
        <v>45382</v>
      </c>
      <c r="H1462" t="s">
        <v>2888</v>
      </c>
      <c r="I1462" t="s">
        <v>213</v>
      </c>
      <c r="J1462" s="1">
        <v>45292</v>
      </c>
      <c r="K1462">
        <v>92904000</v>
      </c>
    </row>
    <row r="1463" spans="5:11" x14ac:dyDescent="0.25">
      <c r="E1463" t="s">
        <v>10403</v>
      </c>
      <c r="F1463">
        <v>1043337</v>
      </c>
      <c r="G1463" s="1">
        <v>45382</v>
      </c>
      <c r="H1463" t="s">
        <v>2889</v>
      </c>
      <c r="I1463" t="s">
        <v>329</v>
      </c>
      <c r="J1463" s="1">
        <v>45292</v>
      </c>
      <c r="K1463">
        <v>-6126000</v>
      </c>
    </row>
    <row r="1464" spans="5:11" x14ac:dyDescent="0.25">
      <c r="E1464" t="s">
        <v>2890</v>
      </c>
      <c r="F1464">
        <v>1043509</v>
      </c>
      <c r="G1464" s="1">
        <v>45382</v>
      </c>
      <c r="H1464" t="s">
        <v>2891</v>
      </c>
      <c r="I1464" t="s">
        <v>172</v>
      </c>
      <c r="J1464" s="1">
        <v>45292</v>
      </c>
      <c r="K1464">
        <v>42000000</v>
      </c>
    </row>
    <row r="1465" spans="5:11" x14ac:dyDescent="0.25">
      <c r="E1465" t="s">
        <v>2892</v>
      </c>
      <c r="F1465">
        <v>1043604</v>
      </c>
      <c r="G1465" s="1">
        <v>45382</v>
      </c>
      <c r="H1465" t="s">
        <v>2893</v>
      </c>
      <c r="I1465" t="s">
        <v>36</v>
      </c>
      <c r="J1465" s="1">
        <v>45292</v>
      </c>
      <c r="K1465">
        <v>-800000</v>
      </c>
    </row>
    <row r="1466" spans="5:11" x14ac:dyDescent="0.25">
      <c r="E1466" t="s">
        <v>2894</v>
      </c>
      <c r="F1466">
        <v>1043951</v>
      </c>
      <c r="G1466" s="1">
        <v>45382</v>
      </c>
      <c r="H1466" t="s">
        <v>2895</v>
      </c>
      <c r="I1466" t="s">
        <v>299</v>
      </c>
      <c r="J1466" s="1">
        <v>45292</v>
      </c>
      <c r="K1466">
        <v>36912918</v>
      </c>
    </row>
    <row r="1467" spans="5:11" x14ac:dyDescent="0.25">
      <c r="E1467" t="s">
        <v>10404</v>
      </c>
      <c r="F1467">
        <v>1044777</v>
      </c>
      <c r="G1467" s="1">
        <v>45382</v>
      </c>
      <c r="H1467" t="s">
        <v>2896</v>
      </c>
      <c r="I1467" t="s">
        <v>24</v>
      </c>
      <c r="J1467" s="1">
        <v>45292</v>
      </c>
      <c r="K1467">
        <v>13468000</v>
      </c>
    </row>
    <row r="1468" spans="5:11" x14ac:dyDescent="0.25">
      <c r="E1468" t="s">
        <v>2897</v>
      </c>
      <c r="F1468">
        <v>1045450</v>
      </c>
      <c r="G1468" s="1">
        <v>45382</v>
      </c>
      <c r="H1468" t="s">
        <v>2898</v>
      </c>
      <c r="I1468" t="s">
        <v>137</v>
      </c>
      <c r="J1468" s="1">
        <v>45292</v>
      </c>
      <c r="K1468">
        <v>62709000</v>
      </c>
    </row>
    <row r="1469" spans="5:11" x14ac:dyDescent="0.25">
      <c r="E1469" t="s">
        <v>2899</v>
      </c>
      <c r="F1469">
        <v>1045609</v>
      </c>
      <c r="G1469" s="1">
        <v>45382</v>
      </c>
      <c r="H1469" t="s">
        <v>2900</v>
      </c>
      <c r="I1469" t="s">
        <v>36</v>
      </c>
      <c r="J1469" s="1">
        <v>45292</v>
      </c>
      <c r="K1469">
        <v>585715000</v>
      </c>
    </row>
    <row r="1470" spans="5:11" x14ac:dyDescent="0.25">
      <c r="E1470" t="s">
        <v>2901</v>
      </c>
      <c r="F1470">
        <v>1045742</v>
      </c>
      <c r="G1470" s="1">
        <v>45382</v>
      </c>
      <c r="H1470" t="s">
        <v>2902</v>
      </c>
      <c r="I1470" t="s">
        <v>142</v>
      </c>
      <c r="J1470" s="1">
        <v>45292</v>
      </c>
      <c r="K1470">
        <v>-3281000</v>
      </c>
    </row>
    <row r="1471" spans="5:11" x14ac:dyDescent="0.25">
      <c r="E1471" t="s">
        <v>2903</v>
      </c>
      <c r="F1471">
        <v>1045810</v>
      </c>
      <c r="G1471" s="1">
        <v>45410</v>
      </c>
      <c r="H1471" t="s">
        <v>2904</v>
      </c>
      <c r="I1471" t="s">
        <v>36</v>
      </c>
      <c r="J1471" s="1">
        <v>45320</v>
      </c>
      <c r="K1471">
        <v>14881000000</v>
      </c>
    </row>
    <row r="1472" spans="5:11" x14ac:dyDescent="0.25">
      <c r="E1472" t="s">
        <v>2905</v>
      </c>
      <c r="F1472">
        <v>1045942</v>
      </c>
      <c r="G1472" s="1">
        <v>45382</v>
      </c>
      <c r="H1472" t="s">
        <v>2906</v>
      </c>
      <c r="I1472" t="s">
        <v>19</v>
      </c>
      <c r="J1472" s="1">
        <v>45292</v>
      </c>
      <c r="K1472">
        <v>-1903075</v>
      </c>
    </row>
    <row r="1473" spans="5:11" x14ac:dyDescent="0.25">
      <c r="E1473" t="s">
        <v>2907</v>
      </c>
      <c r="F1473">
        <v>1046025</v>
      </c>
      <c r="G1473" s="1">
        <v>45382</v>
      </c>
      <c r="H1473" t="s">
        <v>2908</v>
      </c>
      <c r="I1473" t="s">
        <v>504</v>
      </c>
      <c r="J1473" s="1">
        <v>45292</v>
      </c>
      <c r="K1473">
        <v>5748000</v>
      </c>
    </row>
    <row r="1474" spans="5:11" x14ac:dyDescent="0.25">
      <c r="E1474" t="s">
        <v>2909</v>
      </c>
      <c r="F1474">
        <v>1046050</v>
      </c>
      <c r="G1474" s="1">
        <v>45382</v>
      </c>
      <c r="H1474" t="s">
        <v>2910</v>
      </c>
      <c r="I1474" t="s">
        <v>504</v>
      </c>
      <c r="J1474" s="1">
        <v>45292</v>
      </c>
      <c r="K1474">
        <v>5708000</v>
      </c>
    </row>
    <row r="1475" spans="5:11" x14ac:dyDescent="0.25">
      <c r="E1475" t="s">
        <v>2911</v>
      </c>
      <c r="F1475">
        <v>1046102</v>
      </c>
      <c r="G1475" s="1">
        <v>45382</v>
      </c>
      <c r="H1475" t="s">
        <v>2912</v>
      </c>
      <c r="I1475" t="s">
        <v>19</v>
      </c>
      <c r="J1475" s="1">
        <v>45292</v>
      </c>
      <c r="K1475">
        <v>107400000</v>
      </c>
    </row>
    <row r="1476" spans="5:11" x14ac:dyDescent="0.25">
      <c r="E1476" t="s">
        <v>2913</v>
      </c>
      <c r="F1476">
        <v>1046257</v>
      </c>
      <c r="G1476" s="1">
        <v>45382</v>
      </c>
      <c r="H1476" t="s">
        <v>2914</v>
      </c>
      <c r="I1476" t="s">
        <v>19</v>
      </c>
      <c r="J1476" s="1">
        <v>45292</v>
      </c>
      <c r="K1476">
        <v>216000000</v>
      </c>
    </row>
    <row r="1477" spans="5:11" x14ac:dyDescent="0.25">
      <c r="E1477" t="s">
        <v>2915</v>
      </c>
      <c r="F1477">
        <v>1046311</v>
      </c>
      <c r="G1477" s="1">
        <v>45382</v>
      </c>
      <c r="H1477" t="s">
        <v>2916</v>
      </c>
      <c r="I1477" t="s">
        <v>299</v>
      </c>
      <c r="J1477" s="1">
        <v>45292</v>
      </c>
      <c r="K1477">
        <v>31009000</v>
      </c>
    </row>
    <row r="1478" spans="5:11" x14ac:dyDescent="0.25">
      <c r="E1478" t="s">
        <v>2917</v>
      </c>
      <c r="F1478">
        <v>1046568</v>
      </c>
      <c r="G1478" s="1">
        <v>45382</v>
      </c>
      <c r="H1478" t="s">
        <v>2918</v>
      </c>
      <c r="I1478" t="s">
        <v>19</v>
      </c>
      <c r="J1478" s="1">
        <v>45292</v>
      </c>
      <c r="K1478">
        <v>39442000</v>
      </c>
    </row>
    <row r="1479" spans="5:11" x14ac:dyDescent="0.25">
      <c r="E1479" t="s">
        <v>2919</v>
      </c>
      <c r="F1479">
        <v>1047127</v>
      </c>
      <c r="G1479" s="1">
        <v>45382</v>
      </c>
      <c r="H1479" t="s">
        <v>2920</v>
      </c>
      <c r="I1479" t="s">
        <v>113</v>
      </c>
      <c r="J1479" s="1">
        <v>45292</v>
      </c>
      <c r="K1479">
        <v>58897000</v>
      </c>
    </row>
    <row r="1480" spans="5:11" x14ac:dyDescent="0.25">
      <c r="E1480" t="s">
        <v>2921</v>
      </c>
      <c r="F1480">
        <v>1047335</v>
      </c>
      <c r="G1480" s="1">
        <v>45382</v>
      </c>
      <c r="H1480" t="s">
        <v>2922</v>
      </c>
      <c r="I1480" t="s">
        <v>69</v>
      </c>
      <c r="J1480" s="1">
        <v>45292</v>
      </c>
      <c r="K1480">
        <v>26213000</v>
      </c>
    </row>
    <row r="1481" spans="5:11" x14ac:dyDescent="0.25">
      <c r="E1481" t="s">
        <v>2923</v>
      </c>
      <c r="F1481">
        <v>1047340</v>
      </c>
      <c r="G1481" s="1">
        <v>45380</v>
      </c>
      <c r="H1481" t="s">
        <v>2924</v>
      </c>
      <c r="I1481" t="s">
        <v>2436</v>
      </c>
      <c r="J1481" s="1">
        <v>45290</v>
      </c>
      <c r="K1481">
        <v>26100000</v>
      </c>
    </row>
    <row r="1482" spans="5:11" x14ac:dyDescent="0.25">
      <c r="E1482" t="s">
        <v>2925</v>
      </c>
      <c r="F1482">
        <v>1047862</v>
      </c>
      <c r="G1482" s="1">
        <v>45382</v>
      </c>
      <c r="H1482" t="s">
        <v>2926</v>
      </c>
      <c r="I1482" t="s">
        <v>57</v>
      </c>
      <c r="J1482" s="1">
        <v>45292</v>
      </c>
      <c r="K1482">
        <v>720000000</v>
      </c>
    </row>
    <row r="1483" spans="5:11" x14ac:dyDescent="0.25">
      <c r="E1483" t="s">
        <v>2927</v>
      </c>
      <c r="F1483">
        <v>1048286</v>
      </c>
      <c r="G1483" s="1">
        <v>45382</v>
      </c>
      <c r="H1483" t="s">
        <v>2928</v>
      </c>
      <c r="I1483" t="s">
        <v>299</v>
      </c>
      <c r="J1483" s="1">
        <v>45292</v>
      </c>
      <c r="K1483">
        <v>564000000</v>
      </c>
    </row>
    <row r="1484" spans="5:11" x14ac:dyDescent="0.25">
      <c r="E1484" t="s">
        <v>2929</v>
      </c>
      <c r="F1484">
        <v>1048477</v>
      </c>
      <c r="G1484" s="1">
        <v>45382</v>
      </c>
      <c r="H1484" t="s">
        <v>2930</v>
      </c>
      <c r="I1484" t="s">
        <v>36</v>
      </c>
      <c r="J1484" s="1">
        <v>45292</v>
      </c>
      <c r="K1484">
        <v>88662000</v>
      </c>
    </row>
    <row r="1485" spans="5:11" x14ac:dyDescent="0.25">
      <c r="E1485" t="s">
        <v>2931</v>
      </c>
      <c r="F1485">
        <v>1048695</v>
      </c>
      <c r="G1485" s="1">
        <v>45382</v>
      </c>
      <c r="H1485" t="s">
        <v>2932</v>
      </c>
      <c r="I1485" t="s">
        <v>504</v>
      </c>
      <c r="J1485" s="1">
        <v>45292</v>
      </c>
      <c r="K1485">
        <v>119021000</v>
      </c>
    </row>
    <row r="1486" spans="5:11" x14ac:dyDescent="0.25">
      <c r="E1486" t="s">
        <v>2933</v>
      </c>
      <c r="F1486">
        <v>1048911</v>
      </c>
      <c r="G1486" s="1">
        <v>45351</v>
      </c>
      <c r="H1486" t="s">
        <v>2934</v>
      </c>
      <c r="I1486" t="s">
        <v>69</v>
      </c>
      <c r="J1486" s="1">
        <v>45261</v>
      </c>
      <c r="K1486">
        <v>879000000</v>
      </c>
    </row>
    <row r="1487" spans="5:11" x14ac:dyDescent="0.25">
      <c r="E1487" t="s">
        <v>2935</v>
      </c>
      <c r="F1487">
        <v>1049011</v>
      </c>
      <c r="G1487" s="1">
        <v>45382</v>
      </c>
      <c r="H1487" t="s">
        <v>2936</v>
      </c>
      <c r="I1487" t="s">
        <v>36</v>
      </c>
      <c r="J1487" s="1">
        <v>45292</v>
      </c>
      <c r="K1487">
        <v>1546916</v>
      </c>
    </row>
    <row r="1488" spans="5:11" x14ac:dyDescent="0.25">
      <c r="E1488" t="s">
        <v>2937</v>
      </c>
      <c r="F1488">
        <v>1049502</v>
      </c>
      <c r="G1488" s="1">
        <v>45382</v>
      </c>
      <c r="H1488" t="s">
        <v>2938</v>
      </c>
      <c r="I1488" t="s">
        <v>24</v>
      </c>
      <c r="J1488" s="1">
        <v>45292</v>
      </c>
      <c r="K1488">
        <v>15000000</v>
      </c>
    </row>
    <row r="1489" spans="5:11" x14ac:dyDescent="0.25">
      <c r="E1489" t="s">
        <v>2939</v>
      </c>
      <c r="F1489">
        <v>1049521</v>
      </c>
      <c r="G1489" s="1">
        <v>45380</v>
      </c>
      <c r="H1489" t="s">
        <v>2940</v>
      </c>
      <c r="I1489" t="s">
        <v>24</v>
      </c>
      <c r="J1489" s="1">
        <v>45290</v>
      </c>
      <c r="K1489">
        <v>-44574000</v>
      </c>
    </row>
    <row r="1490" spans="5:11" x14ac:dyDescent="0.25">
      <c r="E1490" t="s">
        <v>2941</v>
      </c>
      <c r="F1490">
        <v>1049606</v>
      </c>
      <c r="G1490" s="1">
        <v>45382</v>
      </c>
      <c r="H1490" t="s">
        <v>2942</v>
      </c>
      <c r="I1490" t="s">
        <v>30</v>
      </c>
      <c r="J1490" s="1">
        <v>45292</v>
      </c>
      <c r="K1490">
        <v>3754000</v>
      </c>
    </row>
    <row r="1491" spans="5:11" x14ac:dyDescent="0.25">
      <c r="E1491" t="s">
        <v>2943</v>
      </c>
      <c r="F1491">
        <v>1049782</v>
      </c>
      <c r="G1491" s="1">
        <v>45382</v>
      </c>
      <c r="H1491" t="s">
        <v>2944</v>
      </c>
      <c r="I1491" t="s">
        <v>24</v>
      </c>
      <c r="J1491" s="1">
        <v>45292</v>
      </c>
      <c r="K1491">
        <v>14665000</v>
      </c>
    </row>
    <row r="1492" spans="5:11" x14ac:dyDescent="0.25">
      <c r="E1492" t="s">
        <v>2945</v>
      </c>
      <c r="F1492">
        <v>1050377</v>
      </c>
      <c r="G1492" s="1">
        <v>45382</v>
      </c>
      <c r="H1492" t="s">
        <v>2946</v>
      </c>
      <c r="I1492" t="s">
        <v>896</v>
      </c>
      <c r="J1492" s="1">
        <v>45292</v>
      </c>
      <c r="K1492">
        <v>13154000</v>
      </c>
    </row>
    <row r="1493" spans="5:11" x14ac:dyDescent="0.25">
      <c r="E1493" t="s">
        <v>2947</v>
      </c>
      <c r="F1493">
        <v>1050441</v>
      </c>
      <c r="G1493" s="1">
        <v>45382</v>
      </c>
      <c r="H1493" t="s">
        <v>2948</v>
      </c>
      <c r="I1493" t="s">
        <v>299</v>
      </c>
      <c r="J1493" s="1">
        <v>45292</v>
      </c>
      <c r="K1493">
        <v>-338000</v>
      </c>
    </row>
    <row r="1494" spans="5:11" x14ac:dyDescent="0.25">
      <c r="E1494" t="s">
        <v>10405</v>
      </c>
      <c r="F1494">
        <v>1050446</v>
      </c>
      <c r="G1494" s="1">
        <v>45382</v>
      </c>
      <c r="H1494" t="s">
        <v>2949</v>
      </c>
      <c r="I1494" t="s">
        <v>123</v>
      </c>
      <c r="J1494" s="1">
        <v>45292</v>
      </c>
      <c r="K1494">
        <v>-53118000</v>
      </c>
    </row>
    <row r="1495" spans="5:11" x14ac:dyDescent="0.25">
      <c r="E1495" t="s">
        <v>2950</v>
      </c>
      <c r="F1495">
        <v>1050743</v>
      </c>
      <c r="G1495" s="1">
        <v>45382</v>
      </c>
      <c r="H1495" t="s">
        <v>2951</v>
      </c>
      <c r="I1495" t="s">
        <v>46</v>
      </c>
      <c r="J1495" s="1">
        <v>45292</v>
      </c>
      <c r="K1495">
        <v>8631000</v>
      </c>
    </row>
    <row r="1496" spans="5:11" x14ac:dyDescent="0.25">
      <c r="E1496" t="s">
        <v>2952</v>
      </c>
      <c r="F1496">
        <v>1050825</v>
      </c>
      <c r="G1496" s="1">
        <v>45345</v>
      </c>
      <c r="H1496" t="s">
        <v>2953</v>
      </c>
      <c r="I1496" t="s">
        <v>329</v>
      </c>
      <c r="J1496" s="1">
        <v>45255</v>
      </c>
      <c r="K1496">
        <v>21300000</v>
      </c>
    </row>
    <row r="1497" spans="5:11" x14ac:dyDescent="0.25">
      <c r="E1497" t="s">
        <v>2954</v>
      </c>
      <c r="F1497">
        <v>1050915</v>
      </c>
      <c r="G1497" s="1">
        <v>45382</v>
      </c>
      <c r="H1497" t="s">
        <v>2955</v>
      </c>
      <c r="I1497" t="s">
        <v>30</v>
      </c>
      <c r="J1497" s="1">
        <v>45292</v>
      </c>
      <c r="K1497">
        <v>118360000</v>
      </c>
    </row>
    <row r="1498" spans="5:11" x14ac:dyDescent="0.25">
      <c r="E1498" t="s">
        <v>2956</v>
      </c>
      <c r="F1498">
        <v>1051470</v>
      </c>
      <c r="G1498" s="1">
        <v>45382</v>
      </c>
      <c r="H1498" t="s">
        <v>2957</v>
      </c>
      <c r="I1498" t="s">
        <v>30</v>
      </c>
      <c r="J1498" s="1">
        <v>45292</v>
      </c>
      <c r="K1498">
        <v>311000000</v>
      </c>
    </row>
    <row r="1499" spans="5:11" x14ac:dyDescent="0.25">
      <c r="E1499" t="s">
        <v>2958</v>
      </c>
      <c r="F1499">
        <v>1051512</v>
      </c>
      <c r="G1499" s="1">
        <v>45382</v>
      </c>
      <c r="H1499" t="s">
        <v>2959</v>
      </c>
      <c r="I1499" t="s">
        <v>19</v>
      </c>
      <c r="J1499" s="1">
        <v>45292</v>
      </c>
      <c r="K1499">
        <v>29000000</v>
      </c>
    </row>
    <row r="1500" spans="5:11" x14ac:dyDescent="0.25">
      <c r="E1500" t="s">
        <v>2960</v>
      </c>
      <c r="F1500">
        <v>1051514</v>
      </c>
      <c r="G1500" s="1">
        <v>45382</v>
      </c>
      <c r="H1500" t="s">
        <v>2961</v>
      </c>
      <c r="I1500" t="s">
        <v>39</v>
      </c>
      <c r="J1500" s="1">
        <v>45292</v>
      </c>
      <c r="K1500">
        <v>-3368000</v>
      </c>
    </row>
    <row r="1501" spans="5:11" x14ac:dyDescent="0.25">
      <c r="E1501" t="s">
        <v>2962</v>
      </c>
      <c r="F1501">
        <v>1051627</v>
      </c>
      <c r="G1501" s="1">
        <v>45382</v>
      </c>
      <c r="H1501" t="s">
        <v>2963</v>
      </c>
      <c r="I1501" t="s">
        <v>36</v>
      </c>
      <c r="J1501" s="1">
        <v>45292</v>
      </c>
      <c r="K1501">
        <v>-2083000</v>
      </c>
    </row>
    <row r="1502" spans="5:11" x14ac:dyDescent="0.25">
      <c r="E1502" t="s">
        <v>2964</v>
      </c>
      <c r="F1502">
        <v>1052752</v>
      </c>
      <c r="G1502" s="1">
        <v>45382</v>
      </c>
      <c r="H1502" t="s">
        <v>2965</v>
      </c>
      <c r="I1502" t="s">
        <v>57</v>
      </c>
      <c r="J1502" s="1">
        <v>45292</v>
      </c>
      <c r="K1502">
        <v>16723000</v>
      </c>
    </row>
    <row r="1503" spans="5:11" x14ac:dyDescent="0.25">
      <c r="E1503" t="s">
        <v>2966</v>
      </c>
      <c r="F1503">
        <v>1053352</v>
      </c>
      <c r="G1503" s="1">
        <v>45382</v>
      </c>
      <c r="H1503" t="s">
        <v>2967</v>
      </c>
      <c r="I1503" t="s">
        <v>36</v>
      </c>
      <c r="J1503" s="1">
        <v>45292</v>
      </c>
      <c r="K1503">
        <v>10166000</v>
      </c>
    </row>
    <row r="1504" spans="5:11" x14ac:dyDescent="0.25">
      <c r="E1504" t="s">
        <v>2968</v>
      </c>
      <c r="F1504">
        <v>1053584</v>
      </c>
      <c r="G1504" s="1">
        <v>45382</v>
      </c>
      <c r="H1504" t="s">
        <v>2969</v>
      </c>
      <c r="I1504" t="s">
        <v>329</v>
      </c>
      <c r="J1504" s="1">
        <v>45292</v>
      </c>
      <c r="K1504">
        <v>9793000</v>
      </c>
    </row>
    <row r="1505" spans="5:11" x14ac:dyDescent="0.25">
      <c r="E1505" t="s">
        <v>2970</v>
      </c>
      <c r="F1505">
        <v>1053691</v>
      </c>
      <c r="G1505" s="1">
        <v>45382</v>
      </c>
      <c r="H1505" t="s">
        <v>2971</v>
      </c>
      <c r="I1505" t="s">
        <v>24</v>
      </c>
      <c r="J1505" s="1">
        <v>45292</v>
      </c>
      <c r="K1505">
        <v>-2514335</v>
      </c>
    </row>
    <row r="1506" spans="5:11" x14ac:dyDescent="0.25">
      <c r="E1506" t="s">
        <v>10406</v>
      </c>
      <c r="F1506">
        <v>1053706</v>
      </c>
      <c r="G1506" s="1">
        <v>45381</v>
      </c>
      <c r="H1506" t="s">
        <v>2972</v>
      </c>
      <c r="I1506" t="s">
        <v>24</v>
      </c>
      <c r="J1506" s="1">
        <v>45291</v>
      </c>
      <c r="K1506">
        <v>13691000</v>
      </c>
    </row>
    <row r="1507" spans="5:11" x14ac:dyDescent="0.25">
      <c r="E1507" t="s">
        <v>2973</v>
      </c>
      <c r="F1507">
        <v>1054102</v>
      </c>
      <c r="G1507" s="1">
        <v>45382</v>
      </c>
      <c r="H1507" t="s">
        <v>2974</v>
      </c>
      <c r="I1507" t="s">
        <v>46</v>
      </c>
      <c r="J1507" s="1">
        <v>45292</v>
      </c>
      <c r="K1507">
        <v>468000</v>
      </c>
    </row>
    <row r="1508" spans="5:11" x14ac:dyDescent="0.25">
      <c r="E1508" t="s">
        <v>2975</v>
      </c>
      <c r="F1508">
        <v>1055160</v>
      </c>
      <c r="G1508" s="1">
        <v>45382</v>
      </c>
      <c r="H1508" t="s">
        <v>2976</v>
      </c>
      <c r="I1508" t="s">
        <v>57</v>
      </c>
      <c r="J1508" s="1">
        <v>45292</v>
      </c>
      <c r="K1508">
        <v>23213000</v>
      </c>
    </row>
    <row r="1509" spans="5:11" x14ac:dyDescent="0.25">
      <c r="E1509" t="s">
        <v>2977</v>
      </c>
      <c r="F1509">
        <v>1055726</v>
      </c>
      <c r="G1509" s="1">
        <v>45382</v>
      </c>
      <c r="H1509" t="s">
        <v>2978</v>
      </c>
      <c r="I1509" t="s">
        <v>39</v>
      </c>
      <c r="J1509" s="1">
        <v>45292</v>
      </c>
      <c r="K1509">
        <v>-30469871</v>
      </c>
    </row>
    <row r="1510" spans="5:11" x14ac:dyDescent="0.25">
      <c r="E1510" t="s">
        <v>10407</v>
      </c>
      <c r="F1510">
        <v>1056285</v>
      </c>
      <c r="G1510" s="1">
        <v>45416</v>
      </c>
      <c r="H1510" t="s">
        <v>10408</v>
      </c>
      <c r="I1510" t="s">
        <v>69</v>
      </c>
      <c r="J1510" s="1">
        <v>45326</v>
      </c>
      <c r="K1510">
        <v>-8830000</v>
      </c>
    </row>
    <row r="1511" spans="5:11" x14ac:dyDescent="0.25">
      <c r="E1511" t="s">
        <v>2979</v>
      </c>
      <c r="F1511">
        <v>1056288</v>
      </c>
      <c r="G1511" s="1">
        <v>45382</v>
      </c>
      <c r="H1511" t="s">
        <v>2980</v>
      </c>
      <c r="I1511" t="s">
        <v>39</v>
      </c>
      <c r="J1511" s="1">
        <v>45292</v>
      </c>
      <c r="K1511">
        <v>75033000</v>
      </c>
    </row>
    <row r="1512" spans="5:11" x14ac:dyDescent="0.25">
      <c r="E1512" t="s">
        <v>2981</v>
      </c>
      <c r="F1512">
        <v>1056358</v>
      </c>
      <c r="G1512" s="1">
        <v>45382</v>
      </c>
      <c r="H1512" t="s">
        <v>2982</v>
      </c>
      <c r="I1512" t="s">
        <v>30</v>
      </c>
      <c r="J1512" s="1">
        <v>45292</v>
      </c>
      <c r="K1512">
        <v>1180000</v>
      </c>
    </row>
    <row r="1513" spans="5:11" x14ac:dyDescent="0.25">
      <c r="E1513" t="s">
        <v>2983</v>
      </c>
      <c r="F1513">
        <v>1056696</v>
      </c>
      <c r="G1513" s="1">
        <v>45382</v>
      </c>
      <c r="H1513" t="s">
        <v>2984</v>
      </c>
      <c r="I1513" t="s">
        <v>64</v>
      </c>
      <c r="J1513" s="1">
        <v>45292</v>
      </c>
      <c r="K1513">
        <v>53801000</v>
      </c>
    </row>
    <row r="1514" spans="5:11" x14ac:dyDescent="0.25">
      <c r="E1514" t="s">
        <v>2985</v>
      </c>
      <c r="F1514">
        <v>1056903</v>
      </c>
      <c r="G1514" s="1">
        <v>45382</v>
      </c>
      <c r="H1514" t="s">
        <v>2986</v>
      </c>
      <c r="I1514" t="s">
        <v>36</v>
      </c>
      <c r="J1514" s="1">
        <v>45292</v>
      </c>
      <c r="K1514">
        <v>23135000</v>
      </c>
    </row>
    <row r="1515" spans="5:11" x14ac:dyDescent="0.25">
      <c r="E1515" t="s">
        <v>2987</v>
      </c>
      <c r="F1515">
        <v>1056943</v>
      </c>
      <c r="G1515" s="1">
        <v>45382</v>
      </c>
      <c r="H1515" t="s">
        <v>2988</v>
      </c>
      <c r="I1515" t="s">
        <v>39</v>
      </c>
      <c r="J1515" s="1">
        <v>45292</v>
      </c>
      <c r="K1515">
        <v>3466000</v>
      </c>
    </row>
    <row r="1516" spans="5:11" x14ac:dyDescent="0.25">
      <c r="E1516" t="s">
        <v>2989</v>
      </c>
      <c r="F1516">
        <v>1057060</v>
      </c>
      <c r="G1516" s="1">
        <v>45382</v>
      </c>
      <c r="H1516" t="s">
        <v>2990</v>
      </c>
      <c r="I1516" t="s">
        <v>33</v>
      </c>
      <c r="J1516" s="1">
        <v>45292</v>
      </c>
      <c r="K1516">
        <v>1587000</v>
      </c>
    </row>
    <row r="1517" spans="5:11" x14ac:dyDescent="0.25">
      <c r="E1517" t="s">
        <v>10409</v>
      </c>
      <c r="F1517">
        <v>1057352</v>
      </c>
      <c r="G1517" s="1">
        <v>45382</v>
      </c>
      <c r="H1517" t="s">
        <v>2991</v>
      </c>
      <c r="I1517" t="s">
        <v>899</v>
      </c>
      <c r="J1517" s="1">
        <v>45292</v>
      </c>
      <c r="K1517">
        <v>6700000</v>
      </c>
    </row>
    <row r="1518" spans="5:11" x14ac:dyDescent="0.25">
      <c r="E1518" t="s">
        <v>2992</v>
      </c>
      <c r="F1518">
        <v>1057379</v>
      </c>
      <c r="G1518" s="1">
        <v>45380</v>
      </c>
      <c r="H1518" t="s">
        <v>2993</v>
      </c>
      <c r="I1518" t="s">
        <v>33</v>
      </c>
      <c r="J1518" s="1">
        <v>45290</v>
      </c>
      <c r="K1518">
        <v>8731000</v>
      </c>
    </row>
    <row r="1519" spans="5:11" x14ac:dyDescent="0.25">
      <c r="E1519" t="s">
        <v>2994</v>
      </c>
      <c r="F1519">
        <v>1057706</v>
      </c>
      <c r="G1519" s="1">
        <v>45382</v>
      </c>
      <c r="H1519" t="s">
        <v>1591</v>
      </c>
      <c r="I1519" t="s">
        <v>1347</v>
      </c>
      <c r="J1519" s="1">
        <v>45292</v>
      </c>
      <c r="K1519">
        <v>73458000</v>
      </c>
    </row>
    <row r="1520" spans="5:11" x14ac:dyDescent="0.25">
      <c r="E1520" t="s">
        <v>2995</v>
      </c>
      <c r="F1520">
        <v>1057877</v>
      </c>
      <c r="G1520" s="1">
        <v>45382</v>
      </c>
      <c r="H1520" t="s">
        <v>2996</v>
      </c>
      <c r="I1520" t="s">
        <v>1071</v>
      </c>
      <c r="J1520" s="1">
        <v>45292</v>
      </c>
      <c r="K1520">
        <v>48173000</v>
      </c>
    </row>
    <row r="1521" spans="5:11" x14ac:dyDescent="0.25">
      <c r="E1521" t="s">
        <v>10410</v>
      </c>
      <c r="F1521">
        <v>1058090</v>
      </c>
      <c r="G1521" s="1">
        <v>45382</v>
      </c>
      <c r="H1521" t="s">
        <v>2997</v>
      </c>
      <c r="I1521" t="s">
        <v>36</v>
      </c>
      <c r="J1521" s="1">
        <v>45292</v>
      </c>
      <c r="K1521">
        <v>359287000</v>
      </c>
    </row>
    <row r="1522" spans="5:11" x14ac:dyDescent="0.25">
      <c r="E1522" t="s">
        <v>10411</v>
      </c>
      <c r="F1522">
        <v>1058290</v>
      </c>
      <c r="G1522" s="1">
        <v>45382</v>
      </c>
      <c r="H1522" t="s">
        <v>2998</v>
      </c>
      <c r="I1522" t="s">
        <v>46</v>
      </c>
      <c r="J1522" s="1">
        <v>45292</v>
      </c>
      <c r="K1522">
        <v>546000000</v>
      </c>
    </row>
    <row r="1523" spans="5:11" x14ac:dyDescent="0.25">
      <c r="E1523" t="s">
        <v>2999</v>
      </c>
      <c r="F1523">
        <v>1058307</v>
      </c>
      <c r="G1523" s="1">
        <v>45382</v>
      </c>
      <c r="H1523" t="s">
        <v>3000</v>
      </c>
      <c r="I1523" t="s">
        <v>33</v>
      </c>
      <c r="J1523" s="1">
        <v>45292</v>
      </c>
      <c r="K1523">
        <v>-1481000</v>
      </c>
    </row>
    <row r="1524" spans="5:11" x14ac:dyDescent="0.25">
      <c r="E1524" t="s">
        <v>10412</v>
      </c>
      <c r="F1524">
        <v>1058623</v>
      </c>
      <c r="G1524" s="1">
        <v>45382</v>
      </c>
      <c r="H1524" t="s">
        <v>3001</v>
      </c>
      <c r="I1524" t="s">
        <v>64</v>
      </c>
      <c r="J1524" s="1">
        <v>45292</v>
      </c>
      <c r="K1524">
        <v>-14154000</v>
      </c>
    </row>
    <row r="1525" spans="5:11" x14ac:dyDescent="0.25">
      <c r="E1525" t="s">
        <v>3002</v>
      </c>
      <c r="F1525">
        <v>1058811</v>
      </c>
      <c r="G1525" s="1">
        <v>45382</v>
      </c>
      <c r="H1525" t="s">
        <v>3003</v>
      </c>
      <c r="I1525" t="s">
        <v>33</v>
      </c>
      <c r="J1525" s="1">
        <v>45292</v>
      </c>
      <c r="K1525">
        <v>18655000</v>
      </c>
    </row>
    <row r="1526" spans="5:11" x14ac:dyDescent="0.25">
      <c r="E1526" t="s">
        <v>3004</v>
      </c>
      <c r="F1526">
        <v>1058867</v>
      </c>
      <c r="G1526" s="1">
        <v>45382</v>
      </c>
      <c r="H1526" t="s">
        <v>3005</v>
      </c>
      <c r="I1526" t="s">
        <v>30</v>
      </c>
      <c r="J1526" s="1">
        <v>45292</v>
      </c>
      <c r="K1526">
        <v>6688000</v>
      </c>
    </row>
    <row r="1527" spans="5:11" x14ac:dyDescent="0.25">
      <c r="E1527" t="s">
        <v>3006</v>
      </c>
      <c r="F1527">
        <v>1059142</v>
      </c>
      <c r="G1527" s="1">
        <v>45382</v>
      </c>
      <c r="H1527" t="s">
        <v>3007</v>
      </c>
      <c r="I1527" t="s">
        <v>763</v>
      </c>
      <c r="J1527" s="1">
        <v>45292</v>
      </c>
      <c r="K1527">
        <v>10648381</v>
      </c>
    </row>
    <row r="1528" spans="5:11" x14ac:dyDescent="0.25">
      <c r="E1528" t="s">
        <v>3008</v>
      </c>
      <c r="F1528">
        <v>1059556</v>
      </c>
      <c r="G1528" s="1">
        <v>45382</v>
      </c>
      <c r="H1528" t="s">
        <v>3009</v>
      </c>
      <c r="I1528" t="s">
        <v>57</v>
      </c>
      <c r="J1528" s="1">
        <v>45292</v>
      </c>
      <c r="K1528">
        <v>577000000</v>
      </c>
    </row>
    <row r="1529" spans="5:11" x14ac:dyDescent="0.25">
      <c r="E1529" t="s">
        <v>3010</v>
      </c>
      <c r="F1529">
        <v>1060391</v>
      </c>
      <c r="G1529" s="1">
        <v>45382</v>
      </c>
      <c r="H1529" t="s">
        <v>3011</v>
      </c>
      <c r="I1529" t="s">
        <v>113</v>
      </c>
      <c r="J1529" s="1">
        <v>45292</v>
      </c>
      <c r="K1529">
        <v>453794000</v>
      </c>
    </row>
    <row r="1530" spans="5:11" x14ac:dyDescent="0.25">
      <c r="E1530" t="s">
        <v>3012</v>
      </c>
      <c r="F1530">
        <v>1060822</v>
      </c>
      <c r="G1530" s="1">
        <v>45381</v>
      </c>
      <c r="H1530" t="s">
        <v>3013</v>
      </c>
      <c r="I1530" t="s">
        <v>64</v>
      </c>
      <c r="J1530" s="1">
        <v>45291</v>
      </c>
      <c r="K1530">
        <v>38033000</v>
      </c>
    </row>
    <row r="1531" spans="5:11" x14ac:dyDescent="0.25">
      <c r="E1531" t="s">
        <v>10413</v>
      </c>
      <c r="F1531">
        <v>1060955</v>
      </c>
      <c r="G1531" s="1">
        <v>45382</v>
      </c>
      <c r="H1531" t="s">
        <v>3014</v>
      </c>
      <c r="I1531" t="s">
        <v>3015</v>
      </c>
      <c r="J1531" s="1">
        <v>45292</v>
      </c>
      <c r="K1531">
        <v>187438000</v>
      </c>
    </row>
    <row r="1532" spans="5:11" x14ac:dyDescent="0.25">
      <c r="E1532" t="s">
        <v>3016</v>
      </c>
      <c r="F1532">
        <v>1061027</v>
      </c>
      <c r="G1532" s="1">
        <v>45382</v>
      </c>
      <c r="H1532" t="s">
        <v>3017</v>
      </c>
      <c r="I1532" t="s">
        <v>36</v>
      </c>
      <c r="J1532" s="1">
        <v>45292</v>
      </c>
      <c r="K1532">
        <v>-9141000</v>
      </c>
    </row>
    <row r="1533" spans="5:11" x14ac:dyDescent="0.25">
      <c r="E1533" t="s">
        <v>3018</v>
      </c>
      <c r="F1533">
        <v>1061069</v>
      </c>
      <c r="G1533" s="1">
        <v>45382</v>
      </c>
      <c r="H1533" t="s">
        <v>3019</v>
      </c>
      <c r="I1533" t="s">
        <v>60</v>
      </c>
      <c r="J1533" s="1">
        <v>45292</v>
      </c>
      <c r="K1533">
        <v>-979000</v>
      </c>
    </row>
    <row r="1534" spans="5:11" x14ac:dyDescent="0.25">
      <c r="E1534" t="s">
        <v>3020</v>
      </c>
      <c r="F1534">
        <v>1061164</v>
      </c>
      <c r="G1534" s="1">
        <v>45412</v>
      </c>
      <c r="H1534" t="s">
        <v>3021</v>
      </c>
      <c r="I1534" t="s">
        <v>142</v>
      </c>
      <c r="J1534" s="1">
        <v>45323</v>
      </c>
      <c r="K1534">
        <v>-70678</v>
      </c>
    </row>
    <row r="1535" spans="5:11" x14ac:dyDescent="0.25">
      <c r="E1535" t="s">
        <v>3022</v>
      </c>
      <c r="F1535">
        <v>1061219</v>
      </c>
      <c r="G1535" s="1">
        <v>45382</v>
      </c>
      <c r="H1535" t="s">
        <v>3023</v>
      </c>
      <c r="I1535" t="s">
        <v>30</v>
      </c>
      <c r="J1535" s="1">
        <v>45292</v>
      </c>
      <c r="K1535">
        <v>1456000000</v>
      </c>
    </row>
    <row r="1536" spans="5:11" x14ac:dyDescent="0.25">
      <c r="E1536" t="s">
        <v>3024</v>
      </c>
      <c r="F1536">
        <v>1061630</v>
      </c>
      <c r="G1536" s="1">
        <v>45382</v>
      </c>
      <c r="H1536" t="s">
        <v>3025</v>
      </c>
      <c r="I1536" t="s">
        <v>57</v>
      </c>
      <c r="J1536" s="1">
        <v>45292</v>
      </c>
      <c r="K1536">
        <v>-123838000</v>
      </c>
    </row>
    <row r="1537" spans="5:11" x14ac:dyDescent="0.25">
      <c r="E1537" t="s">
        <v>3026</v>
      </c>
      <c r="F1537">
        <v>1061983</v>
      </c>
      <c r="G1537" s="1">
        <v>45382</v>
      </c>
      <c r="H1537" t="s">
        <v>3027</v>
      </c>
      <c r="I1537" t="s">
        <v>36</v>
      </c>
      <c r="J1537" s="1">
        <v>45292</v>
      </c>
      <c r="K1537">
        <v>-135643000</v>
      </c>
    </row>
    <row r="1538" spans="5:11" x14ac:dyDescent="0.25">
      <c r="E1538" t="s">
        <v>3028</v>
      </c>
      <c r="F1538">
        <v>1062231</v>
      </c>
      <c r="G1538" s="1">
        <v>45382</v>
      </c>
      <c r="H1538" t="s">
        <v>3029</v>
      </c>
      <c r="I1538" t="s">
        <v>329</v>
      </c>
      <c r="J1538" s="1">
        <v>45292</v>
      </c>
      <c r="K1538">
        <v>20500000</v>
      </c>
    </row>
    <row r="1539" spans="5:11" x14ac:dyDescent="0.25">
      <c r="E1539" t="s">
        <v>3030</v>
      </c>
      <c r="F1539">
        <v>1062506</v>
      </c>
      <c r="G1539" s="1">
        <v>45382</v>
      </c>
      <c r="H1539" t="s">
        <v>3031</v>
      </c>
      <c r="I1539" t="s">
        <v>33</v>
      </c>
      <c r="J1539" s="1">
        <v>45292</v>
      </c>
      <c r="K1539">
        <v>-142119</v>
      </c>
    </row>
    <row r="1540" spans="5:11" x14ac:dyDescent="0.25">
      <c r="E1540" t="s">
        <v>3032</v>
      </c>
      <c r="F1540">
        <v>1062822</v>
      </c>
      <c r="G1540" s="1">
        <v>45382</v>
      </c>
      <c r="H1540" t="s">
        <v>3033</v>
      </c>
      <c r="I1540" t="s">
        <v>30</v>
      </c>
      <c r="J1540" s="1">
        <v>45292</v>
      </c>
      <c r="K1540">
        <v>-48397000</v>
      </c>
    </row>
    <row r="1541" spans="5:11" x14ac:dyDescent="0.25">
      <c r="E1541" t="s">
        <v>3034</v>
      </c>
      <c r="F1541">
        <v>1063537</v>
      </c>
      <c r="G1541" s="1">
        <v>45382</v>
      </c>
      <c r="H1541" t="s">
        <v>3035</v>
      </c>
      <c r="I1541" t="s">
        <v>30</v>
      </c>
      <c r="J1541" s="1">
        <v>45292</v>
      </c>
      <c r="K1541">
        <v>-1858000</v>
      </c>
    </row>
    <row r="1542" spans="5:11" x14ac:dyDescent="0.25">
      <c r="E1542" t="s">
        <v>3036</v>
      </c>
      <c r="F1542">
        <v>1064722</v>
      </c>
      <c r="G1542" s="1">
        <v>45382</v>
      </c>
      <c r="H1542" t="s">
        <v>3037</v>
      </c>
      <c r="I1542" t="s">
        <v>36</v>
      </c>
      <c r="J1542" s="1">
        <v>45292</v>
      </c>
      <c r="K1542">
        <v>-14222</v>
      </c>
    </row>
    <row r="1543" spans="5:11" x14ac:dyDescent="0.25">
      <c r="E1543" t="s">
        <v>3038</v>
      </c>
      <c r="F1543">
        <v>1064728</v>
      </c>
      <c r="G1543" s="1">
        <v>45382</v>
      </c>
      <c r="H1543" t="s">
        <v>3039</v>
      </c>
      <c r="I1543" t="s">
        <v>137</v>
      </c>
      <c r="J1543" s="1">
        <v>45292</v>
      </c>
      <c r="K1543">
        <v>39600000</v>
      </c>
    </row>
    <row r="1544" spans="5:11" x14ac:dyDescent="0.25">
      <c r="E1544" t="s">
        <v>10414</v>
      </c>
      <c r="F1544">
        <v>1065059</v>
      </c>
      <c r="G1544" s="1">
        <v>45382</v>
      </c>
      <c r="H1544" t="s">
        <v>3040</v>
      </c>
      <c r="I1544" t="s">
        <v>299</v>
      </c>
      <c r="J1544" s="1">
        <v>45292</v>
      </c>
      <c r="K1544">
        <v>-6100000</v>
      </c>
    </row>
    <row r="1545" spans="5:11" x14ac:dyDescent="0.25">
      <c r="E1545" t="s">
        <v>3041</v>
      </c>
      <c r="F1545">
        <v>1065078</v>
      </c>
      <c r="G1545" s="1">
        <v>45382</v>
      </c>
      <c r="H1545" t="s">
        <v>3042</v>
      </c>
      <c r="I1545" t="s">
        <v>27</v>
      </c>
      <c r="J1545" s="1">
        <v>45292</v>
      </c>
      <c r="K1545">
        <v>-920000</v>
      </c>
    </row>
    <row r="1546" spans="5:11" x14ac:dyDescent="0.25">
      <c r="E1546" t="s">
        <v>3043</v>
      </c>
      <c r="F1546">
        <v>1065088</v>
      </c>
      <c r="G1546" s="1">
        <v>45382</v>
      </c>
      <c r="H1546" t="s">
        <v>3044</v>
      </c>
      <c r="I1546" t="s">
        <v>36</v>
      </c>
      <c r="J1546" s="1">
        <v>45292</v>
      </c>
      <c r="K1546">
        <v>438000000</v>
      </c>
    </row>
    <row r="1547" spans="5:11" x14ac:dyDescent="0.25">
      <c r="E1547" t="s">
        <v>3045</v>
      </c>
      <c r="F1547">
        <v>1065280</v>
      </c>
      <c r="G1547" s="1">
        <v>45382</v>
      </c>
      <c r="H1547" t="s">
        <v>3046</v>
      </c>
      <c r="I1547" t="s">
        <v>36</v>
      </c>
      <c r="J1547" s="1">
        <v>45292</v>
      </c>
      <c r="K1547">
        <v>2332209000</v>
      </c>
    </row>
    <row r="1548" spans="5:11" x14ac:dyDescent="0.25">
      <c r="E1548" t="s">
        <v>3047</v>
      </c>
      <c r="F1548">
        <v>1065696</v>
      </c>
      <c r="G1548" s="1">
        <v>45382</v>
      </c>
      <c r="H1548" t="s">
        <v>3048</v>
      </c>
      <c r="I1548" t="s">
        <v>19</v>
      </c>
      <c r="J1548" s="1">
        <v>45292</v>
      </c>
      <c r="K1548">
        <v>158000000</v>
      </c>
    </row>
    <row r="1549" spans="5:11" x14ac:dyDescent="0.25">
      <c r="E1549" t="s">
        <v>3049</v>
      </c>
      <c r="F1549">
        <v>1065837</v>
      </c>
      <c r="G1549" s="1">
        <v>45382</v>
      </c>
      <c r="H1549" t="s">
        <v>3050</v>
      </c>
      <c r="I1549" t="s">
        <v>36</v>
      </c>
      <c r="J1549" s="1">
        <v>45292</v>
      </c>
      <c r="K1549">
        <v>206622000</v>
      </c>
    </row>
    <row r="1550" spans="5:11" x14ac:dyDescent="0.25">
      <c r="E1550" t="s">
        <v>3051</v>
      </c>
      <c r="F1550">
        <v>1066194</v>
      </c>
      <c r="G1550" s="1">
        <v>45382</v>
      </c>
      <c r="H1550" t="s">
        <v>3052</v>
      </c>
      <c r="I1550" t="s">
        <v>36</v>
      </c>
      <c r="J1550" s="1">
        <v>45292</v>
      </c>
      <c r="K1550">
        <v>1493000</v>
      </c>
    </row>
    <row r="1551" spans="5:11" x14ac:dyDescent="0.25">
      <c r="E1551" t="s">
        <v>3053</v>
      </c>
      <c r="F1551">
        <v>1066605</v>
      </c>
      <c r="G1551" s="1">
        <v>45382</v>
      </c>
      <c r="H1551" t="s">
        <v>3054</v>
      </c>
      <c r="I1551" t="s">
        <v>19</v>
      </c>
      <c r="J1551" s="1">
        <v>45292</v>
      </c>
      <c r="K1551">
        <v>14032000</v>
      </c>
    </row>
    <row r="1552" spans="5:11" x14ac:dyDescent="0.25">
      <c r="E1552" t="s">
        <v>3055</v>
      </c>
      <c r="F1552">
        <v>1066656</v>
      </c>
      <c r="G1552" s="1">
        <v>45382</v>
      </c>
      <c r="H1552" t="s">
        <v>3056</v>
      </c>
      <c r="I1552" t="s">
        <v>57</v>
      </c>
      <c r="J1552" s="1">
        <v>45292</v>
      </c>
      <c r="K1552">
        <v>21477979</v>
      </c>
    </row>
    <row r="1553" spans="5:11" x14ac:dyDescent="0.25">
      <c r="E1553" t="s">
        <v>3057</v>
      </c>
      <c r="F1553">
        <v>1066684</v>
      </c>
      <c r="G1553" s="1">
        <v>45382</v>
      </c>
      <c r="H1553" t="s">
        <v>3058</v>
      </c>
      <c r="I1553" t="s">
        <v>30</v>
      </c>
      <c r="J1553" s="1">
        <v>45292</v>
      </c>
      <c r="K1553">
        <v>-51232</v>
      </c>
    </row>
    <row r="1554" spans="5:11" x14ac:dyDescent="0.25">
      <c r="E1554" t="s">
        <v>3059</v>
      </c>
      <c r="F1554">
        <v>1066764</v>
      </c>
      <c r="G1554" s="1">
        <v>45382</v>
      </c>
      <c r="H1554" t="s">
        <v>3060</v>
      </c>
      <c r="I1554" t="s">
        <v>36</v>
      </c>
      <c r="J1554" s="1">
        <v>45292</v>
      </c>
      <c r="K1554">
        <v>-313507</v>
      </c>
    </row>
    <row r="1555" spans="5:11" x14ac:dyDescent="0.25">
      <c r="E1555" t="s">
        <v>3061</v>
      </c>
      <c r="F1555">
        <v>1066923</v>
      </c>
      <c r="G1555" s="1">
        <v>45382</v>
      </c>
      <c r="H1555" t="s">
        <v>3062</v>
      </c>
      <c r="I1555" t="s">
        <v>57</v>
      </c>
      <c r="J1555" s="1">
        <v>45292</v>
      </c>
      <c r="K1555">
        <v>-3327208</v>
      </c>
    </row>
    <row r="1556" spans="5:11" x14ac:dyDescent="0.25">
      <c r="E1556" t="s">
        <v>3063</v>
      </c>
      <c r="F1556">
        <v>1067294</v>
      </c>
      <c r="G1556" s="1">
        <v>45408</v>
      </c>
      <c r="H1556" t="s">
        <v>3064</v>
      </c>
      <c r="I1556" t="s">
        <v>69</v>
      </c>
      <c r="J1556" s="1">
        <v>45318</v>
      </c>
      <c r="K1556">
        <v>-9199000</v>
      </c>
    </row>
    <row r="1557" spans="5:11" x14ac:dyDescent="0.25">
      <c r="E1557" t="s">
        <v>3065</v>
      </c>
      <c r="F1557">
        <v>1067701</v>
      </c>
      <c r="G1557" s="1">
        <v>45382</v>
      </c>
      <c r="H1557" t="s">
        <v>3066</v>
      </c>
      <c r="I1557" t="s">
        <v>27</v>
      </c>
      <c r="J1557" s="1">
        <v>45292</v>
      </c>
      <c r="K1557">
        <v>542000000</v>
      </c>
    </row>
    <row r="1558" spans="5:11" x14ac:dyDescent="0.25">
      <c r="E1558" t="s">
        <v>3067</v>
      </c>
      <c r="F1558">
        <v>1067837</v>
      </c>
      <c r="G1558" s="1">
        <v>45382</v>
      </c>
      <c r="H1558" t="s">
        <v>3068</v>
      </c>
      <c r="I1558" t="s">
        <v>39</v>
      </c>
      <c r="J1558" s="1">
        <v>45292</v>
      </c>
      <c r="K1558">
        <v>-1852000</v>
      </c>
    </row>
    <row r="1559" spans="5:11" x14ac:dyDescent="0.25">
      <c r="E1559" t="s">
        <v>3069</v>
      </c>
      <c r="F1559">
        <v>1067983</v>
      </c>
      <c r="G1559" s="1">
        <v>45382</v>
      </c>
      <c r="H1559" t="s">
        <v>3070</v>
      </c>
      <c r="I1559" t="s">
        <v>763</v>
      </c>
      <c r="J1559" s="1">
        <v>45292</v>
      </c>
      <c r="K1559">
        <v>12702000000</v>
      </c>
    </row>
    <row r="1560" spans="5:11" x14ac:dyDescent="0.25">
      <c r="E1560" t="s">
        <v>3071</v>
      </c>
      <c r="F1560">
        <v>1068148</v>
      </c>
      <c r="G1560" s="1">
        <v>45382</v>
      </c>
      <c r="H1560" t="s">
        <v>3072</v>
      </c>
      <c r="I1560" t="s">
        <v>60</v>
      </c>
      <c r="J1560" s="1">
        <v>45292</v>
      </c>
      <c r="K1560">
        <v>9700000</v>
      </c>
    </row>
    <row r="1561" spans="5:11" x14ac:dyDescent="0.25">
      <c r="E1561" t="s">
        <v>3073</v>
      </c>
      <c r="F1561">
        <v>1068689</v>
      </c>
      <c r="G1561" s="1">
        <v>45382</v>
      </c>
      <c r="H1561" t="s">
        <v>3074</v>
      </c>
      <c r="I1561" t="s">
        <v>172</v>
      </c>
      <c r="J1561" s="1">
        <v>45292</v>
      </c>
      <c r="K1561">
        <v>-1629159</v>
      </c>
    </row>
    <row r="1562" spans="5:11" x14ac:dyDescent="0.25">
      <c r="E1562" t="s">
        <v>3075</v>
      </c>
      <c r="F1562">
        <v>1068851</v>
      </c>
      <c r="G1562" s="1">
        <v>45382</v>
      </c>
      <c r="H1562" t="s">
        <v>3076</v>
      </c>
      <c r="I1562" t="s">
        <v>30</v>
      </c>
      <c r="J1562" s="1">
        <v>45292</v>
      </c>
      <c r="K1562">
        <v>110426000</v>
      </c>
    </row>
    <row r="1563" spans="5:11" x14ac:dyDescent="0.25">
      <c r="E1563" t="s">
        <v>3077</v>
      </c>
      <c r="F1563">
        <v>1069157</v>
      </c>
      <c r="G1563" s="1">
        <v>45382</v>
      </c>
      <c r="H1563" t="s">
        <v>3078</v>
      </c>
      <c r="I1563" t="s">
        <v>36</v>
      </c>
      <c r="J1563" s="1">
        <v>45292</v>
      </c>
      <c r="K1563">
        <v>285075000</v>
      </c>
    </row>
    <row r="1564" spans="5:11" x14ac:dyDescent="0.25">
      <c r="E1564" t="s">
        <v>3079</v>
      </c>
      <c r="F1564">
        <v>1069183</v>
      </c>
      <c r="G1564" s="1">
        <v>45382</v>
      </c>
      <c r="H1564" t="s">
        <v>3080</v>
      </c>
      <c r="I1564" t="s">
        <v>113</v>
      </c>
      <c r="J1564" s="1">
        <v>45292</v>
      </c>
      <c r="K1564">
        <v>133218000</v>
      </c>
    </row>
    <row r="1565" spans="5:11" x14ac:dyDescent="0.25">
      <c r="E1565" t="s">
        <v>3081</v>
      </c>
      <c r="F1565">
        <v>1069202</v>
      </c>
      <c r="G1565" s="1">
        <v>45382</v>
      </c>
      <c r="H1565" t="s">
        <v>3082</v>
      </c>
      <c r="I1565" t="s">
        <v>30</v>
      </c>
      <c r="J1565" s="1">
        <v>45292</v>
      </c>
      <c r="K1565">
        <v>124300000</v>
      </c>
    </row>
    <row r="1566" spans="5:11" x14ac:dyDescent="0.25">
      <c r="E1566" t="s">
        <v>3083</v>
      </c>
      <c r="F1566">
        <v>1069258</v>
      </c>
      <c r="G1566" s="1">
        <v>45382</v>
      </c>
      <c r="H1566" t="s">
        <v>3084</v>
      </c>
      <c r="I1566" t="s">
        <v>30</v>
      </c>
      <c r="J1566" s="1">
        <v>45292</v>
      </c>
      <c r="K1566">
        <v>1300000</v>
      </c>
    </row>
    <row r="1567" spans="5:11" x14ac:dyDescent="0.25">
      <c r="E1567" t="s">
        <v>3085</v>
      </c>
      <c r="F1567">
        <v>1069394</v>
      </c>
      <c r="G1567" s="1">
        <v>45382</v>
      </c>
      <c r="H1567" t="s">
        <v>3086</v>
      </c>
      <c r="I1567" t="s">
        <v>3087</v>
      </c>
      <c r="J1567" s="1">
        <v>45292</v>
      </c>
      <c r="K1567">
        <v>457226</v>
      </c>
    </row>
    <row r="1568" spans="5:11" x14ac:dyDescent="0.25">
      <c r="E1568" t="s">
        <v>3088</v>
      </c>
      <c r="F1568">
        <v>1069530</v>
      </c>
      <c r="G1568" s="1">
        <v>45382</v>
      </c>
      <c r="H1568" t="s">
        <v>3089</v>
      </c>
      <c r="I1568" t="s">
        <v>30</v>
      </c>
      <c r="J1568" s="1">
        <v>45292</v>
      </c>
      <c r="K1568">
        <v>25043000</v>
      </c>
    </row>
    <row r="1569" spans="5:11" x14ac:dyDescent="0.25">
      <c r="E1569" t="s">
        <v>3090</v>
      </c>
      <c r="F1569">
        <v>1069533</v>
      </c>
      <c r="G1569" s="1">
        <v>45382</v>
      </c>
      <c r="H1569" t="s">
        <v>3091</v>
      </c>
      <c r="I1569" t="s">
        <v>123</v>
      </c>
      <c r="J1569" s="1">
        <v>45292</v>
      </c>
      <c r="K1569">
        <v>6443390</v>
      </c>
    </row>
    <row r="1570" spans="5:11" x14ac:dyDescent="0.25">
      <c r="E1570" t="s">
        <v>10415</v>
      </c>
      <c r="F1570">
        <v>1069878</v>
      </c>
      <c r="G1570" s="1">
        <v>45382</v>
      </c>
      <c r="H1570" t="s">
        <v>3092</v>
      </c>
      <c r="I1570" t="s">
        <v>123</v>
      </c>
      <c r="J1570" s="1">
        <v>45292</v>
      </c>
      <c r="K1570">
        <v>89070000</v>
      </c>
    </row>
    <row r="1571" spans="5:11" x14ac:dyDescent="0.25">
      <c r="E1571" t="s">
        <v>3093</v>
      </c>
      <c r="F1571">
        <v>1069899</v>
      </c>
      <c r="G1571" s="1">
        <v>45382</v>
      </c>
      <c r="H1571" t="s">
        <v>3094</v>
      </c>
      <c r="I1571" t="s">
        <v>46</v>
      </c>
      <c r="J1571" s="1">
        <v>45292</v>
      </c>
      <c r="K1571">
        <v>8405000</v>
      </c>
    </row>
    <row r="1572" spans="5:11" x14ac:dyDescent="0.25">
      <c r="E1572" t="s">
        <v>3095</v>
      </c>
      <c r="F1572">
        <v>1070050</v>
      </c>
      <c r="G1572" s="1">
        <v>45382</v>
      </c>
      <c r="H1572" t="s">
        <v>3096</v>
      </c>
      <c r="I1572" t="s">
        <v>36</v>
      </c>
      <c r="J1572" s="1">
        <v>45292</v>
      </c>
      <c r="K1572">
        <v>-3037000</v>
      </c>
    </row>
    <row r="1573" spans="5:11" x14ac:dyDescent="0.25">
      <c r="E1573" t="s">
        <v>3097</v>
      </c>
      <c r="F1573">
        <v>1070081</v>
      </c>
      <c r="G1573" s="1">
        <v>45382</v>
      </c>
      <c r="H1573" t="s">
        <v>3098</v>
      </c>
      <c r="I1573" t="s">
        <v>46</v>
      </c>
      <c r="J1573" s="1">
        <v>45292</v>
      </c>
      <c r="K1573">
        <v>-91576000</v>
      </c>
    </row>
    <row r="1574" spans="5:11" x14ac:dyDescent="0.25">
      <c r="E1574" t="s">
        <v>3099</v>
      </c>
      <c r="F1574">
        <v>1070296</v>
      </c>
      <c r="G1574" s="1">
        <v>45382</v>
      </c>
      <c r="H1574" t="s">
        <v>3100</v>
      </c>
      <c r="I1574" t="s">
        <v>288</v>
      </c>
      <c r="J1574" s="1">
        <v>45292</v>
      </c>
      <c r="K1574">
        <v>2952000</v>
      </c>
    </row>
    <row r="1575" spans="5:11" x14ac:dyDescent="0.25">
      <c r="E1575" t="s">
        <v>3101</v>
      </c>
      <c r="F1575">
        <v>1070412</v>
      </c>
      <c r="G1575" s="1">
        <v>45382</v>
      </c>
      <c r="H1575" t="s">
        <v>3102</v>
      </c>
      <c r="I1575" t="s">
        <v>39</v>
      </c>
      <c r="J1575" s="1">
        <v>45292</v>
      </c>
      <c r="K1575">
        <v>6851000</v>
      </c>
    </row>
    <row r="1576" spans="5:11" x14ac:dyDescent="0.25">
      <c r="E1576" t="s">
        <v>3103</v>
      </c>
      <c r="F1576">
        <v>1070423</v>
      </c>
      <c r="G1576" s="1">
        <v>45382</v>
      </c>
      <c r="H1576" t="s">
        <v>3104</v>
      </c>
      <c r="I1576" t="s">
        <v>30</v>
      </c>
      <c r="J1576" s="1">
        <v>45292</v>
      </c>
      <c r="K1576">
        <v>266000000</v>
      </c>
    </row>
    <row r="1577" spans="5:11" x14ac:dyDescent="0.25">
      <c r="E1577" t="s">
        <v>3105</v>
      </c>
      <c r="F1577">
        <v>1070494</v>
      </c>
      <c r="G1577" s="1">
        <v>45382</v>
      </c>
      <c r="H1577" t="s">
        <v>3106</v>
      </c>
      <c r="I1577" t="s">
        <v>36</v>
      </c>
      <c r="J1577" s="1">
        <v>45292</v>
      </c>
      <c r="K1577">
        <v>16555000</v>
      </c>
    </row>
    <row r="1578" spans="5:11" x14ac:dyDescent="0.25">
      <c r="E1578" t="s">
        <v>3107</v>
      </c>
      <c r="F1578">
        <v>1070524</v>
      </c>
      <c r="G1578" s="1">
        <v>45382</v>
      </c>
      <c r="H1578" t="s">
        <v>3108</v>
      </c>
      <c r="I1578" t="s">
        <v>57</v>
      </c>
      <c r="J1578" s="1">
        <v>45292</v>
      </c>
      <c r="K1578">
        <v>5861000</v>
      </c>
    </row>
    <row r="1579" spans="5:11" x14ac:dyDescent="0.25">
      <c r="E1579" t="s">
        <v>3109</v>
      </c>
      <c r="F1579">
        <v>1070680</v>
      </c>
      <c r="G1579" s="1">
        <v>45382</v>
      </c>
      <c r="H1579" t="s">
        <v>3110</v>
      </c>
      <c r="I1579" t="s">
        <v>60</v>
      </c>
      <c r="J1579" s="1">
        <v>45292</v>
      </c>
      <c r="K1579">
        <v>3070000</v>
      </c>
    </row>
    <row r="1580" spans="5:11" x14ac:dyDescent="0.25">
      <c r="E1580" t="s">
        <v>3111</v>
      </c>
      <c r="F1580">
        <v>1070750</v>
      </c>
      <c r="G1580" s="1">
        <v>45382</v>
      </c>
      <c r="H1580" t="s">
        <v>3112</v>
      </c>
      <c r="I1580" t="s">
        <v>299</v>
      </c>
      <c r="J1580" s="1">
        <v>45292</v>
      </c>
      <c r="K1580">
        <v>268000000</v>
      </c>
    </row>
    <row r="1581" spans="5:11" x14ac:dyDescent="0.25">
      <c r="E1581" t="s">
        <v>3113</v>
      </c>
      <c r="F1581">
        <v>1071236</v>
      </c>
      <c r="G1581" s="1">
        <v>45382</v>
      </c>
      <c r="H1581" t="s">
        <v>3114</v>
      </c>
      <c r="I1581" t="s">
        <v>179</v>
      </c>
      <c r="J1581" s="1">
        <v>45292</v>
      </c>
      <c r="K1581">
        <v>8188000</v>
      </c>
    </row>
    <row r="1582" spans="5:11" x14ac:dyDescent="0.25">
      <c r="E1582" t="s">
        <v>3115</v>
      </c>
      <c r="F1582">
        <v>1071255</v>
      </c>
      <c r="G1582" s="1">
        <v>45382</v>
      </c>
      <c r="H1582" t="s">
        <v>3116</v>
      </c>
      <c r="I1582" t="s">
        <v>142</v>
      </c>
      <c r="J1582" s="1">
        <v>45292</v>
      </c>
      <c r="K1582">
        <v>41963000</v>
      </c>
    </row>
    <row r="1583" spans="5:11" x14ac:dyDescent="0.25">
      <c r="E1583" t="s">
        <v>3117</v>
      </c>
      <c r="F1583">
        <v>1071739</v>
      </c>
      <c r="G1583" s="1">
        <v>45382</v>
      </c>
      <c r="H1583" t="s">
        <v>3118</v>
      </c>
      <c r="I1583" t="s">
        <v>137</v>
      </c>
      <c r="J1583" s="1">
        <v>45292</v>
      </c>
      <c r="K1583">
        <v>1163000000</v>
      </c>
    </row>
    <row r="1584" spans="5:11" x14ac:dyDescent="0.25">
      <c r="E1584" t="s">
        <v>3119</v>
      </c>
      <c r="F1584">
        <v>1072379</v>
      </c>
      <c r="G1584" s="1">
        <v>45382</v>
      </c>
      <c r="H1584" t="s">
        <v>3120</v>
      </c>
      <c r="I1584" t="s">
        <v>299</v>
      </c>
      <c r="J1584" s="1">
        <v>45292</v>
      </c>
      <c r="K1584">
        <v>-18312000</v>
      </c>
    </row>
    <row r="1585" spans="5:11" x14ac:dyDescent="0.25">
      <c r="E1585" t="s">
        <v>3121</v>
      </c>
      <c r="F1585">
        <v>1072725</v>
      </c>
      <c r="G1585" s="1">
        <v>45382</v>
      </c>
      <c r="H1585" t="s">
        <v>3122</v>
      </c>
      <c r="I1585" t="s">
        <v>3015</v>
      </c>
      <c r="J1585" s="1">
        <v>45292</v>
      </c>
      <c r="K1585">
        <v>-1395027</v>
      </c>
    </row>
    <row r="1586" spans="5:11" x14ac:dyDescent="0.25">
      <c r="E1586" t="s">
        <v>3123</v>
      </c>
      <c r="F1586">
        <v>1074828</v>
      </c>
      <c r="G1586" s="1">
        <v>45382</v>
      </c>
      <c r="H1586" t="s">
        <v>3124</v>
      </c>
      <c r="I1586" t="s">
        <v>504</v>
      </c>
      <c r="J1586" s="1">
        <v>45292</v>
      </c>
      <c r="K1586">
        <v>-5397664</v>
      </c>
    </row>
    <row r="1587" spans="5:11" x14ac:dyDescent="0.25">
      <c r="E1587" t="s">
        <v>3125</v>
      </c>
      <c r="F1587">
        <v>1074902</v>
      </c>
      <c r="G1587" s="1">
        <v>45382</v>
      </c>
      <c r="H1587" t="s">
        <v>3126</v>
      </c>
      <c r="I1587" t="s">
        <v>60</v>
      </c>
      <c r="J1587" s="1">
        <v>45292</v>
      </c>
      <c r="K1587">
        <v>1915000</v>
      </c>
    </row>
    <row r="1588" spans="5:11" x14ac:dyDescent="0.25">
      <c r="E1588" t="s">
        <v>3127</v>
      </c>
      <c r="F1588">
        <v>1075415</v>
      </c>
      <c r="G1588" s="1">
        <v>45382</v>
      </c>
      <c r="H1588" t="s">
        <v>3128</v>
      </c>
      <c r="I1588" t="s">
        <v>24</v>
      </c>
      <c r="J1588" s="1">
        <v>45292</v>
      </c>
      <c r="K1588">
        <v>-86259000</v>
      </c>
    </row>
    <row r="1589" spans="5:11" x14ac:dyDescent="0.25">
      <c r="E1589" t="s">
        <v>3129</v>
      </c>
      <c r="F1589">
        <v>1075736</v>
      </c>
      <c r="G1589" s="1">
        <v>45382</v>
      </c>
      <c r="H1589" t="s">
        <v>3130</v>
      </c>
      <c r="I1589" t="s">
        <v>113</v>
      </c>
      <c r="J1589" s="1">
        <v>45292</v>
      </c>
      <c r="K1589">
        <v>434000</v>
      </c>
    </row>
    <row r="1590" spans="5:11" x14ac:dyDescent="0.25">
      <c r="E1590" t="s">
        <v>3131</v>
      </c>
      <c r="F1590">
        <v>1076930</v>
      </c>
      <c r="G1590" s="1">
        <v>45380</v>
      </c>
      <c r="H1590" t="s">
        <v>3132</v>
      </c>
      <c r="I1590" t="s">
        <v>24</v>
      </c>
      <c r="J1590" s="1">
        <v>45292</v>
      </c>
      <c r="K1590">
        <v>14676000</v>
      </c>
    </row>
    <row r="1591" spans="5:11" x14ac:dyDescent="0.25">
      <c r="E1591" t="s">
        <v>3133</v>
      </c>
      <c r="F1591">
        <v>1077183</v>
      </c>
      <c r="G1591" s="1">
        <v>45382</v>
      </c>
      <c r="H1591" t="s">
        <v>3134</v>
      </c>
      <c r="I1591" t="s">
        <v>33</v>
      </c>
      <c r="J1591" s="1">
        <v>45292</v>
      </c>
      <c r="K1591">
        <v>-27061000</v>
      </c>
    </row>
    <row r="1592" spans="5:11" x14ac:dyDescent="0.25">
      <c r="E1592" t="s">
        <v>3135</v>
      </c>
      <c r="F1592">
        <v>1077428</v>
      </c>
      <c r="G1592" s="1">
        <v>45382</v>
      </c>
      <c r="H1592" t="s">
        <v>3136</v>
      </c>
      <c r="I1592" t="s">
        <v>30</v>
      </c>
      <c r="J1592" s="1">
        <v>45292</v>
      </c>
      <c r="K1592">
        <v>26142000</v>
      </c>
    </row>
    <row r="1593" spans="5:11" x14ac:dyDescent="0.25">
      <c r="E1593" t="s">
        <v>3137</v>
      </c>
      <c r="F1593">
        <v>1077688</v>
      </c>
      <c r="G1593" s="1">
        <v>45410</v>
      </c>
      <c r="H1593" t="s">
        <v>3138</v>
      </c>
      <c r="I1593" t="s">
        <v>123</v>
      </c>
      <c r="J1593" s="1">
        <v>45320</v>
      </c>
      <c r="K1593">
        <v>-4091000</v>
      </c>
    </row>
    <row r="1594" spans="5:11" x14ac:dyDescent="0.25">
      <c r="E1594" t="s">
        <v>3139</v>
      </c>
      <c r="F1594">
        <v>1078271</v>
      </c>
      <c r="G1594" s="1">
        <v>45382</v>
      </c>
      <c r="H1594" t="s">
        <v>3140</v>
      </c>
      <c r="I1594" t="s">
        <v>172</v>
      </c>
      <c r="J1594" s="1">
        <v>45292</v>
      </c>
      <c r="K1594">
        <v>-64425000</v>
      </c>
    </row>
    <row r="1595" spans="5:11" x14ac:dyDescent="0.25">
      <c r="E1595" t="s">
        <v>3141</v>
      </c>
      <c r="F1595">
        <v>1080340</v>
      </c>
      <c r="G1595" s="1">
        <v>45382</v>
      </c>
      <c r="H1595" t="s">
        <v>3142</v>
      </c>
      <c r="I1595" t="s">
        <v>57</v>
      </c>
      <c r="J1595" s="1">
        <v>45292</v>
      </c>
      <c r="K1595">
        <v>1476211</v>
      </c>
    </row>
    <row r="1596" spans="5:11" x14ac:dyDescent="0.25">
      <c r="E1596" t="s">
        <v>3143</v>
      </c>
      <c r="F1596">
        <v>1080448</v>
      </c>
      <c r="G1596" s="1">
        <v>45382</v>
      </c>
      <c r="H1596" t="s">
        <v>3144</v>
      </c>
      <c r="I1596" t="s">
        <v>142</v>
      </c>
      <c r="J1596" s="1">
        <v>45292</v>
      </c>
      <c r="K1596">
        <v>-367108</v>
      </c>
    </row>
    <row r="1597" spans="5:11" x14ac:dyDescent="0.25">
      <c r="E1597" t="s">
        <v>3145</v>
      </c>
      <c r="F1597">
        <v>1080657</v>
      </c>
      <c r="G1597" s="1">
        <v>45382</v>
      </c>
      <c r="H1597" t="s">
        <v>3146</v>
      </c>
      <c r="I1597" t="s">
        <v>36</v>
      </c>
      <c r="J1597" s="1">
        <v>45292</v>
      </c>
      <c r="K1597">
        <v>-5241663</v>
      </c>
    </row>
    <row r="1598" spans="5:11" x14ac:dyDescent="0.25">
      <c r="E1598" t="s">
        <v>3147</v>
      </c>
      <c r="F1598">
        <v>1081316</v>
      </c>
      <c r="G1598" s="1">
        <v>45382</v>
      </c>
      <c r="H1598" t="s">
        <v>3148</v>
      </c>
      <c r="I1598" t="s">
        <v>95</v>
      </c>
      <c r="J1598" s="1">
        <v>45292</v>
      </c>
      <c r="K1598">
        <v>653000000</v>
      </c>
    </row>
    <row r="1599" spans="5:11" x14ac:dyDescent="0.25">
      <c r="E1599" t="s">
        <v>3149</v>
      </c>
      <c r="F1599">
        <v>1081745</v>
      </c>
      <c r="G1599" s="1">
        <v>45382</v>
      </c>
      <c r="H1599" t="s">
        <v>3150</v>
      </c>
      <c r="I1599" t="s">
        <v>60</v>
      </c>
      <c r="J1599" s="1">
        <v>45292</v>
      </c>
      <c r="K1599">
        <v>-174714</v>
      </c>
    </row>
    <row r="1600" spans="5:11" x14ac:dyDescent="0.25">
      <c r="E1600" t="s">
        <v>3151</v>
      </c>
      <c r="F1600">
        <v>1081834</v>
      </c>
      <c r="G1600" s="1">
        <v>45382</v>
      </c>
      <c r="H1600" t="s">
        <v>3152</v>
      </c>
      <c r="I1600" t="s">
        <v>2273</v>
      </c>
      <c r="J1600" s="1">
        <v>45292</v>
      </c>
      <c r="K1600">
        <v>610657</v>
      </c>
    </row>
    <row r="1601" spans="5:11" x14ac:dyDescent="0.25">
      <c r="E1601" t="s">
        <v>3153</v>
      </c>
      <c r="F1601">
        <v>1081938</v>
      </c>
      <c r="G1601" s="1">
        <v>45382</v>
      </c>
      <c r="H1601" t="s">
        <v>3154</v>
      </c>
      <c r="I1601" t="s">
        <v>3087</v>
      </c>
      <c r="J1601" s="1">
        <v>45292</v>
      </c>
      <c r="K1601">
        <v>-11715633</v>
      </c>
    </row>
    <row r="1602" spans="5:11" x14ac:dyDescent="0.25">
      <c r="E1602" t="s">
        <v>3155</v>
      </c>
      <c r="F1602">
        <v>1082038</v>
      </c>
      <c r="G1602" s="1">
        <v>45382</v>
      </c>
      <c r="H1602" t="s">
        <v>3156</v>
      </c>
      <c r="I1602" t="s">
        <v>36</v>
      </c>
      <c r="J1602" s="1">
        <v>45292</v>
      </c>
      <c r="K1602">
        <v>-7643000</v>
      </c>
    </row>
    <row r="1603" spans="5:11" x14ac:dyDescent="0.25">
      <c r="E1603" t="s">
        <v>3157</v>
      </c>
      <c r="F1603">
        <v>1082324</v>
      </c>
      <c r="G1603" s="1">
        <v>45382</v>
      </c>
      <c r="H1603" t="s">
        <v>3158</v>
      </c>
      <c r="I1603" t="s">
        <v>142</v>
      </c>
      <c r="J1603" s="1">
        <v>45292</v>
      </c>
      <c r="K1603">
        <v>-4291000</v>
      </c>
    </row>
    <row r="1604" spans="5:11" x14ac:dyDescent="0.25">
      <c r="E1604" t="s">
        <v>3159</v>
      </c>
      <c r="F1604">
        <v>1082554</v>
      </c>
      <c r="G1604" s="1">
        <v>45382</v>
      </c>
      <c r="H1604" t="s">
        <v>3160</v>
      </c>
      <c r="I1604" t="s">
        <v>299</v>
      </c>
      <c r="J1604" s="1">
        <v>45292</v>
      </c>
      <c r="K1604">
        <v>306600000</v>
      </c>
    </row>
    <row r="1605" spans="5:11" x14ac:dyDescent="0.25">
      <c r="E1605" t="s">
        <v>3161</v>
      </c>
      <c r="F1605">
        <v>1082733</v>
      </c>
      <c r="G1605" s="1">
        <v>45382</v>
      </c>
      <c r="H1605" t="s">
        <v>3162</v>
      </c>
      <c r="I1605" t="s">
        <v>123</v>
      </c>
      <c r="J1605" s="1">
        <v>45292</v>
      </c>
      <c r="K1605">
        <v>-478062</v>
      </c>
    </row>
    <row r="1606" spans="5:11" x14ac:dyDescent="0.25">
      <c r="E1606" t="s">
        <v>3163</v>
      </c>
      <c r="F1606">
        <v>1083220</v>
      </c>
      <c r="G1606" s="1">
        <v>45382</v>
      </c>
      <c r="H1606" t="s">
        <v>3164</v>
      </c>
      <c r="I1606" t="s">
        <v>57</v>
      </c>
      <c r="J1606" s="1">
        <v>45292</v>
      </c>
      <c r="K1606">
        <v>-6294000</v>
      </c>
    </row>
    <row r="1607" spans="5:11" x14ac:dyDescent="0.25">
      <c r="E1607" t="s">
        <v>3165</v>
      </c>
      <c r="F1607">
        <v>1083301</v>
      </c>
      <c r="G1607" s="1">
        <v>45382</v>
      </c>
      <c r="H1607" t="s">
        <v>3166</v>
      </c>
      <c r="I1607" t="s">
        <v>299</v>
      </c>
      <c r="J1607" s="1">
        <v>45292</v>
      </c>
      <c r="K1607">
        <v>-9613000</v>
      </c>
    </row>
    <row r="1608" spans="5:11" x14ac:dyDescent="0.25">
      <c r="E1608" t="s">
        <v>3167</v>
      </c>
      <c r="F1608">
        <v>1083446</v>
      </c>
      <c r="G1608" s="1">
        <v>45382</v>
      </c>
      <c r="H1608" t="s">
        <v>3168</v>
      </c>
      <c r="I1608" t="s">
        <v>36</v>
      </c>
      <c r="J1608" s="1">
        <v>45292</v>
      </c>
      <c r="K1608">
        <v>14835000</v>
      </c>
    </row>
    <row r="1609" spans="5:11" x14ac:dyDescent="0.25">
      <c r="E1609" t="s">
        <v>3169</v>
      </c>
      <c r="F1609">
        <v>1083490</v>
      </c>
      <c r="G1609" s="1">
        <v>45382</v>
      </c>
      <c r="H1609" t="s">
        <v>3170</v>
      </c>
      <c r="I1609" t="s">
        <v>1164</v>
      </c>
      <c r="J1609" s="1">
        <v>45292</v>
      </c>
      <c r="K1609">
        <v>-4798689</v>
      </c>
    </row>
    <row r="1610" spans="5:11" x14ac:dyDescent="0.25">
      <c r="E1610" t="s">
        <v>3171</v>
      </c>
      <c r="F1610">
        <v>1083522</v>
      </c>
      <c r="G1610" s="1">
        <v>45382</v>
      </c>
      <c r="H1610" t="s">
        <v>3172</v>
      </c>
      <c r="I1610" t="s">
        <v>504</v>
      </c>
      <c r="J1610" s="1">
        <v>45292</v>
      </c>
      <c r="K1610">
        <v>-1152000</v>
      </c>
    </row>
    <row r="1611" spans="5:11" x14ac:dyDescent="0.25">
      <c r="E1611" t="s">
        <v>3173</v>
      </c>
      <c r="F1611">
        <v>1083743</v>
      </c>
      <c r="G1611" s="1">
        <v>45382</v>
      </c>
      <c r="H1611" t="s">
        <v>3174</v>
      </c>
      <c r="I1611" t="s">
        <v>36</v>
      </c>
      <c r="J1611" s="1">
        <v>45292</v>
      </c>
      <c r="K1611">
        <v>-2640000</v>
      </c>
    </row>
    <row r="1612" spans="5:11" x14ac:dyDescent="0.25">
      <c r="E1612" t="s">
        <v>3175</v>
      </c>
      <c r="F1612">
        <v>1084048</v>
      </c>
      <c r="G1612" s="1">
        <v>45382</v>
      </c>
      <c r="H1612" t="s">
        <v>3176</v>
      </c>
      <c r="I1612" t="s">
        <v>57</v>
      </c>
      <c r="J1612" s="1">
        <v>45292</v>
      </c>
      <c r="K1612">
        <v>10627000</v>
      </c>
    </row>
    <row r="1613" spans="5:11" x14ac:dyDescent="0.25">
      <c r="E1613" t="s">
        <v>3177</v>
      </c>
      <c r="F1613">
        <v>1084133</v>
      </c>
      <c r="G1613" s="1">
        <v>45382</v>
      </c>
      <c r="H1613" t="s">
        <v>3178</v>
      </c>
      <c r="I1613" t="s">
        <v>101</v>
      </c>
      <c r="J1613" s="1">
        <v>45292</v>
      </c>
      <c r="K1613">
        <v>152067</v>
      </c>
    </row>
    <row r="1614" spans="5:11" x14ac:dyDescent="0.25">
      <c r="E1614" t="s">
        <v>3179</v>
      </c>
      <c r="F1614">
        <v>1084267</v>
      </c>
      <c r="G1614" s="1">
        <v>45382</v>
      </c>
      <c r="H1614" t="s">
        <v>3180</v>
      </c>
      <c r="I1614" t="s">
        <v>57</v>
      </c>
      <c r="J1614" s="1">
        <v>45292</v>
      </c>
      <c r="K1614">
        <v>-1042260</v>
      </c>
    </row>
    <row r="1615" spans="5:11" x14ac:dyDescent="0.25">
      <c r="E1615" t="s">
        <v>3181</v>
      </c>
      <c r="F1615">
        <v>1084475</v>
      </c>
      <c r="G1615" s="1">
        <v>45382</v>
      </c>
      <c r="H1615" t="s">
        <v>3182</v>
      </c>
      <c r="I1615" t="s">
        <v>36</v>
      </c>
      <c r="J1615" s="1">
        <v>45292</v>
      </c>
      <c r="K1615">
        <v>1531480</v>
      </c>
    </row>
    <row r="1616" spans="5:11" x14ac:dyDescent="0.25">
      <c r="E1616" t="s">
        <v>3183</v>
      </c>
      <c r="F1616">
        <v>1084554</v>
      </c>
      <c r="G1616" s="1">
        <v>45382</v>
      </c>
      <c r="H1616" t="s">
        <v>3184</v>
      </c>
      <c r="I1616" t="s">
        <v>123</v>
      </c>
      <c r="J1616" s="1">
        <v>45292</v>
      </c>
      <c r="K1616">
        <v>-2819584</v>
      </c>
    </row>
    <row r="1617" spans="5:11" x14ac:dyDescent="0.25">
      <c r="E1617" t="s">
        <v>3185</v>
      </c>
      <c r="F1617">
        <v>1084765</v>
      </c>
      <c r="G1617" s="1">
        <v>45346</v>
      </c>
      <c r="H1617" t="s">
        <v>3186</v>
      </c>
      <c r="I1617" t="s">
        <v>36</v>
      </c>
      <c r="J1617" s="1">
        <v>45256</v>
      </c>
      <c r="K1617">
        <v>2550000</v>
      </c>
    </row>
    <row r="1618" spans="5:11" x14ac:dyDescent="0.25">
      <c r="E1618" t="s">
        <v>3187</v>
      </c>
      <c r="F1618">
        <v>1084869</v>
      </c>
      <c r="G1618" s="1">
        <v>45382</v>
      </c>
      <c r="H1618" t="s">
        <v>3188</v>
      </c>
      <c r="I1618" t="s">
        <v>57</v>
      </c>
      <c r="J1618" s="1">
        <v>45292</v>
      </c>
      <c r="K1618">
        <v>-16903000</v>
      </c>
    </row>
    <row r="1619" spans="5:11" x14ac:dyDescent="0.25">
      <c r="E1619" t="s">
        <v>3189</v>
      </c>
      <c r="F1619">
        <v>1084961</v>
      </c>
      <c r="G1619" s="1">
        <v>45382</v>
      </c>
      <c r="H1619" t="s">
        <v>3190</v>
      </c>
      <c r="I1619" t="s">
        <v>36</v>
      </c>
      <c r="J1619" s="1">
        <v>45292</v>
      </c>
      <c r="K1619">
        <v>23239000</v>
      </c>
    </row>
    <row r="1620" spans="5:11" x14ac:dyDescent="0.25">
      <c r="E1620" t="s">
        <v>3191</v>
      </c>
      <c r="F1620">
        <v>1084991</v>
      </c>
      <c r="G1620" s="1">
        <v>45382</v>
      </c>
      <c r="H1620" t="s">
        <v>3192</v>
      </c>
      <c r="I1620" t="s">
        <v>30</v>
      </c>
      <c r="J1620" s="1">
        <v>45292</v>
      </c>
      <c r="K1620">
        <v>5098000</v>
      </c>
    </row>
    <row r="1621" spans="5:11" x14ac:dyDescent="0.25">
      <c r="E1621" t="s">
        <v>3193</v>
      </c>
      <c r="F1621">
        <v>1085243</v>
      </c>
      <c r="G1621" s="1">
        <v>45382</v>
      </c>
      <c r="H1621" t="s">
        <v>3194</v>
      </c>
      <c r="I1621" t="s">
        <v>113</v>
      </c>
      <c r="J1621" s="1">
        <v>45292</v>
      </c>
      <c r="K1621">
        <v>1216173</v>
      </c>
    </row>
    <row r="1622" spans="5:11" x14ac:dyDescent="0.25">
      <c r="E1622" t="s">
        <v>3195</v>
      </c>
      <c r="F1622">
        <v>1085277</v>
      </c>
      <c r="G1622" s="1">
        <v>45382</v>
      </c>
      <c r="H1622" t="s">
        <v>3196</v>
      </c>
      <c r="I1622" t="s">
        <v>142</v>
      </c>
      <c r="J1622" s="1">
        <v>45292</v>
      </c>
      <c r="K1622">
        <v>-290372</v>
      </c>
    </row>
    <row r="1623" spans="5:11" x14ac:dyDescent="0.25">
      <c r="E1623" t="s">
        <v>3197</v>
      </c>
      <c r="F1623">
        <v>1085392</v>
      </c>
      <c r="G1623" s="1">
        <v>45382</v>
      </c>
      <c r="H1623" t="s">
        <v>3198</v>
      </c>
      <c r="I1623" t="s">
        <v>504</v>
      </c>
      <c r="J1623" s="1">
        <v>45292</v>
      </c>
      <c r="K1623">
        <v>129909000</v>
      </c>
    </row>
    <row r="1624" spans="5:11" x14ac:dyDescent="0.25">
      <c r="E1624" t="s">
        <v>3199</v>
      </c>
      <c r="F1624">
        <v>1085869</v>
      </c>
      <c r="G1624" s="1">
        <v>45382</v>
      </c>
      <c r="H1624" t="s">
        <v>3200</v>
      </c>
      <c r="I1624" t="s">
        <v>137</v>
      </c>
      <c r="J1624" s="1">
        <v>45292</v>
      </c>
      <c r="K1624">
        <v>11555000</v>
      </c>
    </row>
    <row r="1625" spans="5:11" x14ac:dyDescent="0.25">
      <c r="E1625" t="s">
        <v>3201</v>
      </c>
      <c r="F1625">
        <v>1085913</v>
      </c>
      <c r="G1625" s="1">
        <v>45382</v>
      </c>
      <c r="H1625" t="s">
        <v>3202</v>
      </c>
      <c r="I1625" t="s">
        <v>36</v>
      </c>
      <c r="J1625" s="1">
        <v>45292</v>
      </c>
      <c r="K1625">
        <v>22723000</v>
      </c>
    </row>
    <row r="1626" spans="5:11" x14ac:dyDescent="0.25">
      <c r="E1626" t="s">
        <v>3203</v>
      </c>
      <c r="F1626">
        <v>1086222</v>
      </c>
      <c r="G1626" s="1">
        <v>45382</v>
      </c>
      <c r="H1626" t="s">
        <v>3204</v>
      </c>
      <c r="I1626" t="s">
        <v>24</v>
      </c>
      <c r="J1626" s="1">
        <v>45292</v>
      </c>
      <c r="K1626">
        <v>175418000</v>
      </c>
    </row>
    <row r="1627" spans="5:11" x14ac:dyDescent="0.25">
      <c r="E1627" t="s">
        <v>3205</v>
      </c>
      <c r="F1627">
        <v>1086303</v>
      </c>
      <c r="G1627" s="1">
        <v>45382</v>
      </c>
      <c r="H1627" t="s">
        <v>3206</v>
      </c>
      <c r="I1627" t="s">
        <v>1164</v>
      </c>
      <c r="J1627" s="1">
        <v>45292</v>
      </c>
      <c r="K1627">
        <v>-96569</v>
      </c>
    </row>
    <row r="1628" spans="5:11" x14ac:dyDescent="0.25">
      <c r="E1628" t="s">
        <v>3207</v>
      </c>
      <c r="F1628">
        <v>1086600</v>
      </c>
      <c r="G1628" s="1">
        <v>45382</v>
      </c>
      <c r="H1628" t="s">
        <v>3208</v>
      </c>
      <c r="I1628" t="s">
        <v>277</v>
      </c>
      <c r="J1628" s="1">
        <v>45292</v>
      </c>
      <c r="K1628">
        <v>158057000</v>
      </c>
    </row>
    <row r="1629" spans="5:11" x14ac:dyDescent="0.25">
      <c r="E1629" t="s">
        <v>3209</v>
      </c>
      <c r="F1629">
        <v>1086745</v>
      </c>
      <c r="G1629" s="1">
        <v>45382</v>
      </c>
      <c r="H1629" t="s">
        <v>3210</v>
      </c>
      <c r="I1629" t="s">
        <v>30</v>
      </c>
      <c r="J1629" s="1">
        <v>45292</v>
      </c>
      <c r="K1629">
        <v>-3638752</v>
      </c>
    </row>
    <row r="1630" spans="5:11" x14ac:dyDescent="0.25">
      <c r="E1630" t="s">
        <v>3211</v>
      </c>
      <c r="F1630">
        <v>1087294</v>
      </c>
      <c r="G1630" s="1">
        <v>45382</v>
      </c>
      <c r="H1630" t="s">
        <v>3212</v>
      </c>
      <c r="I1630" t="s">
        <v>69</v>
      </c>
      <c r="J1630" s="1">
        <v>45292</v>
      </c>
      <c r="K1630">
        <v>-1946263</v>
      </c>
    </row>
    <row r="1631" spans="5:11" x14ac:dyDescent="0.25">
      <c r="E1631" t="s">
        <v>3213</v>
      </c>
      <c r="F1631">
        <v>1088034</v>
      </c>
      <c r="G1631" s="1">
        <v>45382</v>
      </c>
      <c r="H1631" t="s">
        <v>3214</v>
      </c>
      <c r="I1631" t="s">
        <v>30</v>
      </c>
      <c r="J1631" s="1">
        <v>45292</v>
      </c>
      <c r="K1631">
        <v>-250188</v>
      </c>
    </row>
    <row r="1632" spans="5:11" x14ac:dyDescent="0.25">
      <c r="E1632" t="s">
        <v>3215</v>
      </c>
      <c r="F1632">
        <v>1088638</v>
      </c>
      <c r="G1632" s="1">
        <v>45382</v>
      </c>
      <c r="H1632" t="s">
        <v>3216</v>
      </c>
      <c r="I1632" t="s">
        <v>64</v>
      </c>
      <c r="J1632" s="1">
        <v>45292</v>
      </c>
      <c r="K1632">
        <v>47650</v>
      </c>
    </row>
    <row r="1633" spans="5:11" x14ac:dyDescent="0.25">
      <c r="E1633" t="s">
        <v>10416</v>
      </c>
      <c r="F1633">
        <v>1088856</v>
      </c>
      <c r="G1633" s="1">
        <v>45382</v>
      </c>
      <c r="H1633" t="s">
        <v>3217</v>
      </c>
      <c r="I1633" t="s">
        <v>36</v>
      </c>
      <c r="J1633" s="1">
        <v>45292</v>
      </c>
      <c r="K1633">
        <v>27762000</v>
      </c>
    </row>
    <row r="1634" spans="5:11" x14ac:dyDescent="0.25">
      <c r="E1634" t="s">
        <v>3218</v>
      </c>
      <c r="F1634">
        <v>1089815</v>
      </c>
      <c r="G1634" s="1">
        <v>45382</v>
      </c>
      <c r="H1634" t="s">
        <v>3219</v>
      </c>
      <c r="I1634" t="s">
        <v>36</v>
      </c>
      <c r="J1634" s="1">
        <v>45292</v>
      </c>
      <c r="K1634">
        <v>-312000</v>
      </c>
    </row>
    <row r="1635" spans="5:11" x14ac:dyDescent="0.25">
      <c r="E1635" t="s">
        <v>3220</v>
      </c>
      <c r="F1635">
        <v>1089872</v>
      </c>
      <c r="G1635" s="1">
        <v>45382</v>
      </c>
      <c r="H1635" t="s">
        <v>3221</v>
      </c>
      <c r="I1635" t="s">
        <v>92</v>
      </c>
      <c r="J1635" s="1">
        <v>45292</v>
      </c>
      <c r="K1635">
        <v>-971000</v>
      </c>
    </row>
    <row r="1636" spans="5:11" x14ac:dyDescent="0.25">
      <c r="E1636" t="s">
        <v>3222</v>
      </c>
      <c r="F1636">
        <v>1089907</v>
      </c>
      <c r="G1636" s="1">
        <v>45382</v>
      </c>
      <c r="H1636" t="s">
        <v>3223</v>
      </c>
      <c r="I1636" t="s">
        <v>30</v>
      </c>
      <c r="J1636" s="1">
        <v>45292</v>
      </c>
      <c r="K1636">
        <v>126000</v>
      </c>
    </row>
    <row r="1637" spans="5:11" x14ac:dyDescent="0.25">
      <c r="E1637" t="s">
        <v>3224</v>
      </c>
      <c r="F1637">
        <v>1090009</v>
      </c>
      <c r="G1637" s="1">
        <v>45382</v>
      </c>
      <c r="H1637" t="s">
        <v>3225</v>
      </c>
      <c r="I1637" t="s">
        <v>686</v>
      </c>
      <c r="J1637" s="1">
        <v>45292</v>
      </c>
      <c r="K1637">
        <v>2522000</v>
      </c>
    </row>
    <row r="1638" spans="5:11" x14ac:dyDescent="0.25">
      <c r="E1638" t="s">
        <v>3226</v>
      </c>
      <c r="F1638">
        <v>1090012</v>
      </c>
      <c r="G1638" s="1">
        <v>45382</v>
      </c>
      <c r="H1638" t="s">
        <v>3227</v>
      </c>
      <c r="I1638" t="s">
        <v>277</v>
      </c>
      <c r="J1638" s="1">
        <v>45292</v>
      </c>
      <c r="K1638">
        <v>596000000</v>
      </c>
    </row>
    <row r="1639" spans="5:11" x14ac:dyDescent="0.25">
      <c r="E1639" t="s">
        <v>3228</v>
      </c>
      <c r="F1639">
        <v>1090396</v>
      </c>
      <c r="G1639" s="1">
        <v>45382</v>
      </c>
      <c r="H1639" t="s">
        <v>3229</v>
      </c>
      <c r="I1639" t="s">
        <v>213</v>
      </c>
      <c r="J1639" s="1">
        <v>45292</v>
      </c>
      <c r="K1639">
        <v>11661</v>
      </c>
    </row>
    <row r="1640" spans="5:11" x14ac:dyDescent="0.25">
      <c r="E1640" t="s">
        <v>3230</v>
      </c>
      <c r="F1640">
        <v>1090425</v>
      </c>
      <c r="G1640" s="1">
        <v>45382</v>
      </c>
      <c r="H1640" t="s">
        <v>3231</v>
      </c>
      <c r="I1640" t="s">
        <v>179</v>
      </c>
      <c r="J1640" s="1">
        <v>45292</v>
      </c>
      <c r="K1640">
        <v>78224000</v>
      </c>
    </row>
    <row r="1641" spans="5:11" x14ac:dyDescent="0.25">
      <c r="E1641" t="s">
        <v>3232</v>
      </c>
      <c r="F1641">
        <v>1090727</v>
      </c>
      <c r="G1641" s="1">
        <v>45382</v>
      </c>
      <c r="H1641" t="s">
        <v>3233</v>
      </c>
      <c r="I1641" t="s">
        <v>64</v>
      </c>
      <c r="J1641" s="1">
        <v>45292</v>
      </c>
      <c r="K1641">
        <v>1113000000</v>
      </c>
    </row>
    <row r="1642" spans="5:11" x14ac:dyDescent="0.25">
      <c r="E1642" t="s">
        <v>3234</v>
      </c>
      <c r="F1642">
        <v>1090872</v>
      </c>
      <c r="G1642" s="1">
        <v>45412</v>
      </c>
      <c r="H1642" t="s">
        <v>3235</v>
      </c>
      <c r="I1642" t="s">
        <v>36</v>
      </c>
      <c r="J1642" s="1">
        <v>45323</v>
      </c>
      <c r="K1642">
        <v>308000000</v>
      </c>
    </row>
    <row r="1643" spans="5:11" x14ac:dyDescent="0.25">
      <c r="E1643" t="s">
        <v>3236</v>
      </c>
      <c r="F1643">
        <v>1091596</v>
      </c>
      <c r="G1643" s="1">
        <v>45382</v>
      </c>
      <c r="H1643" t="s">
        <v>3237</v>
      </c>
      <c r="I1643" t="s">
        <v>30</v>
      </c>
      <c r="J1643" s="1">
        <v>45292</v>
      </c>
      <c r="K1643">
        <v>-708781</v>
      </c>
    </row>
    <row r="1644" spans="5:11" x14ac:dyDescent="0.25">
      <c r="E1644" t="s">
        <v>3238</v>
      </c>
      <c r="F1644">
        <v>1091667</v>
      </c>
      <c r="G1644" s="1">
        <v>45382</v>
      </c>
      <c r="H1644" t="s">
        <v>3239</v>
      </c>
      <c r="I1644" t="s">
        <v>27</v>
      </c>
      <c r="J1644" s="1">
        <v>45292</v>
      </c>
      <c r="K1644">
        <v>1106000000</v>
      </c>
    </row>
    <row r="1645" spans="5:11" x14ac:dyDescent="0.25">
      <c r="E1645" t="s">
        <v>3240</v>
      </c>
      <c r="F1645">
        <v>1091748</v>
      </c>
      <c r="G1645" s="1">
        <v>45382</v>
      </c>
      <c r="H1645" t="s">
        <v>3241</v>
      </c>
      <c r="I1645" t="s">
        <v>57</v>
      </c>
      <c r="J1645" s="1">
        <v>45292</v>
      </c>
      <c r="K1645">
        <v>25600000</v>
      </c>
    </row>
    <row r="1646" spans="5:11" x14ac:dyDescent="0.25">
      <c r="E1646" t="s">
        <v>3242</v>
      </c>
      <c r="F1646">
        <v>1092699</v>
      </c>
      <c r="G1646" s="1">
        <v>45382</v>
      </c>
      <c r="H1646" t="s">
        <v>3243</v>
      </c>
      <c r="I1646" t="s">
        <v>213</v>
      </c>
      <c r="J1646" s="1">
        <v>45292</v>
      </c>
      <c r="K1646">
        <v>18003000</v>
      </c>
    </row>
    <row r="1647" spans="5:11" x14ac:dyDescent="0.25">
      <c r="E1647" t="s">
        <v>3244</v>
      </c>
      <c r="F1647">
        <v>1093557</v>
      </c>
      <c r="G1647" s="1">
        <v>45382</v>
      </c>
      <c r="H1647" t="s">
        <v>3245</v>
      </c>
      <c r="I1647" t="s">
        <v>36</v>
      </c>
      <c r="J1647" s="1">
        <v>45292</v>
      </c>
      <c r="K1647">
        <v>146400000</v>
      </c>
    </row>
    <row r="1648" spans="5:11" x14ac:dyDescent="0.25">
      <c r="E1648" t="s">
        <v>3246</v>
      </c>
      <c r="F1648">
        <v>1093672</v>
      </c>
      <c r="G1648" s="1">
        <v>45382</v>
      </c>
      <c r="H1648" t="s">
        <v>3247</v>
      </c>
      <c r="I1648" t="s">
        <v>172</v>
      </c>
      <c r="J1648" s="1">
        <v>45292</v>
      </c>
      <c r="K1648">
        <v>3948000</v>
      </c>
    </row>
    <row r="1649" spans="5:11" x14ac:dyDescent="0.25">
      <c r="E1649" t="s">
        <v>3248</v>
      </c>
      <c r="F1649">
        <v>1093691</v>
      </c>
      <c r="G1649" s="1">
        <v>45382</v>
      </c>
      <c r="H1649" t="s">
        <v>3249</v>
      </c>
      <c r="I1649" t="s">
        <v>57</v>
      </c>
      <c r="J1649" s="1">
        <v>45292</v>
      </c>
      <c r="K1649">
        <v>-295776000</v>
      </c>
    </row>
    <row r="1650" spans="5:11" x14ac:dyDescent="0.25">
      <c r="E1650" t="s">
        <v>3250</v>
      </c>
      <c r="F1650">
        <v>1094038</v>
      </c>
      <c r="G1650" s="1">
        <v>45382</v>
      </c>
      <c r="H1650" t="s">
        <v>3251</v>
      </c>
      <c r="I1650" t="s">
        <v>30</v>
      </c>
      <c r="J1650" s="1">
        <v>45292</v>
      </c>
      <c r="K1650">
        <v>-2392822</v>
      </c>
    </row>
    <row r="1651" spans="5:11" x14ac:dyDescent="0.25">
      <c r="E1651" t="s">
        <v>10417</v>
      </c>
      <c r="F1651">
        <v>1094285</v>
      </c>
      <c r="G1651" s="1">
        <v>45382</v>
      </c>
      <c r="H1651" t="s">
        <v>3252</v>
      </c>
      <c r="I1651" t="s">
        <v>36</v>
      </c>
      <c r="J1651" s="1">
        <v>45292</v>
      </c>
      <c r="K1651">
        <v>178500000</v>
      </c>
    </row>
    <row r="1652" spans="5:11" x14ac:dyDescent="0.25">
      <c r="E1652" t="s">
        <v>3253</v>
      </c>
      <c r="F1652">
        <v>1094831</v>
      </c>
      <c r="G1652" s="1">
        <v>45382</v>
      </c>
      <c r="H1652" t="s">
        <v>3254</v>
      </c>
      <c r="I1652" t="s">
        <v>57</v>
      </c>
      <c r="J1652" s="1">
        <v>45292</v>
      </c>
      <c r="K1652">
        <v>49210000</v>
      </c>
    </row>
    <row r="1653" spans="5:11" x14ac:dyDescent="0.25">
      <c r="E1653" t="s">
        <v>3255</v>
      </c>
      <c r="F1653">
        <v>1095073</v>
      </c>
      <c r="G1653" s="1">
        <v>45382</v>
      </c>
      <c r="H1653" t="s">
        <v>3256</v>
      </c>
      <c r="I1653" t="s">
        <v>919</v>
      </c>
      <c r="J1653" s="1">
        <v>45292</v>
      </c>
      <c r="K1653">
        <v>733000000</v>
      </c>
    </row>
    <row r="1654" spans="5:11" x14ac:dyDescent="0.25">
      <c r="E1654" t="s">
        <v>10418</v>
      </c>
      <c r="F1654">
        <v>1095565</v>
      </c>
      <c r="G1654" s="1">
        <v>45382</v>
      </c>
      <c r="H1654" t="s">
        <v>3257</v>
      </c>
      <c r="I1654" t="s">
        <v>69</v>
      </c>
      <c r="J1654" s="1">
        <v>45292</v>
      </c>
      <c r="K1654">
        <v>5227000</v>
      </c>
    </row>
    <row r="1655" spans="5:11" x14ac:dyDescent="0.25">
      <c r="E1655" t="s">
        <v>3258</v>
      </c>
      <c r="F1655">
        <v>1095651</v>
      </c>
      <c r="G1655" s="1">
        <v>45382</v>
      </c>
      <c r="H1655" t="s">
        <v>3259</v>
      </c>
      <c r="I1655" t="s">
        <v>57</v>
      </c>
      <c r="J1655" s="1">
        <v>45292</v>
      </c>
      <c r="K1655">
        <v>30728000</v>
      </c>
    </row>
    <row r="1656" spans="5:11" x14ac:dyDescent="0.25">
      <c r="E1656" t="s">
        <v>3260</v>
      </c>
      <c r="F1656">
        <v>1095981</v>
      </c>
      <c r="G1656" s="1">
        <v>45382</v>
      </c>
      <c r="H1656" t="s">
        <v>3261</v>
      </c>
      <c r="I1656" t="s">
        <v>30</v>
      </c>
      <c r="J1656" s="1">
        <v>45292</v>
      </c>
      <c r="K1656">
        <v>-3261000</v>
      </c>
    </row>
    <row r="1657" spans="5:11" x14ac:dyDescent="0.25">
      <c r="E1657" t="s">
        <v>10419</v>
      </c>
      <c r="F1657">
        <v>1096056</v>
      </c>
      <c r="G1657" s="1">
        <v>45382</v>
      </c>
      <c r="H1657" t="s">
        <v>3262</v>
      </c>
      <c r="I1657" t="s">
        <v>83</v>
      </c>
      <c r="J1657" s="1">
        <v>45292</v>
      </c>
      <c r="K1657">
        <v>2700000</v>
      </c>
    </row>
    <row r="1658" spans="5:11" x14ac:dyDescent="0.25">
      <c r="E1658" t="s">
        <v>3263</v>
      </c>
      <c r="F1658">
        <v>1096275</v>
      </c>
      <c r="G1658" s="1">
        <v>45382</v>
      </c>
      <c r="H1658" t="s">
        <v>3264</v>
      </c>
      <c r="I1658" t="s">
        <v>57</v>
      </c>
      <c r="J1658" s="1">
        <v>45292</v>
      </c>
      <c r="K1658">
        <v>-3714657</v>
      </c>
    </row>
    <row r="1659" spans="5:11" x14ac:dyDescent="0.25">
      <c r="E1659" t="s">
        <v>3265</v>
      </c>
      <c r="F1659">
        <v>1096343</v>
      </c>
      <c r="G1659" s="1">
        <v>45382</v>
      </c>
      <c r="H1659" t="s">
        <v>3266</v>
      </c>
      <c r="I1659" t="s">
        <v>123</v>
      </c>
      <c r="J1659" s="1">
        <v>45292</v>
      </c>
      <c r="K1659">
        <v>1025184000</v>
      </c>
    </row>
    <row r="1660" spans="5:11" x14ac:dyDescent="0.25">
      <c r="E1660" t="s">
        <v>3267</v>
      </c>
      <c r="F1660">
        <v>1096752</v>
      </c>
      <c r="G1660" s="1">
        <v>45382</v>
      </c>
      <c r="H1660" t="s">
        <v>3268</v>
      </c>
      <c r="I1660" t="s">
        <v>27</v>
      </c>
      <c r="J1660" s="1">
        <v>45292</v>
      </c>
      <c r="K1660">
        <v>36000000</v>
      </c>
    </row>
    <row r="1661" spans="5:11" x14ac:dyDescent="0.25">
      <c r="E1661" t="s">
        <v>3269</v>
      </c>
      <c r="F1661">
        <v>1096938</v>
      </c>
      <c r="G1661" s="1">
        <v>45382</v>
      </c>
      <c r="H1661" t="s">
        <v>3270</v>
      </c>
      <c r="I1661" t="s">
        <v>46</v>
      </c>
      <c r="J1661" s="1">
        <v>45292</v>
      </c>
      <c r="K1661">
        <v>-451938</v>
      </c>
    </row>
    <row r="1662" spans="5:11" x14ac:dyDescent="0.25">
      <c r="E1662" t="s">
        <v>3271</v>
      </c>
      <c r="F1662">
        <v>1097149</v>
      </c>
      <c r="G1662" s="1">
        <v>45382</v>
      </c>
      <c r="H1662" t="s">
        <v>3272</v>
      </c>
      <c r="I1662" t="s">
        <v>113</v>
      </c>
      <c r="J1662" s="1">
        <v>45292</v>
      </c>
      <c r="K1662">
        <v>105028000</v>
      </c>
    </row>
    <row r="1663" spans="5:11" x14ac:dyDescent="0.25">
      <c r="E1663" t="s">
        <v>3273</v>
      </c>
      <c r="F1663">
        <v>1097864</v>
      </c>
      <c r="G1663" s="1">
        <v>45380</v>
      </c>
      <c r="H1663" t="s">
        <v>3274</v>
      </c>
      <c r="I1663" t="s">
        <v>113</v>
      </c>
      <c r="J1663" s="1">
        <v>45292</v>
      </c>
      <c r="K1663">
        <v>453000000</v>
      </c>
    </row>
    <row r="1664" spans="5:11" x14ac:dyDescent="0.25">
      <c r="E1664" t="s">
        <v>3275</v>
      </c>
      <c r="F1664">
        <v>1098009</v>
      </c>
      <c r="G1664" s="1">
        <v>45382</v>
      </c>
      <c r="H1664" t="s">
        <v>3276</v>
      </c>
      <c r="I1664" t="s">
        <v>36</v>
      </c>
      <c r="J1664" s="1">
        <v>45292</v>
      </c>
      <c r="K1664">
        <v>-226550</v>
      </c>
    </row>
    <row r="1665" spans="5:11" x14ac:dyDescent="0.25">
      <c r="E1665" t="s">
        <v>3277</v>
      </c>
      <c r="F1665">
        <v>1098146</v>
      </c>
      <c r="G1665" s="1">
        <v>45382</v>
      </c>
      <c r="H1665" t="s">
        <v>3278</v>
      </c>
      <c r="I1665" t="s">
        <v>27</v>
      </c>
      <c r="J1665" s="1">
        <v>45292</v>
      </c>
      <c r="K1665">
        <v>-299000</v>
      </c>
    </row>
    <row r="1666" spans="5:11" x14ac:dyDescent="0.25">
      <c r="E1666" t="s">
        <v>3279</v>
      </c>
      <c r="F1666">
        <v>1098151</v>
      </c>
      <c r="G1666" s="1">
        <v>45382</v>
      </c>
      <c r="H1666" t="s">
        <v>3280</v>
      </c>
      <c r="I1666" t="s">
        <v>39</v>
      </c>
      <c r="J1666" s="1">
        <v>45292</v>
      </c>
      <c r="K1666">
        <v>5057000</v>
      </c>
    </row>
    <row r="1667" spans="5:11" x14ac:dyDescent="0.25">
      <c r="E1667" t="s">
        <v>3281</v>
      </c>
      <c r="F1667">
        <v>1098880</v>
      </c>
      <c r="G1667" s="1">
        <v>45382</v>
      </c>
      <c r="H1667" t="s">
        <v>3282</v>
      </c>
      <c r="I1667" t="s">
        <v>2052</v>
      </c>
      <c r="J1667" s="1">
        <v>45292</v>
      </c>
      <c r="K1667">
        <v>-4027000</v>
      </c>
    </row>
    <row r="1668" spans="5:11" x14ac:dyDescent="0.25">
      <c r="E1668" t="s">
        <v>3283</v>
      </c>
      <c r="F1668">
        <v>1099132</v>
      </c>
      <c r="G1668" s="1">
        <v>45382</v>
      </c>
      <c r="H1668" t="s">
        <v>3284</v>
      </c>
      <c r="I1668" t="s">
        <v>57</v>
      </c>
      <c r="J1668" s="1">
        <v>45292</v>
      </c>
      <c r="K1668">
        <v>-382000</v>
      </c>
    </row>
    <row r="1669" spans="5:11" x14ac:dyDescent="0.25">
      <c r="E1669" t="s">
        <v>3285</v>
      </c>
      <c r="F1669">
        <v>1099160</v>
      </c>
      <c r="G1669" s="1">
        <v>45382</v>
      </c>
      <c r="H1669" t="s">
        <v>3286</v>
      </c>
      <c r="I1669" t="s">
        <v>33</v>
      </c>
      <c r="J1669" s="1">
        <v>45292</v>
      </c>
      <c r="K1669">
        <v>7970</v>
      </c>
    </row>
    <row r="1670" spans="5:11" x14ac:dyDescent="0.25">
      <c r="E1670" t="s">
        <v>3287</v>
      </c>
      <c r="F1670">
        <v>1099219</v>
      </c>
      <c r="G1670" s="1">
        <v>45382</v>
      </c>
      <c r="H1670" t="s">
        <v>3288</v>
      </c>
      <c r="I1670" t="s">
        <v>57</v>
      </c>
      <c r="J1670" s="1">
        <v>45292</v>
      </c>
      <c r="K1670">
        <v>867000000</v>
      </c>
    </row>
    <row r="1671" spans="5:11" x14ac:dyDescent="0.25">
      <c r="E1671" t="s">
        <v>3289</v>
      </c>
      <c r="F1671">
        <v>1099369</v>
      </c>
      <c r="G1671" s="1">
        <v>45351</v>
      </c>
      <c r="H1671" t="s">
        <v>3290</v>
      </c>
      <c r="I1671" t="s">
        <v>2552</v>
      </c>
      <c r="J1671" s="1">
        <v>45261</v>
      </c>
      <c r="K1671">
        <v>-130012</v>
      </c>
    </row>
    <row r="1672" spans="5:11" x14ac:dyDescent="0.25">
      <c r="E1672" t="s">
        <v>3291</v>
      </c>
      <c r="F1672">
        <v>1099590</v>
      </c>
      <c r="G1672" s="1">
        <v>45382</v>
      </c>
      <c r="H1672" t="s">
        <v>3292</v>
      </c>
      <c r="I1672" t="s">
        <v>3293</v>
      </c>
      <c r="J1672" s="1">
        <v>45292</v>
      </c>
      <c r="K1672">
        <v>344000000</v>
      </c>
    </row>
    <row r="1673" spans="5:11" x14ac:dyDescent="0.25">
      <c r="E1673" t="s">
        <v>3294</v>
      </c>
      <c r="F1673">
        <v>1099800</v>
      </c>
      <c r="G1673" s="1">
        <v>45382</v>
      </c>
      <c r="H1673" t="s">
        <v>3295</v>
      </c>
      <c r="I1673" t="s">
        <v>36</v>
      </c>
      <c r="J1673" s="1">
        <v>45292</v>
      </c>
      <c r="K1673">
        <v>351900000</v>
      </c>
    </row>
    <row r="1674" spans="5:11" x14ac:dyDescent="0.25">
      <c r="E1674" t="s">
        <v>3296</v>
      </c>
      <c r="F1674">
        <v>1100682</v>
      </c>
      <c r="G1674" s="1">
        <v>45381</v>
      </c>
      <c r="H1674" t="s">
        <v>3297</v>
      </c>
      <c r="I1674" t="s">
        <v>24</v>
      </c>
      <c r="J1674" s="1">
        <v>45291</v>
      </c>
      <c r="K1674">
        <v>72960000</v>
      </c>
    </row>
    <row r="1675" spans="5:11" x14ac:dyDescent="0.25">
      <c r="E1675" t="s">
        <v>3298</v>
      </c>
      <c r="F1675">
        <v>1101026</v>
      </c>
      <c r="G1675" s="1">
        <v>45382</v>
      </c>
      <c r="H1675" t="s">
        <v>3299</v>
      </c>
      <c r="I1675" t="s">
        <v>329</v>
      </c>
      <c r="J1675" s="1">
        <v>45292</v>
      </c>
      <c r="K1675">
        <v>-1278486</v>
      </c>
    </row>
    <row r="1676" spans="5:11" x14ac:dyDescent="0.25">
      <c r="E1676" t="s">
        <v>3300</v>
      </c>
      <c r="F1676">
        <v>1101215</v>
      </c>
      <c r="G1676" s="1">
        <v>45382</v>
      </c>
      <c r="H1676" t="s">
        <v>3301</v>
      </c>
      <c r="I1676" t="s">
        <v>60</v>
      </c>
      <c r="J1676" s="1">
        <v>45292</v>
      </c>
      <c r="K1676">
        <v>134000000</v>
      </c>
    </row>
    <row r="1677" spans="5:11" x14ac:dyDescent="0.25">
      <c r="E1677" t="s">
        <v>3302</v>
      </c>
      <c r="F1677">
        <v>1101239</v>
      </c>
      <c r="G1677" s="1">
        <v>45382</v>
      </c>
      <c r="H1677" t="s">
        <v>3303</v>
      </c>
      <c r="I1677" t="s">
        <v>36</v>
      </c>
      <c r="J1677" s="1">
        <v>45292</v>
      </c>
      <c r="K1677">
        <v>231000000</v>
      </c>
    </row>
    <row r="1678" spans="5:11" x14ac:dyDescent="0.25">
      <c r="E1678" t="s">
        <v>3304</v>
      </c>
      <c r="F1678">
        <v>1101302</v>
      </c>
      <c r="G1678" s="1">
        <v>45381</v>
      </c>
      <c r="H1678" t="s">
        <v>3305</v>
      </c>
      <c r="I1678" t="s">
        <v>24</v>
      </c>
      <c r="J1678" s="1">
        <v>45292</v>
      </c>
      <c r="K1678">
        <v>45266000</v>
      </c>
    </row>
    <row r="1679" spans="5:11" x14ac:dyDescent="0.25">
      <c r="E1679" t="s">
        <v>3306</v>
      </c>
      <c r="F1679">
        <v>1101396</v>
      </c>
      <c r="G1679" s="1">
        <v>45381</v>
      </c>
      <c r="H1679" t="s">
        <v>3307</v>
      </c>
      <c r="I1679" t="s">
        <v>64</v>
      </c>
      <c r="J1679" s="1">
        <v>45291</v>
      </c>
      <c r="K1679">
        <v>-36294000</v>
      </c>
    </row>
    <row r="1680" spans="5:11" x14ac:dyDescent="0.25">
      <c r="E1680" t="s">
        <v>3308</v>
      </c>
      <c r="F1680">
        <v>1101433</v>
      </c>
      <c r="G1680" s="1">
        <v>45382</v>
      </c>
      <c r="H1680" t="s">
        <v>3309</v>
      </c>
      <c r="I1680" t="s">
        <v>113</v>
      </c>
      <c r="J1680" s="1">
        <v>45292</v>
      </c>
      <c r="K1680">
        <v>-28176</v>
      </c>
    </row>
    <row r="1681" spans="5:11" x14ac:dyDescent="0.25">
      <c r="E1681" t="s">
        <v>3310</v>
      </c>
      <c r="F1681">
        <v>1101680</v>
      </c>
      <c r="G1681" s="1">
        <v>45382</v>
      </c>
      <c r="H1681" t="s">
        <v>3311</v>
      </c>
      <c r="I1681" t="s">
        <v>30</v>
      </c>
      <c r="J1681" s="1">
        <v>45292</v>
      </c>
      <c r="K1681">
        <v>-18706000</v>
      </c>
    </row>
    <row r="1682" spans="5:11" x14ac:dyDescent="0.25">
      <c r="E1682" t="s">
        <v>3312</v>
      </c>
      <c r="F1682">
        <v>1102238</v>
      </c>
      <c r="G1682" s="1">
        <v>45382</v>
      </c>
      <c r="H1682" t="s">
        <v>3313</v>
      </c>
      <c r="I1682" t="s">
        <v>30</v>
      </c>
      <c r="J1682" s="1">
        <v>45292</v>
      </c>
      <c r="K1682">
        <v>1751000</v>
      </c>
    </row>
    <row r="1683" spans="5:11" x14ac:dyDescent="0.25">
      <c r="E1683" t="s">
        <v>3314</v>
      </c>
      <c r="F1683">
        <v>1102993</v>
      </c>
      <c r="G1683" s="1">
        <v>45382</v>
      </c>
      <c r="H1683" t="s">
        <v>3315</v>
      </c>
      <c r="I1683" t="s">
        <v>57</v>
      </c>
      <c r="J1683" s="1">
        <v>45292</v>
      </c>
      <c r="K1683">
        <v>-35631000</v>
      </c>
    </row>
    <row r="1684" spans="5:11" x14ac:dyDescent="0.25">
      <c r="E1684" t="s">
        <v>3316</v>
      </c>
      <c r="F1684">
        <v>1103090</v>
      </c>
      <c r="G1684" s="1">
        <v>45382</v>
      </c>
      <c r="H1684" t="s">
        <v>3317</v>
      </c>
      <c r="I1684" t="s">
        <v>406</v>
      </c>
      <c r="J1684" s="1">
        <v>45292</v>
      </c>
      <c r="K1684">
        <v>-31971</v>
      </c>
    </row>
    <row r="1685" spans="5:11" x14ac:dyDescent="0.25">
      <c r="E1685" t="s">
        <v>3318</v>
      </c>
      <c r="F1685">
        <v>1103795</v>
      </c>
      <c r="G1685" s="1">
        <v>45382</v>
      </c>
      <c r="H1685" t="s">
        <v>3319</v>
      </c>
      <c r="I1685" t="s">
        <v>30</v>
      </c>
      <c r="J1685" s="1">
        <v>45292</v>
      </c>
      <c r="K1685">
        <v>-449000</v>
      </c>
    </row>
    <row r="1686" spans="5:11" x14ac:dyDescent="0.25">
      <c r="E1686" t="s">
        <v>3320</v>
      </c>
      <c r="F1686">
        <v>1103833</v>
      </c>
      <c r="G1686" s="1">
        <v>45382</v>
      </c>
      <c r="H1686" t="s">
        <v>3321</v>
      </c>
      <c r="I1686" t="s">
        <v>142</v>
      </c>
      <c r="J1686" s="1">
        <v>45292</v>
      </c>
      <c r="K1686">
        <v>-3661094</v>
      </c>
    </row>
    <row r="1687" spans="5:11" x14ac:dyDescent="0.25">
      <c r="E1687" t="s">
        <v>3322</v>
      </c>
      <c r="F1687">
        <v>1103982</v>
      </c>
      <c r="G1687" s="1">
        <v>45382</v>
      </c>
      <c r="H1687" t="s">
        <v>3323</v>
      </c>
      <c r="I1687" t="s">
        <v>19</v>
      </c>
      <c r="J1687" s="1">
        <v>45292</v>
      </c>
      <c r="K1687">
        <v>1412000000</v>
      </c>
    </row>
    <row r="1688" spans="5:11" x14ac:dyDescent="0.25">
      <c r="E1688" t="s">
        <v>3324</v>
      </c>
      <c r="F1688">
        <v>1104038</v>
      </c>
      <c r="G1688" s="1">
        <v>45382</v>
      </c>
      <c r="H1688" t="s">
        <v>3325</v>
      </c>
      <c r="I1688" t="s">
        <v>33</v>
      </c>
      <c r="J1688" s="1">
        <v>45292</v>
      </c>
      <c r="K1688">
        <v>-553000</v>
      </c>
    </row>
    <row r="1689" spans="5:11" x14ac:dyDescent="0.25">
      <c r="E1689" t="s">
        <v>3326</v>
      </c>
      <c r="F1689">
        <v>1104485</v>
      </c>
      <c r="G1689" s="1">
        <v>45382</v>
      </c>
      <c r="H1689" t="s">
        <v>3327</v>
      </c>
      <c r="I1689" t="s">
        <v>213</v>
      </c>
      <c r="J1689" s="1">
        <v>45292</v>
      </c>
      <c r="K1689">
        <v>11606000</v>
      </c>
    </row>
    <row r="1690" spans="5:11" x14ac:dyDescent="0.25">
      <c r="E1690" t="s">
        <v>3328</v>
      </c>
      <c r="F1690">
        <v>1104506</v>
      </c>
      <c r="G1690" s="1">
        <v>45382</v>
      </c>
      <c r="H1690" t="s">
        <v>3329</v>
      </c>
      <c r="I1690" t="s">
        <v>46</v>
      </c>
      <c r="J1690" s="1">
        <v>45292</v>
      </c>
      <c r="K1690">
        <v>-157091000</v>
      </c>
    </row>
    <row r="1691" spans="5:11" x14ac:dyDescent="0.25">
      <c r="E1691" t="s">
        <v>3330</v>
      </c>
      <c r="F1691">
        <v>1104657</v>
      </c>
      <c r="G1691" s="1">
        <v>45380</v>
      </c>
      <c r="H1691" t="s">
        <v>3331</v>
      </c>
      <c r="I1691" t="s">
        <v>60</v>
      </c>
      <c r="J1691" s="1">
        <v>45292</v>
      </c>
      <c r="K1691">
        <v>13409000</v>
      </c>
    </row>
    <row r="1692" spans="5:11" x14ac:dyDescent="0.25">
      <c r="E1692" t="s">
        <v>3332</v>
      </c>
      <c r="F1692">
        <v>1106213</v>
      </c>
      <c r="G1692" s="1">
        <v>45382</v>
      </c>
      <c r="H1692" t="s">
        <v>3333</v>
      </c>
      <c r="I1692" t="s">
        <v>33</v>
      </c>
      <c r="J1692" s="1">
        <v>45292</v>
      </c>
      <c r="K1692">
        <v>-1312070</v>
      </c>
    </row>
    <row r="1693" spans="5:11" x14ac:dyDescent="0.25">
      <c r="E1693" t="s">
        <v>3334</v>
      </c>
      <c r="F1693">
        <v>1106644</v>
      </c>
      <c r="G1693" s="1">
        <v>45382</v>
      </c>
      <c r="H1693" t="s">
        <v>3335</v>
      </c>
      <c r="I1693" t="s">
        <v>1164</v>
      </c>
      <c r="J1693" s="1">
        <v>45292</v>
      </c>
      <c r="K1693">
        <v>-955892</v>
      </c>
    </row>
    <row r="1694" spans="5:11" x14ac:dyDescent="0.25">
      <c r="E1694" t="s">
        <v>3336</v>
      </c>
      <c r="F1694">
        <v>1106838</v>
      </c>
      <c r="G1694" s="1">
        <v>45382</v>
      </c>
      <c r="H1694" t="s">
        <v>3337</v>
      </c>
      <c r="I1694" t="s">
        <v>46</v>
      </c>
      <c r="J1694" s="1">
        <v>45292</v>
      </c>
      <c r="K1694">
        <v>365425</v>
      </c>
    </row>
    <row r="1695" spans="5:11" x14ac:dyDescent="0.25">
      <c r="E1695" t="s">
        <v>3338</v>
      </c>
      <c r="F1695">
        <v>1107280</v>
      </c>
      <c r="G1695" s="1">
        <v>45382</v>
      </c>
      <c r="H1695" t="s">
        <v>3339</v>
      </c>
      <c r="I1695" t="s">
        <v>2552</v>
      </c>
      <c r="J1695" s="1">
        <v>45292</v>
      </c>
      <c r="K1695">
        <v>-82816</v>
      </c>
    </row>
    <row r="1696" spans="5:11" x14ac:dyDescent="0.25">
      <c r="E1696" t="s">
        <v>3340</v>
      </c>
      <c r="F1696">
        <v>1107421</v>
      </c>
      <c r="G1696" s="1">
        <v>45382</v>
      </c>
      <c r="H1696" t="s">
        <v>3341</v>
      </c>
      <c r="I1696" t="s">
        <v>30</v>
      </c>
      <c r="J1696" s="1">
        <v>45292</v>
      </c>
      <c r="K1696">
        <v>-1682000</v>
      </c>
    </row>
    <row r="1697" spans="5:11" x14ac:dyDescent="0.25">
      <c r="E1697" t="s">
        <v>3342</v>
      </c>
      <c r="F1697">
        <v>1107843</v>
      </c>
      <c r="G1697" s="1">
        <v>45382</v>
      </c>
      <c r="H1697" t="s">
        <v>3343</v>
      </c>
      <c r="I1697" t="s">
        <v>36</v>
      </c>
      <c r="J1697" s="1">
        <v>45292</v>
      </c>
      <c r="K1697">
        <v>39731000</v>
      </c>
    </row>
    <row r="1698" spans="5:11" x14ac:dyDescent="0.25">
      <c r="E1698" t="s">
        <v>3344</v>
      </c>
      <c r="F1698">
        <v>1108109</v>
      </c>
      <c r="G1698" s="1">
        <v>45382</v>
      </c>
      <c r="H1698" t="s">
        <v>3345</v>
      </c>
      <c r="I1698" t="s">
        <v>69</v>
      </c>
      <c r="J1698" s="1">
        <v>45292</v>
      </c>
      <c r="K1698">
        <v>-41000000</v>
      </c>
    </row>
    <row r="1699" spans="5:11" x14ac:dyDescent="0.25">
      <c r="E1699" t="s">
        <v>3346</v>
      </c>
      <c r="F1699">
        <v>1108134</v>
      </c>
      <c r="G1699" s="1">
        <v>45382</v>
      </c>
      <c r="H1699" t="s">
        <v>3347</v>
      </c>
      <c r="I1699" t="s">
        <v>24</v>
      </c>
      <c r="J1699" s="1">
        <v>45292</v>
      </c>
      <c r="K1699">
        <v>-20188000</v>
      </c>
    </row>
    <row r="1700" spans="5:11" x14ac:dyDescent="0.25">
      <c r="E1700" t="s">
        <v>3348</v>
      </c>
      <c r="F1700">
        <v>1108205</v>
      </c>
      <c r="G1700" s="1">
        <v>45382</v>
      </c>
      <c r="H1700" t="s">
        <v>3349</v>
      </c>
      <c r="I1700" t="s">
        <v>24</v>
      </c>
      <c r="J1700" s="1">
        <v>45292</v>
      </c>
      <c r="K1700">
        <v>-11876000</v>
      </c>
    </row>
    <row r="1701" spans="5:11" x14ac:dyDescent="0.25">
      <c r="E1701" t="s">
        <v>10420</v>
      </c>
      <c r="F1701">
        <v>1108524</v>
      </c>
      <c r="G1701" s="1">
        <v>45412</v>
      </c>
      <c r="H1701" t="s">
        <v>3350</v>
      </c>
      <c r="I1701" t="s">
        <v>36</v>
      </c>
      <c r="J1701" s="1">
        <v>45323</v>
      </c>
      <c r="K1701">
        <v>1533000000</v>
      </c>
    </row>
    <row r="1702" spans="5:11" x14ac:dyDescent="0.25">
      <c r="E1702" t="s">
        <v>3351</v>
      </c>
      <c r="F1702">
        <v>1108645</v>
      </c>
      <c r="G1702" s="1">
        <v>45382</v>
      </c>
      <c r="H1702" t="s">
        <v>3352</v>
      </c>
      <c r="I1702" t="s">
        <v>1071</v>
      </c>
      <c r="J1702" s="1">
        <v>45292</v>
      </c>
      <c r="K1702">
        <v>-4476442</v>
      </c>
    </row>
    <row r="1703" spans="5:11" x14ac:dyDescent="0.25">
      <c r="E1703" t="s">
        <v>3353</v>
      </c>
      <c r="F1703">
        <v>1109242</v>
      </c>
      <c r="G1703" s="1">
        <v>45382</v>
      </c>
      <c r="H1703" t="s">
        <v>3354</v>
      </c>
      <c r="I1703" t="s">
        <v>36</v>
      </c>
      <c r="J1703" s="1">
        <v>45292</v>
      </c>
      <c r="K1703">
        <v>15164000</v>
      </c>
    </row>
    <row r="1704" spans="5:11" x14ac:dyDescent="0.25">
      <c r="E1704" t="s">
        <v>3355</v>
      </c>
      <c r="F1704">
        <v>1109354</v>
      </c>
      <c r="G1704" s="1">
        <v>45382</v>
      </c>
      <c r="H1704" t="s">
        <v>3356</v>
      </c>
      <c r="I1704" t="s">
        <v>24</v>
      </c>
      <c r="J1704" s="1">
        <v>45292</v>
      </c>
      <c r="K1704">
        <v>50900000</v>
      </c>
    </row>
    <row r="1705" spans="5:11" x14ac:dyDescent="0.25">
      <c r="E1705" t="s">
        <v>3357</v>
      </c>
      <c r="F1705">
        <v>1109448</v>
      </c>
      <c r="G1705" s="1">
        <v>45382</v>
      </c>
      <c r="H1705" t="s">
        <v>3358</v>
      </c>
      <c r="I1705" t="s">
        <v>69</v>
      </c>
      <c r="J1705" s="1">
        <v>45292</v>
      </c>
      <c r="K1705">
        <v>217927000</v>
      </c>
    </row>
    <row r="1706" spans="5:11" x14ac:dyDescent="0.25">
      <c r="E1706" t="s">
        <v>3359</v>
      </c>
      <c r="F1706">
        <v>1110607</v>
      </c>
      <c r="G1706" s="1">
        <v>45382</v>
      </c>
      <c r="H1706" t="s">
        <v>3360</v>
      </c>
      <c r="I1706" t="s">
        <v>30</v>
      </c>
      <c r="J1706" s="1">
        <v>45292</v>
      </c>
      <c r="K1706">
        <v>576000</v>
      </c>
    </row>
    <row r="1707" spans="5:11" x14ac:dyDescent="0.25">
      <c r="E1707" t="s">
        <v>3361</v>
      </c>
      <c r="F1707">
        <v>1110611</v>
      </c>
      <c r="G1707" s="1">
        <v>45382</v>
      </c>
      <c r="H1707" t="s">
        <v>3362</v>
      </c>
      <c r="I1707" t="s">
        <v>36</v>
      </c>
      <c r="J1707" s="1">
        <v>45292</v>
      </c>
      <c r="K1707">
        <v>-10703000</v>
      </c>
    </row>
    <row r="1708" spans="5:11" x14ac:dyDescent="0.25">
      <c r="E1708" t="s">
        <v>3363</v>
      </c>
      <c r="F1708">
        <v>1110803</v>
      </c>
      <c r="G1708" s="1">
        <v>45382</v>
      </c>
      <c r="H1708" t="s">
        <v>3364</v>
      </c>
      <c r="I1708" t="s">
        <v>36</v>
      </c>
      <c r="J1708" s="1">
        <v>45292</v>
      </c>
      <c r="K1708">
        <v>-126000000</v>
      </c>
    </row>
    <row r="1709" spans="5:11" x14ac:dyDescent="0.25">
      <c r="E1709" t="s">
        <v>3365</v>
      </c>
      <c r="F1709">
        <v>1110805</v>
      </c>
      <c r="G1709" s="1">
        <v>45382</v>
      </c>
      <c r="H1709" t="s">
        <v>3366</v>
      </c>
      <c r="I1709" t="s">
        <v>30</v>
      </c>
      <c r="J1709" s="1">
        <v>45292</v>
      </c>
      <c r="K1709">
        <v>42742000</v>
      </c>
    </row>
    <row r="1710" spans="5:11" x14ac:dyDescent="0.25">
      <c r="E1710" t="s">
        <v>3367</v>
      </c>
      <c r="F1710">
        <v>1111335</v>
      </c>
      <c r="G1710" s="1">
        <v>45382</v>
      </c>
      <c r="H1710" t="s">
        <v>3368</v>
      </c>
      <c r="I1710" t="s">
        <v>329</v>
      </c>
      <c r="J1710" s="1">
        <v>45292</v>
      </c>
      <c r="K1710">
        <v>42000000</v>
      </c>
    </row>
    <row r="1711" spans="5:11" x14ac:dyDescent="0.25">
      <c r="E1711" t="s">
        <v>3369</v>
      </c>
      <c r="F1711">
        <v>1111485</v>
      </c>
      <c r="G1711" s="1">
        <v>45382</v>
      </c>
      <c r="H1711" t="s">
        <v>3370</v>
      </c>
      <c r="I1711" t="s">
        <v>36</v>
      </c>
      <c r="J1711" s="1">
        <v>45292</v>
      </c>
      <c r="K1711">
        <v>-9100000</v>
      </c>
    </row>
    <row r="1712" spans="5:11" x14ac:dyDescent="0.25">
      <c r="E1712" t="s">
        <v>3371</v>
      </c>
      <c r="F1712">
        <v>1111711</v>
      </c>
      <c r="G1712" s="1">
        <v>45382</v>
      </c>
      <c r="H1712" t="s">
        <v>3372</v>
      </c>
      <c r="I1712" t="s">
        <v>288</v>
      </c>
      <c r="J1712" s="1">
        <v>45292</v>
      </c>
      <c r="K1712">
        <v>365000000</v>
      </c>
    </row>
    <row r="1713" spans="5:11" x14ac:dyDescent="0.25">
      <c r="E1713" t="s">
        <v>3373</v>
      </c>
      <c r="F1713">
        <v>1111741</v>
      </c>
      <c r="G1713" s="1">
        <v>45382</v>
      </c>
      <c r="H1713" t="s">
        <v>3374</v>
      </c>
      <c r="I1713" t="s">
        <v>30</v>
      </c>
      <c r="J1713" s="1">
        <v>45292</v>
      </c>
      <c r="K1713">
        <v>-4408371</v>
      </c>
    </row>
    <row r="1714" spans="5:11" x14ac:dyDescent="0.25">
      <c r="E1714" t="s">
        <v>3375</v>
      </c>
      <c r="F1714">
        <v>1111928</v>
      </c>
      <c r="G1714" s="1">
        <v>45382</v>
      </c>
      <c r="H1714" t="s">
        <v>3376</v>
      </c>
      <c r="I1714" t="s">
        <v>24</v>
      </c>
      <c r="J1714" s="1">
        <v>45292</v>
      </c>
      <c r="K1714">
        <v>24099000</v>
      </c>
    </row>
    <row r="1715" spans="5:11" x14ac:dyDescent="0.25">
      <c r="E1715" t="s">
        <v>3377</v>
      </c>
      <c r="F1715">
        <v>1113169</v>
      </c>
      <c r="G1715" s="1">
        <v>45382</v>
      </c>
      <c r="H1715" t="s">
        <v>3378</v>
      </c>
      <c r="I1715" t="s">
        <v>299</v>
      </c>
      <c r="J1715" s="1">
        <v>45292</v>
      </c>
      <c r="K1715">
        <v>573800000</v>
      </c>
    </row>
    <row r="1716" spans="5:11" x14ac:dyDescent="0.25">
      <c r="E1716" t="s">
        <v>3379</v>
      </c>
      <c r="F1716">
        <v>1113313</v>
      </c>
      <c r="G1716" s="1">
        <v>45382</v>
      </c>
      <c r="H1716" t="s">
        <v>3380</v>
      </c>
      <c r="I1716" t="s">
        <v>406</v>
      </c>
      <c r="J1716" s="1">
        <v>45292</v>
      </c>
      <c r="K1716">
        <v>-129437</v>
      </c>
    </row>
    <row r="1717" spans="5:11" x14ac:dyDescent="0.25">
      <c r="E1717" t="s">
        <v>3381</v>
      </c>
      <c r="F1717">
        <v>1113809</v>
      </c>
      <c r="G1717" s="1">
        <v>45416</v>
      </c>
      <c r="H1717" t="s">
        <v>3382</v>
      </c>
      <c r="I1717" t="s">
        <v>137</v>
      </c>
      <c r="J1717" s="1">
        <v>45326</v>
      </c>
      <c r="K1717">
        <v>11459000</v>
      </c>
    </row>
    <row r="1718" spans="5:11" x14ac:dyDescent="0.25">
      <c r="E1718" t="s">
        <v>3383</v>
      </c>
      <c r="F1718">
        <v>1114483</v>
      </c>
      <c r="G1718" s="1">
        <v>45380</v>
      </c>
      <c r="H1718" t="s">
        <v>3384</v>
      </c>
      <c r="I1718" t="s">
        <v>30</v>
      </c>
      <c r="J1718" s="1">
        <v>45292</v>
      </c>
      <c r="K1718">
        <v>20508000</v>
      </c>
    </row>
    <row r="1719" spans="5:11" x14ac:dyDescent="0.25">
      <c r="E1719" t="s">
        <v>3385</v>
      </c>
      <c r="F1719">
        <v>1114925</v>
      </c>
      <c r="G1719" s="1">
        <v>45382</v>
      </c>
      <c r="H1719" t="s">
        <v>3386</v>
      </c>
      <c r="I1719" t="s">
        <v>36</v>
      </c>
      <c r="J1719" s="1">
        <v>45292</v>
      </c>
      <c r="K1719">
        <v>-423000</v>
      </c>
    </row>
    <row r="1720" spans="5:11" x14ac:dyDescent="0.25">
      <c r="E1720" t="s">
        <v>3387</v>
      </c>
      <c r="F1720">
        <v>1114927</v>
      </c>
      <c r="G1720" s="1">
        <v>45382</v>
      </c>
      <c r="H1720" t="s">
        <v>3388</v>
      </c>
      <c r="I1720" t="s">
        <v>36</v>
      </c>
      <c r="J1720" s="1">
        <v>45292</v>
      </c>
      <c r="K1720">
        <v>4276000</v>
      </c>
    </row>
    <row r="1721" spans="5:11" x14ac:dyDescent="0.25">
      <c r="E1721" t="s">
        <v>10421</v>
      </c>
      <c r="F1721">
        <v>1114995</v>
      </c>
      <c r="G1721" s="1">
        <v>45382</v>
      </c>
      <c r="H1721" t="s">
        <v>3389</v>
      </c>
      <c r="I1721" t="s">
        <v>504</v>
      </c>
      <c r="J1721" s="1">
        <v>45292</v>
      </c>
      <c r="K1721">
        <v>33344000</v>
      </c>
    </row>
    <row r="1722" spans="5:11" x14ac:dyDescent="0.25">
      <c r="E1722" t="s">
        <v>3390</v>
      </c>
      <c r="F1722">
        <v>1115055</v>
      </c>
      <c r="G1722" s="1">
        <v>45382</v>
      </c>
      <c r="H1722" t="s">
        <v>3391</v>
      </c>
      <c r="I1722" t="s">
        <v>69</v>
      </c>
      <c r="J1722" s="1">
        <v>45292</v>
      </c>
      <c r="K1722">
        <v>123944000</v>
      </c>
    </row>
    <row r="1723" spans="5:11" x14ac:dyDescent="0.25">
      <c r="E1723" t="s">
        <v>3392</v>
      </c>
      <c r="F1723">
        <v>1116132</v>
      </c>
      <c r="G1723" s="1">
        <v>45381</v>
      </c>
      <c r="H1723" t="s">
        <v>3393</v>
      </c>
      <c r="I1723" t="s">
        <v>57</v>
      </c>
      <c r="J1723" s="1">
        <v>45291</v>
      </c>
      <c r="K1723">
        <v>139400000</v>
      </c>
    </row>
    <row r="1724" spans="5:11" x14ac:dyDescent="0.25">
      <c r="E1724" t="s">
        <v>3394</v>
      </c>
      <c r="F1724">
        <v>1116463</v>
      </c>
      <c r="G1724" s="1">
        <v>45382</v>
      </c>
      <c r="H1724" t="s">
        <v>3395</v>
      </c>
      <c r="I1724" t="s">
        <v>39</v>
      </c>
      <c r="J1724" s="1">
        <v>45292</v>
      </c>
      <c r="K1724">
        <v>-3584000</v>
      </c>
    </row>
    <row r="1725" spans="5:11" x14ac:dyDescent="0.25">
      <c r="E1725" t="s">
        <v>3396</v>
      </c>
      <c r="F1725">
        <v>1116942</v>
      </c>
      <c r="G1725" s="1">
        <v>45383</v>
      </c>
      <c r="H1725" t="s">
        <v>3397</v>
      </c>
      <c r="I1725" t="s">
        <v>36</v>
      </c>
      <c r="J1725" s="1">
        <v>45293</v>
      </c>
      <c r="K1725">
        <v>10466000</v>
      </c>
    </row>
    <row r="1726" spans="5:11" x14ac:dyDescent="0.25">
      <c r="E1726" t="s">
        <v>3398</v>
      </c>
      <c r="F1726">
        <v>1117057</v>
      </c>
      <c r="G1726" s="1">
        <v>45382</v>
      </c>
      <c r="H1726" t="s">
        <v>3399</v>
      </c>
      <c r="I1726" t="s">
        <v>57</v>
      </c>
      <c r="J1726" s="1">
        <v>45292</v>
      </c>
      <c r="K1726">
        <v>-1080904</v>
      </c>
    </row>
    <row r="1727" spans="5:11" x14ac:dyDescent="0.25">
      <c r="E1727" t="s">
        <v>3400</v>
      </c>
      <c r="F1727">
        <v>1117171</v>
      </c>
      <c r="G1727" s="1">
        <v>45382</v>
      </c>
      <c r="H1727" t="s">
        <v>3401</v>
      </c>
      <c r="I1727" t="s">
        <v>1164</v>
      </c>
      <c r="J1727" s="1">
        <v>45292</v>
      </c>
      <c r="K1727">
        <v>9836450</v>
      </c>
    </row>
    <row r="1728" spans="5:11" x14ac:dyDescent="0.25">
      <c r="E1728" t="s">
        <v>3402</v>
      </c>
      <c r="F1728">
        <v>1117297</v>
      </c>
      <c r="G1728" s="1">
        <v>45382</v>
      </c>
      <c r="H1728" t="s">
        <v>3403</v>
      </c>
      <c r="I1728" t="s">
        <v>36</v>
      </c>
      <c r="J1728" s="1">
        <v>45292</v>
      </c>
      <c r="K1728">
        <v>-7048000</v>
      </c>
    </row>
    <row r="1729" spans="5:11" x14ac:dyDescent="0.25">
      <c r="E1729" t="s">
        <v>3404</v>
      </c>
      <c r="F1729">
        <v>1117480</v>
      </c>
      <c r="G1729" s="1">
        <v>45382</v>
      </c>
      <c r="H1729" t="s">
        <v>3405</v>
      </c>
      <c r="I1729" t="s">
        <v>172</v>
      </c>
      <c r="J1729" s="1">
        <v>45292</v>
      </c>
      <c r="K1729">
        <v>-21869000</v>
      </c>
    </row>
    <row r="1730" spans="5:11" x14ac:dyDescent="0.25">
      <c r="E1730" t="s">
        <v>3406</v>
      </c>
      <c r="F1730">
        <v>1118004</v>
      </c>
      <c r="G1730" s="1">
        <v>45382</v>
      </c>
      <c r="H1730" t="s">
        <v>3407</v>
      </c>
      <c r="I1730" t="s">
        <v>162</v>
      </c>
      <c r="J1730" s="1">
        <v>45292</v>
      </c>
      <c r="K1730">
        <v>16955000</v>
      </c>
    </row>
    <row r="1731" spans="5:11" x14ac:dyDescent="0.25">
      <c r="E1731" t="s">
        <v>3408</v>
      </c>
      <c r="F1731">
        <v>1118072</v>
      </c>
      <c r="G1731" s="1">
        <v>45382</v>
      </c>
      <c r="H1731" t="s">
        <v>3409</v>
      </c>
      <c r="I1731" t="s">
        <v>406</v>
      </c>
      <c r="J1731" s="1">
        <v>45292</v>
      </c>
      <c r="K1731">
        <v>-15771</v>
      </c>
    </row>
    <row r="1732" spans="5:11" x14ac:dyDescent="0.25">
      <c r="E1732" t="s">
        <v>3410</v>
      </c>
      <c r="F1732">
        <v>1118417</v>
      </c>
      <c r="G1732" s="1">
        <v>45382</v>
      </c>
      <c r="H1732" t="s">
        <v>3411</v>
      </c>
      <c r="I1732" t="s">
        <v>36</v>
      </c>
      <c r="J1732" s="1">
        <v>45292</v>
      </c>
      <c r="K1732">
        <v>-1387000</v>
      </c>
    </row>
    <row r="1733" spans="5:11" x14ac:dyDescent="0.25">
      <c r="E1733" t="s">
        <v>3412</v>
      </c>
      <c r="F1733">
        <v>1119190</v>
      </c>
      <c r="G1733" s="1">
        <v>45382</v>
      </c>
      <c r="H1733" t="s">
        <v>3413</v>
      </c>
      <c r="I1733" t="s">
        <v>36</v>
      </c>
      <c r="J1733" s="1">
        <v>45292</v>
      </c>
      <c r="K1733">
        <v>-232022</v>
      </c>
    </row>
    <row r="1734" spans="5:11" x14ac:dyDescent="0.25">
      <c r="E1734" t="s">
        <v>3414</v>
      </c>
      <c r="F1734">
        <v>1120193</v>
      </c>
      <c r="G1734" s="1">
        <v>45382</v>
      </c>
      <c r="H1734" t="s">
        <v>3415</v>
      </c>
      <c r="I1734" t="s">
        <v>57</v>
      </c>
      <c r="J1734" s="1">
        <v>45292</v>
      </c>
      <c r="K1734">
        <v>234000000</v>
      </c>
    </row>
    <row r="1735" spans="5:11" x14ac:dyDescent="0.25">
      <c r="E1735" t="s">
        <v>3416</v>
      </c>
      <c r="F1735">
        <v>1120370</v>
      </c>
      <c r="G1735" s="1">
        <v>45382</v>
      </c>
      <c r="H1735" t="s">
        <v>3417</v>
      </c>
      <c r="I1735" t="s">
        <v>19</v>
      </c>
      <c r="J1735" s="1">
        <v>45292</v>
      </c>
      <c r="K1735">
        <v>1510000</v>
      </c>
    </row>
    <row r="1736" spans="5:11" x14ac:dyDescent="0.25">
      <c r="E1736" t="s">
        <v>3418</v>
      </c>
      <c r="F1736">
        <v>1120914</v>
      </c>
      <c r="G1736" s="1">
        <v>45382</v>
      </c>
      <c r="H1736" t="s">
        <v>3419</v>
      </c>
      <c r="I1736" t="s">
        <v>36</v>
      </c>
      <c r="J1736" s="1">
        <v>45292</v>
      </c>
      <c r="K1736">
        <v>-393000</v>
      </c>
    </row>
    <row r="1737" spans="5:11" x14ac:dyDescent="0.25">
      <c r="E1737" t="s">
        <v>3420</v>
      </c>
      <c r="F1737">
        <v>1120970</v>
      </c>
      <c r="G1737" s="1">
        <v>45382</v>
      </c>
      <c r="H1737" t="s">
        <v>3421</v>
      </c>
      <c r="I1737" t="s">
        <v>142</v>
      </c>
      <c r="J1737" s="1">
        <v>45292</v>
      </c>
      <c r="K1737">
        <v>-6918320</v>
      </c>
    </row>
    <row r="1738" spans="5:11" x14ac:dyDescent="0.25">
      <c r="E1738" t="s">
        <v>3422</v>
      </c>
      <c r="F1738">
        <v>1121484</v>
      </c>
      <c r="G1738" s="1">
        <v>45382</v>
      </c>
      <c r="H1738" t="s">
        <v>3423</v>
      </c>
      <c r="I1738" t="s">
        <v>30</v>
      </c>
      <c r="J1738" s="1">
        <v>45292</v>
      </c>
      <c r="K1738">
        <v>-13374000</v>
      </c>
    </row>
    <row r="1739" spans="5:11" x14ac:dyDescent="0.25">
      <c r="E1739" t="s">
        <v>3424</v>
      </c>
      <c r="F1739">
        <v>1121702</v>
      </c>
      <c r="G1739" s="1">
        <v>45382</v>
      </c>
      <c r="H1739" t="s">
        <v>3425</v>
      </c>
      <c r="I1739" t="s">
        <v>24</v>
      </c>
      <c r="J1739" s="1">
        <v>45292</v>
      </c>
      <c r="K1739">
        <v>-2472000</v>
      </c>
    </row>
    <row r="1740" spans="5:11" x14ac:dyDescent="0.25">
      <c r="E1740" t="s">
        <v>3426</v>
      </c>
      <c r="F1740">
        <v>1121788</v>
      </c>
      <c r="G1740" s="1">
        <v>45381</v>
      </c>
      <c r="H1740" t="s">
        <v>3427</v>
      </c>
      <c r="I1740" t="s">
        <v>2162</v>
      </c>
      <c r="J1740" s="1">
        <v>45291</v>
      </c>
      <c r="K1740">
        <v>275961000</v>
      </c>
    </row>
    <row r="1741" spans="5:11" x14ac:dyDescent="0.25">
      <c r="E1741" t="s">
        <v>3428</v>
      </c>
      <c r="F1741">
        <v>1121795</v>
      </c>
      <c r="G1741" s="1">
        <v>45382</v>
      </c>
      <c r="H1741" t="s">
        <v>3429</v>
      </c>
      <c r="I1741" t="s">
        <v>57</v>
      </c>
      <c r="J1741" s="1">
        <v>45292</v>
      </c>
      <c r="K1741">
        <v>-27915</v>
      </c>
    </row>
    <row r="1742" spans="5:11" x14ac:dyDescent="0.25">
      <c r="E1742" t="s">
        <v>3430</v>
      </c>
      <c r="F1742">
        <v>1122904</v>
      </c>
      <c r="G1742" s="1">
        <v>45382</v>
      </c>
      <c r="H1742" t="s">
        <v>3431</v>
      </c>
      <c r="I1742" t="s">
        <v>36</v>
      </c>
      <c r="J1742" s="1">
        <v>45292</v>
      </c>
      <c r="K1742">
        <v>-18650000</v>
      </c>
    </row>
    <row r="1743" spans="5:11" x14ac:dyDescent="0.25">
      <c r="E1743" t="s">
        <v>3432</v>
      </c>
      <c r="F1743">
        <v>1122976</v>
      </c>
      <c r="G1743" s="1">
        <v>45382</v>
      </c>
      <c r="H1743" t="s">
        <v>3433</v>
      </c>
      <c r="I1743" t="s">
        <v>60</v>
      </c>
      <c r="J1743" s="1">
        <v>45292</v>
      </c>
      <c r="K1743">
        <v>49400000</v>
      </c>
    </row>
    <row r="1744" spans="5:11" x14ac:dyDescent="0.25">
      <c r="E1744" t="s">
        <v>3434</v>
      </c>
      <c r="F1744">
        <v>1123360</v>
      </c>
      <c r="G1744" s="1">
        <v>45382</v>
      </c>
      <c r="H1744" t="s">
        <v>3435</v>
      </c>
      <c r="I1744" t="s">
        <v>64</v>
      </c>
      <c r="J1744" s="1">
        <v>45292</v>
      </c>
      <c r="K1744">
        <v>313307000</v>
      </c>
    </row>
    <row r="1745" spans="5:11" x14ac:dyDescent="0.25">
      <c r="E1745" t="s">
        <v>3436</v>
      </c>
      <c r="F1745">
        <v>1123494</v>
      </c>
      <c r="G1745" s="1">
        <v>45382</v>
      </c>
      <c r="H1745" t="s">
        <v>3437</v>
      </c>
      <c r="I1745" t="s">
        <v>24</v>
      </c>
      <c r="J1745" s="1">
        <v>45292</v>
      </c>
      <c r="K1745">
        <v>-4694000</v>
      </c>
    </row>
    <row r="1746" spans="5:11" x14ac:dyDescent="0.25">
      <c r="E1746" t="s">
        <v>3438</v>
      </c>
      <c r="F1746">
        <v>1123596</v>
      </c>
      <c r="G1746" s="1">
        <v>45351</v>
      </c>
      <c r="H1746" t="s">
        <v>3439</v>
      </c>
      <c r="I1746" t="s">
        <v>19</v>
      </c>
      <c r="J1746" s="1">
        <v>45261</v>
      </c>
      <c r="K1746">
        <v>98505</v>
      </c>
    </row>
    <row r="1747" spans="5:11" x14ac:dyDescent="0.25">
      <c r="E1747" t="s">
        <v>3440</v>
      </c>
      <c r="F1747">
        <v>1123852</v>
      </c>
      <c r="G1747" s="1">
        <v>45382</v>
      </c>
      <c r="H1747" t="s">
        <v>3441</v>
      </c>
      <c r="I1747" t="s">
        <v>213</v>
      </c>
      <c r="J1747" s="1">
        <v>45292</v>
      </c>
      <c r="K1747">
        <v>211000000</v>
      </c>
    </row>
    <row r="1748" spans="5:11" x14ac:dyDescent="0.25">
      <c r="E1748" t="s">
        <v>3442</v>
      </c>
      <c r="F1748">
        <v>1124105</v>
      </c>
      <c r="G1748" s="1">
        <v>45382</v>
      </c>
      <c r="H1748" t="s">
        <v>3443</v>
      </c>
      <c r="I1748" t="s">
        <v>36</v>
      </c>
      <c r="J1748" s="1">
        <v>45292</v>
      </c>
      <c r="K1748">
        <v>9935000</v>
      </c>
    </row>
    <row r="1749" spans="5:11" x14ac:dyDescent="0.25">
      <c r="E1749" t="s">
        <v>3444</v>
      </c>
      <c r="F1749">
        <v>1124140</v>
      </c>
      <c r="G1749" s="1">
        <v>45382</v>
      </c>
      <c r="H1749" t="s">
        <v>3445</v>
      </c>
      <c r="I1749" t="s">
        <v>83</v>
      </c>
      <c r="J1749" s="1">
        <v>45292</v>
      </c>
      <c r="K1749">
        <v>-110228000</v>
      </c>
    </row>
    <row r="1750" spans="5:11" x14ac:dyDescent="0.25">
      <c r="E1750" t="s">
        <v>3446</v>
      </c>
      <c r="F1750">
        <v>1124198</v>
      </c>
      <c r="G1750" s="1">
        <v>45382</v>
      </c>
      <c r="H1750" t="s">
        <v>3447</v>
      </c>
      <c r="I1750" t="s">
        <v>30</v>
      </c>
      <c r="J1750" s="1">
        <v>45292</v>
      </c>
      <c r="K1750">
        <v>59000000</v>
      </c>
    </row>
    <row r="1751" spans="5:11" x14ac:dyDescent="0.25">
      <c r="E1751" t="s">
        <v>3448</v>
      </c>
      <c r="F1751">
        <v>1124524</v>
      </c>
      <c r="G1751" s="1">
        <v>45382</v>
      </c>
      <c r="H1751" t="s">
        <v>3449</v>
      </c>
      <c r="I1751" t="s">
        <v>69</v>
      </c>
      <c r="J1751" s="1">
        <v>45292</v>
      </c>
      <c r="K1751">
        <v>-18895000</v>
      </c>
    </row>
    <row r="1752" spans="5:11" x14ac:dyDescent="0.25">
      <c r="E1752" t="s">
        <v>3450</v>
      </c>
      <c r="F1752">
        <v>1124796</v>
      </c>
      <c r="G1752" s="1">
        <v>45382</v>
      </c>
      <c r="H1752" t="s">
        <v>3451</v>
      </c>
      <c r="I1752" t="s">
        <v>504</v>
      </c>
      <c r="J1752" s="1">
        <v>45292</v>
      </c>
      <c r="K1752">
        <v>-13766000</v>
      </c>
    </row>
    <row r="1753" spans="5:11" x14ac:dyDescent="0.25">
      <c r="E1753" t="s">
        <v>3452</v>
      </c>
      <c r="F1753">
        <v>1124941</v>
      </c>
      <c r="G1753" s="1">
        <v>45382</v>
      </c>
      <c r="H1753" t="s">
        <v>3453</v>
      </c>
      <c r="I1753" t="s">
        <v>123</v>
      </c>
      <c r="J1753" s="1">
        <v>45292</v>
      </c>
      <c r="K1753">
        <v>5600000</v>
      </c>
    </row>
    <row r="1754" spans="5:11" x14ac:dyDescent="0.25">
      <c r="E1754" t="s">
        <v>3454</v>
      </c>
      <c r="F1754">
        <v>1125345</v>
      </c>
      <c r="G1754" s="1">
        <v>45382</v>
      </c>
      <c r="H1754" t="s">
        <v>3455</v>
      </c>
      <c r="I1754" t="s">
        <v>299</v>
      </c>
      <c r="J1754" s="1">
        <v>45292</v>
      </c>
      <c r="K1754">
        <v>-52190000</v>
      </c>
    </row>
    <row r="1755" spans="5:11" x14ac:dyDescent="0.25">
      <c r="E1755" t="s">
        <v>10422</v>
      </c>
      <c r="F1755">
        <v>1125376</v>
      </c>
      <c r="G1755" s="1">
        <v>45382</v>
      </c>
      <c r="H1755" t="s">
        <v>3456</v>
      </c>
      <c r="I1755" t="s">
        <v>36</v>
      </c>
      <c r="J1755" s="1">
        <v>45292</v>
      </c>
      <c r="K1755">
        <v>68835000</v>
      </c>
    </row>
    <row r="1756" spans="5:11" x14ac:dyDescent="0.25">
      <c r="E1756" t="s">
        <v>3457</v>
      </c>
      <c r="F1756">
        <v>1126234</v>
      </c>
      <c r="G1756" s="1">
        <v>45382</v>
      </c>
      <c r="H1756" t="s">
        <v>3458</v>
      </c>
      <c r="I1756" t="s">
        <v>30</v>
      </c>
      <c r="J1756" s="1">
        <v>45292</v>
      </c>
      <c r="K1756">
        <v>-10441000</v>
      </c>
    </row>
    <row r="1757" spans="5:11" x14ac:dyDescent="0.25">
      <c r="E1757" t="s">
        <v>3459</v>
      </c>
      <c r="F1757">
        <v>1126328</v>
      </c>
      <c r="G1757" s="1">
        <v>45382</v>
      </c>
      <c r="H1757" t="s">
        <v>3460</v>
      </c>
      <c r="I1757" t="s">
        <v>95</v>
      </c>
      <c r="J1757" s="1">
        <v>45292</v>
      </c>
      <c r="K1757">
        <v>532500000</v>
      </c>
    </row>
    <row r="1758" spans="5:11" x14ac:dyDescent="0.25">
      <c r="E1758" t="s">
        <v>3461</v>
      </c>
      <c r="F1758">
        <v>1126956</v>
      </c>
      <c r="G1758" s="1">
        <v>45382</v>
      </c>
      <c r="H1758" t="s">
        <v>3462</v>
      </c>
      <c r="I1758" t="s">
        <v>137</v>
      </c>
      <c r="J1758" s="1">
        <v>45292</v>
      </c>
      <c r="K1758">
        <v>204300000</v>
      </c>
    </row>
    <row r="1759" spans="5:11" x14ac:dyDescent="0.25">
      <c r="E1759" t="s">
        <v>3463</v>
      </c>
      <c r="F1759">
        <v>1127371</v>
      </c>
      <c r="G1759" s="1">
        <v>45382</v>
      </c>
      <c r="H1759" t="s">
        <v>3464</v>
      </c>
      <c r="I1759" t="s">
        <v>36</v>
      </c>
      <c r="J1759" s="1">
        <v>45292</v>
      </c>
      <c r="K1759">
        <v>3676000</v>
      </c>
    </row>
    <row r="1760" spans="5:11" x14ac:dyDescent="0.25">
      <c r="E1760" t="s">
        <v>3465</v>
      </c>
      <c r="F1760">
        <v>1127475</v>
      </c>
      <c r="G1760" s="1">
        <v>45351</v>
      </c>
      <c r="H1760" t="s">
        <v>3466</v>
      </c>
      <c r="I1760" t="s">
        <v>57</v>
      </c>
      <c r="J1760" s="1">
        <v>45261</v>
      </c>
      <c r="K1760">
        <v>-189452</v>
      </c>
    </row>
    <row r="1761" spans="5:11" x14ac:dyDescent="0.25">
      <c r="E1761" t="s">
        <v>3467</v>
      </c>
      <c r="F1761">
        <v>1127537</v>
      </c>
      <c r="G1761" s="1">
        <v>45382</v>
      </c>
      <c r="H1761" t="s">
        <v>3468</v>
      </c>
      <c r="I1761" t="s">
        <v>36</v>
      </c>
      <c r="J1761" s="1">
        <v>45292</v>
      </c>
      <c r="K1761">
        <v>-13749000</v>
      </c>
    </row>
    <row r="1762" spans="5:11" x14ac:dyDescent="0.25">
      <c r="E1762" t="s">
        <v>3469</v>
      </c>
      <c r="F1762">
        <v>1127703</v>
      </c>
      <c r="G1762" s="1">
        <v>45382</v>
      </c>
      <c r="H1762" t="s">
        <v>3470</v>
      </c>
      <c r="I1762" t="s">
        <v>1123</v>
      </c>
      <c r="J1762" s="1">
        <v>45292</v>
      </c>
      <c r="K1762">
        <v>4626000</v>
      </c>
    </row>
    <row r="1763" spans="5:11" x14ac:dyDescent="0.25">
      <c r="E1763" t="s">
        <v>3471</v>
      </c>
      <c r="F1763">
        <v>1128189</v>
      </c>
      <c r="G1763" s="1">
        <v>45382</v>
      </c>
      <c r="H1763" t="s">
        <v>3472</v>
      </c>
      <c r="I1763" t="s">
        <v>60</v>
      </c>
      <c r="J1763" s="1">
        <v>45292</v>
      </c>
      <c r="K1763">
        <v>-92026</v>
      </c>
    </row>
    <row r="1764" spans="5:11" x14ac:dyDescent="0.25">
      <c r="E1764" t="s">
        <v>3473</v>
      </c>
      <c r="F1764">
        <v>1128281</v>
      </c>
      <c r="G1764" s="1">
        <v>45382</v>
      </c>
      <c r="H1764" t="s">
        <v>3474</v>
      </c>
      <c r="I1764" t="s">
        <v>57</v>
      </c>
      <c r="J1764" s="1">
        <v>45292</v>
      </c>
      <c r="K1764">
        <v>187290</v>
      </c>
    </row>
    <row r="1765" spans="5:11" x14ac:dyDescent="0.25">
      <c r="E1765" t="s">
        <v>3475</v>
      </c>
      <c r="F1765">
        <v>1128361</v>
      </c>
      <c r="G1765" s="1">
        <v>45382</v>
      </c>
      <c r="H1765" t="s">
        <v>3476</v>
      </c>
      <c r="I1765" t="s">
        <v>36</v>
      </c>
      <c r="J1765" s="1">
        <v>45292</v>
      </c>
      <c r="K1765">
        <v>25864000</v>
      </c>
    </row>
    <row r="1766" spans="5:11" x14ac:dyDescent="0.25">
      <c r="E1766" t="s">
        <v>3477</v>
      </c>
      <c r="F1766">
        <v>1128928</v>
      </c>
      <c r="G1766" s="1">
        <v>45402</v>
      </c>
      <c r="H1766" t="s">
        <v>3478</v>
      </c>
      <c r="I1766" t="s">
        <v>64</v>
      </c>
      <c r="J1766" s="1">
        <v>45291</v>
      </c>
      <c r="K1766">
        <v>73043000</v>
      </c>
    </row>
    <row r="1767" spans="5:11" x14ac:dyDescent="0.25">
      <c r="E1767" t="s">
        <v>10423</v>
      </c>
      <c r="F1767">
        <v>1129155</v>
      </c>
      <c r="G1767" s="1">
        <v>45382</v>
      </c>
      <c r="H1767" t="s">
        <v>3479</v>
      </c>
      <c r="I1767" t="s">
        <v>64</v>
      </c>
      <c r="J1767" s="1">
        <v>45292</v>
      </c>
      <c r="K1767">
        <v>4597000</v>
      </c>
    </row>
    <row r="1768" spans="5:11" x14ac:dyDescent="0.25">
      <c r="E1768" t="s">
        <v>3480</v>
      </c>
      <c r="F1768">
        <v>1130144</v>
      </c>
      <c r="G1768" s="1">
        <v>45382</v>
      </c>
      <c r="H1768" t="s">
        <v>3481</v>
      </c>
      <c r="I1768" t="s">
        <v>36</v>
      </c>
      <c r="J1768" s="1">
        <v>45292</v>
      </c>
      <c r="K1768">
        <v>9330000</v>
      </c>
    </row>
    <row r="1769" spans="5:11" x14ac:dyDescent="0.25">
      <c r="E1769" t="s">
        <v>3482</v>
      </c>
      <c r="F1769">
        <v>1130166</v>
      </c>
      <c r="G1769" s="1">
        <v>45382</v>
      </c>
      <c r="H1769" t="s">
        <v>3483</v>
      </c>
      <c r="I1769" t="s">
        <v>46</v>
      </c>
      <c r="J1769" s="1">
        <v>45292</v>
      </c>
      <c r="K1769">
        <v>-2946000</v>
      </c>
    </row>
    <row r="1770" spans="5:11" x14ac:dyDescent="0.25">
      <c r="E1770" t="s">
        <v>3484</v>
      </c>
      <c r="F1770">
        <v>1130310</v>
      </c>
      <c r="G1770" s="1">
        <v>45382</v>
      </c>
      <c r="H1770" t="s">
        <v>3485</v>
      </c>
      <c r="I1770" t="s">
        <v>30</v>
      </c>
      <c r="J1770" s="1">
        <v>45292</v>
      </c>
      <c r="K1770">
        <v>350000000</v>
      </c>
    </row>
    <row r="1771" spans="5:11" x14ac:dyDescent="0.25">
      <c r="E1771" t="s">
        <v>3486</v>
      </c>
      <c r="F1771">
        <v>1130464</v>
      </c>
      <c r="G1771" s="1">
        <v>45382</v>
      </c>
      <c r="H1771" t="s">
        <v>3487</v>
      </c>
      <c r="I1771" t="s">
        <v>2045</v>
      </c>
      <c r="J1771" s="1">
        <v>45292</v>
      </c>
      <c r="K1771">
        <v>127900000</v>
      </c>
    </row>
    <row r="1772" spans="5:11" x14ac:dyDescent="0.25">
      <c r="E1772" t="s">
        <v>3488</v>
      </c>
      <c r="F1772">
        <v>1130713</v>
      </c>
      <c r="G1772" s="1">
        <v>45382</v>
      </c>
      <c r="H1772" t="s">
        <v>3489</v>
      </c>
      <c r="I1772" t="s">
        <v>406</v>
      </c>
      <c r="J1772" s="1">
        <v>45292</v>
      </c>
      <c r="K1772">
        <v>-73928000</v>
      </c>
    </row>
    <row r="1773" spans="5:11" x14ac:dyDescent="0.25">
      <c r="E1773" t="s">
        <v>3490</v>
      </c>
      <c r="F1773">
        <v>1130889</v>
      </c>
      <c r="G1773" s="1">
        <v>45382</v>
      </c>
      <c r="H1773" t="s">
        <v>3491</v>
      </c>
      <c r="I1773" t="s">
        <v>406</v>
      </c>
      <c r="J1773" s="1">
        <v>45292</v>
      </c>
      <c r="K1773">
        <v>-15939</v>
      </c>
    </row>
    <row r="1774" spans="5:11" x14ac:dyDescent="0.25">
      <c r="E1774" t="s">
        <v>3492</v>
      </c>
      <c r="F1774">
        <v>1131312</v>
      </c>
      <c r="G1774" s="1">
        <v>45382</v>
      </c>
      <c r="H1774" t="s">
        <v>3493</v>
      </c>
      <c r="I1774" t="s">
        <v>30</v>
      </c>
      <c r="J1774" s="1">
        <v>45292</v>
      </c>
      <c r="K1774">
        <v>-1762000</v>
      </c>
    </row>
    <row r="1775" spans="5:11" x14ac:dyDescent="0.25">
      <c r="E1775" t="s">
        <v>3494</v>
      </c>
      <c r="F1775">
        <v>1131903</v>
      </c>
      <c r="G1775" s="1">
        <v>45382</v>
      </c>
      <c r="H1775" t="s">
        <v>3495</v>
      </c>
      <c r="I1775" t="s">
        <v>504</v>
      </c>
      <c r="J1775" s="1">
        <v>45292</v>
      </c>
      <c r="K1775">
        <v>-64864</v>
      </c>
    </row>
    <row r="1776" spans="5:11" x14ac:dyDescent="0.25">
      <c r="E1776" t="s">
        <v>3496</v>
      </c>
      <c r="F1776">
        <v>1132105</v>
      </c>
      <c r="G1776" s="1">
        <v>45416</v>
      </c>
      <c r="H1776" t="s">
        <v>3497</v>
      </c>
      <c r="I1776" t="s">
        <v>406</v>
      </c>
      <c r="J1776" s="1">
        <v>45326</v>
      </c>
      <c r="K1776">
        <v>-18066000</v>
      </c>
    </row>
    <row r="1777" spans="5:11" x14ac:dyDescent="0.25">
      <c r="E1777" t="s">
        <v>3498</v>
      </c>
      <c r="F1777">
        <v>1132509</v>
      </c>
      <c r="G1777" s="1">
        <v>45382</v>
      </c>
      <c r="H1777" t="s">
        <v>3499</v>
      </c>
      <c r="I1777" t="s">
        <v>1245</v>
      </c>
      <c r="J1777" s="1">
        <v>45292</v>
      </c>
      <c r="K1777">
        <v>-17623</v>
      </c>
    </row>
    <row r="1778" spans="5:11" x14ac:dyDescent="0.25">
      <c r="E1778" t="s">
        <v>3500</v>
      </c>
      <c r="F1778">
        <v>1132651</v>
      </c>
      <c r="G1778" s="1">
        <v>45382</v>
      </c>
      <c r="H1778" t="s">
        <v>3501</v>
      </c>
      <c r="I1778" t="s">
        <v>95</v>
      </c>
      <c r="J1778" s="1">
        <v>45292</v>
      </c>
      <c r="K1778">
        <v>2304000</v>
      </c>
    </row>
    <row r="1779" spans="5:11" x14ac:dyDescent="0.25">
      <c r="E1779" t="s">
        <v>3502</v>
      </c>
      <c r="F1779">
        <v>1133062</v>
      </c>
      <c r="G1779" s="1">
        <v>45382</v>
      </c>
      <c r="H1779" t="s">
        <v>3503</v>
      </c>
      <c r="I1779" t="s">
        <v>57</v>
      </c>
      <c r="J1779" s="1">
        <v>45292</v>
      </c>
      <c r="K1779">
        <v>219000</v>
      </c>
    </row>
    <row r="1780" spans="5:11" x14ac:dyDescent="0.25">
      <c r="E1780" t="s">
        <v>3504</v>
      </c>
      <c r="F1780">
        <v>1133311</v>
      </c>
      <c r="G1780" s="1">
        <v>45382</v>
      </c>
      <c r="H1780" t="s">
        <v>3505</v>
      </c>
      <c r="I1780" t="s">
        <v>57</v>
      </c>
      <c r="J1780" s="1">
        <v>45292</v>
      </c>
      <c r="K1780">
        <v>4236000</v>
      </c>
    </row>
    <row r="1781" spans="5:11" x14ac:dyDescent="0.25">
      <c r="E1781" t="s">
        <v>3506</v>
      </c>
      <c r="F1781">
        <v>1133416</v>
      </c>
      <c r="G1781" s="1">
        <v>45382</v>
      </c>
      <c r="H1781" t="s">
        <v>3507</v>
      </c>
      <c r="I1781" t="s">
        <v>64</v>
      </c>
      <c r="J1781" s="1">
        <v>45292</v>
      </c>
      <c r="K1781">
        <v>-11489000</v>
      </c>
    </row>
    <row r="1782" spans="5:11" x14ac:dyDescent="0.25">
      <c r="E1782" t="s">
        <v>3508</v>
      </c>
      <c r="F1782">
        <v>1133421</v>
      </c>
      <c r="G1782" s="1">
        <v>45382</v>
      </c>
      <c r="H1782" t="s">
        <v>3509</v>
      </c>
      <c r="I1782" t="s">
        <v>123</v>
      </c>
      <c r="J1782" s="1">
        <v>45292</v>
      </c>
      <c r="K1782">
        <v>944000000</v>
      </c>
    </row>
    <row r="1783" spans="5:11" x14ac:dyDescent="0.25">
      <c r="E1783" t="s">
        <v>3510</v>
      </c>
      <c r="F1783">
        <v>1133470</v>
      </c>
      <c r="G1783" s="1">
        <v>45412</v>
      </c>
      <c r="H1783" t="s">
        <v>3511</v>
      </c>
      <c r="I1783" t="s">
        <v>36</v>
      </c>
      <c r="J1783" s="1">
        <v>45323</v>
      </c>
      <c r="K1783">
        <v>6062000</v>
      </c>
    </row>
    <row r="1784" spans="5:11" x14ac:dyDescent="0.25">
      <c r="E1784" t="s">
        <v>3512</v>
      </c>
      <c r="F1784">
        <v>1133818</v>
      </c>
      <c r="G1784" s="1">
        <v>45382</v>
      </c>
      <c r="H1784" t="s">
        <v>3513</v>
      </c>
      <c r="I1784" t="s">
        <v>30</v>
      </c>
      <c r="J1784" s="1">
        <v>45292</v>
      </c>
      <c r="K1784">
        <v>-3157000</v>
      </c>
    </row>
    <row r="1785" spans="5:11" x14ac:dyDescent="0.25">
      <c r="E1785" t="s">
        <v>3514</v>
      </c>
      <c r="F1785">
        <v>1133869</v>
      </c>
      <c r="G1785" s="1">
        <v>45382</v>
      </c>
      <c r="H1785" t="s">
        <v>3515</v>
      </c>
      <c r="I1785" t="s">
        <v>36</v>
      </c>
      <c r="J1785" s="1">
        <v>45292</v>
      </c>
      <c r="K1785">
        <v>-9794073</v>
      </c>
    </row>
    <row r="1786" spans="5:11" x14ac:dyDescent="0.25">
      <c r="E1786" t="s">
        <v>3516</v>
      </c>
      <c r="F1786">
        <v>1134115</v>
      </c>
      <c r="G1786" s="1">
        <v>45382</v>
      </c>
      <c r="H1786" t="s">
        <v>3517</v>
      </c>
      <c r="I1786" t="s">
        <v>2552</v>
      </c>
      <c r="J1786" s="1">
        <v>45292</v>
      </c>
      <c r="K1786">
        <v>-545308</v>
      </c>
    </row>
    <row r="1787" spans="5:11" x14ac:dyDescent="0.25">
      <c r="E1787" t="s">
        <v>3518</v>
      </c>
      <c r="F1787">
        <v>1134765</v>
      </c>
      <c r="G1787" s="1">
        <v>45382</v>
      </c>
      <c r="H1787" t="s">
        <v>3519</v>
      </c>
      <c r="I1787" t="s">
        <v>36</v>
      </c>
      <c r="J1787" s="1">
        <v>45292</v>
      </c>
      <c r="K1787">
        <v>-1045000</v>
      </c>
    </row>
    <row r="1788" spans="5:11" x14ac:dyDescent="0.25">
      <c r="E1788" t="s">
        <v>3520</v>
      </c>
      <c r="F1788">
        <v>1134982</v>
      </c>
      <c r="G1788" s="1">
        <v>45382</v>
      </c>
      <c r="H1788" t="s">
        <v>3521</v>
      </c>
      <c r="I1788" t="s">
        <v>36</v>
      </c>
      <c r="J1788" s="1">
        <v>45292</v>
      </c>
      <c r="K1788">
        <v>-748265</v>
      </c>
    </row>
    <row r="1789" spans="5:11" x14ac:dyDescent="0.25">
      <c r="E1789" t="s">
        <v>3522</v>
      </c>
      <c r="F1789">
        <v>1136174</v>
      </c>
      <c r="G1789" s="1">
        <v>45382</v>
      </c>
      <c r="H1789" t="s">
        <v>3523</v>
      </c>
      <c r="I1789" t="s">
        <v>33</v>
      </c>
      <c r="J1789" s="1">
        <v>45292</v>
      </c>
      <c r="K1789">
        <v>-4458000</v>
      </c>
    </row>
    <row r="1790" spans="5:11" x14ac:dyDescent="0.25">
      <c r="E1790" t="s">
        <v>3524</v>
      </c>
      <c r="F1790">
        <v>1136869</v>
      </c>
      <c r="G1790" s="1">
        <v>45382</v>
      </c>
      <c r="H1790" t="s">
        <v>3525</v>
      </c>
      <c r="I1790" t="s">
        <v>288</v>
      </c>
      <c r="J1790" s="1">
        <v>45292</v>
      </c>
      <c r="K1790">
        <v>172400000</v>
      </c>
    </row>
    <row r="1791" spans="5:11" x14ac:dyDescent="0.25">
      <c r="E1791" t="s">
        <v>3526</v>
      </c>
      <c r="F1791">
        <v>1136893</v>
      </c>
      <c r="G1791" s="1">
        <v>45382</v>
      </c>
      <c r="H1791" t="s">
        <v>3527</v>
      </c>
      <c r="I1791" t="s">
        <v>33</v>
      </c>
      <c r="J1791" s="1">
        <v>45292</v>
      </c>
      <c r="K1791">
        <v>724000000</v>
      </c>
    </row>
    <row r="1792" spans="5:11" x14ac:dyDescent="0.25">
      <c r="E1792" t="s">
        <v>3528</v>
      </c>
      <c r="F1792">
        <v>1137091</v>
      </c>
      <c r="G1792" s="1">
        <v>45382</v>
      </c>
      <c r="H1792" t="s">
        <v>3529</v>
      </c>
      <c r="I1792" t="s">
        <v>19</v>
      </c>
      <c r="J1792" s="1">
        <v>45292</v>
      </c>
      <c r="K1792">
        <v>7115000</v>
      </c>
    </row>
    <row r="1793" spans="5:11" x14ac:dyDescent="0.25">
      <c r="E1793" t="s">
        <v>3530</v>
      </c>
      <c r="F1793">
        <v>1137547</v>
      </c>
      <c r="G1793" s="1">
        <v>45382</v>
      </c>
      <c r="H1793" t="s">
        <v>3531</v>
      </c>
      <c r="I1793" t="s">
        <v>36</v>
      </c>
      <c r="J1793" s="1">
        <v>45292</v>
      </c>
      <c r="K1793">
        <v>4161000</v>
      </c>
    </row>
    <row r="1794" spans="5:11" x14ac:dyDescent="0.25">
      <c r="E1794" t="s">
        <v>3532</v>
      </c>
      <c r="F1794">
        <v>1137774</v>
      </c>
      <c r="G1794" s="1">
        <v>45382</v>
      </c>
      <c r="H1794" t="s">
        <v>3533</v>
      </c>
      <c r="I1794" t="s">
        <v>46</v>
      </c>
      <c r="J1794" s="1">
        <v>45292</v>
      </c>
      <c r="K1794">
        <v>1138000000</v>
      </c>
    </row>
    <row r="1795" spans="5:11" x14ac:dyDescent="0.25">
      <c r="E1795" t="s">
        <v>3534</v>
      </c>
      <c r="F1795">
        <v>1137789</v>
      </c>
      <c r="G1795" s="1">
        <v>45380</v>
      </c>
      <c r="H1795" t="s">
        <v>3535</v>
      </c>
      <c r="I1795" t="s">
        <v>1245</v>
      </c>
      <c r="J1795" s="1">
        <v>45290</v>
      </c>
      <c r="K1795">
        <v>25000000</v>
      </c>
    </row>
    <row r="1796" spans="5:11" x14ac:dyDescent="0.25">
      <c r="E1796" t="s">
        <v>3536</v>
      </c>
      <c r="F1796">
        <v>1137883</v>
      </c>
      <c r="G1796" s="1">
        <v>45382</v>
      </c>
      <c r="H1796" t="s">
        <v>3537</v>
      </c>
      <c r="I1796" t="s">
        <v>57</v>
      </c>
      <c r="J1796" s="1">
        <v>45292</v>
      </c>
      <c r="K1796">
        <v>-3401000</v>
      </c>
    </row>
    <row r="1797" spans="5:11" x14ac:dyDescent="0.25">
      <c r="E1797" t="s">
        <v>3538</v>
      </c>
      <c r="F1797">
        <v>1138118</v>
      </c>
      <c r="G1797" s="1">
        <v>45382</v>
      </c>
      <c r="H1797" t="s">
        <v>3539</v>
      </c>
      <c r="I1797" t="s">
        <v>30</v>
      </c>
      <c r="J1797" s="1">
        <v>45292</v>
      </c>
      <c r="K1797">
        <v>126000000</v>
      </c>
    </row>
    <row r="1798" spans="5:11" x14ac:dyDescent="0.25">
      <c r="E1798" t="s">
        <v>3540</v>
      </c>
      <c r="F1798">
        <v>1138476</v>
      </c>
      <c r="G1798" s="1">
        <v>45382</v>
      </c>
      <c r="H1798" t="s">
        <v>3541</v>
      </c>
      <c r="I1798" t="s">
        <v>36</v>
      </c>
      <c r="J1798" s="1">
        <v>45292</v>
      </c>
      <c r="K1798">
        <v>197403</v>
      </c>
    </row>
    <row r="1799" spans="5:11" x14ac:dyDescent="0.25">
      <c r="E1799" t="s">
        <v>3542</v>
      </c>
      <c r="F1799">
        <v>1138639</v>
      </c>
      <c r="G1799" s="1">
        <v>45381</v>
      </c>
      <c r="H1799" t="s">
        <v>3543</v>
      </c>
      <c r="I1799" t="s">
        <v>36</v>
      </c>
      <c r="J1799" s="1">
        <v>45291</v>
      </c>
      <c r="K1799">
        <v>-61395000</v>
      </c>
    </row>
    <row r="1800" spans="5:11" x14ac:dyDescent="0.25">
      <c r="E1800" t="s">
        <v>3544</v>
      </c>
      <c r="F1800">
        <v>1138723</v>
      </c>
      <c r="G1800" s="1">
        <v>45382</v>
      </c>
      <c r="H1800" t="s">
        <v>3545</v>
      </c>
      <c r="I1800" t="s">
        <v>83</v>
      </c>
      <c r="J1800" s="1">
        <v>45292</v>
      </c>
      <c r="K1800">
        <v>-6342000</v>
      </c>
    </row>
    <row r="1801" spans="5:11" x14ac:dyDescent="0.25">
      <c r="E1801" t="s">
        <v>3546</v>
      </c>
      <c r="F1801">
        <v>1138724</v>
      </c>
      <c r="G1801" s="1">
        <v>45382</v>
      </c>
      <c r="H1801" t="s">
        <v>3547</v>
      </c>
      <c r="I1801" t="s">
        <v>57</v>
      </c>
      <c r="J1801" s="1">
        <v>45292</v>
      </c>
      <c r="K1801">
        <v>-131018</v>
      </c>
    </row>
    <row r="1802" spans="5:11" x14ac:dyDescent="0.25">
      <c r="E1802" t="s">
        <v>3548</v>
      </c>
      <c r="F1802">
        <v>1138978</v>
      </c>
      <c r="G1802" s="1">
        <v>45351</v>
      </c>
      <c r="H1802" t="s">
        <v>3549</v>
      </c>
      <c r="I1802" t="s">
        <v>504</v>
      </c>
      <c r="J1802" s="1">
        <v>45261</v>
      </c>
      <c r="K1802">
        <v>-2746128</v>
      </c>
    </row>
    <row r="1803" spans="5:11" x14ac:dyDescent="0.25">
      <c r="E1803" t="s">
        <v>3550</v>
      </c>
      <c r="F1803">
        <v>1140102</v>
      </c>
      <c r="G1803" s="1">
        <v>45382</v>
      </c>
      <c r="H1803" t="s">
        <v>3551</v>
      </c>
      <c r="I1803" t="s">
        <v>686</v>
      </c>
      <c r="J1803" s="1">
        <v>45292</v>
      </c>
      <c r="K1803">
        <v>1619000</v>
      </c>
    </row>
    <row r="1804" spans="5:11" x14ac:dyDescent="0.25">
      <c r="E1804" t="s">
        <v>3552</v>
      </c>
      <c r="F1804">
        <v>1140215</v>
      </c>
      <c r="G1804" s="1">
        <v>45382</v>
      </c>
      <c r="H1804" t="s">
        <v>3553</v>
      </c>
      <c r="I1804" t="s">
        <v>27</v>
      </c>
      <c r="J1804" s="1">
        <v>45292</v>
      </c>
      <c r="K1804">
        <v>-1673000</v>
      </c>
    </row>
    <row r="1805" spans="5:11" x14ac:dyDescent="0.25">
      <c r="E1805" t="s">
        <v>3554</v>
      </c>
      <c r="F1805">
        <v>1140536</v>
      </c>
      <c r="G1805" s="1">
        <v>45382</v>
      </c>
      <c r="H1805" t="s">
        <v>3555</v>
      </c>
      <c r="I1805" t="s">
        <v>594</v>
      </c>
      <c r="J1805" s="1">
        <v>45292</v>
      </c>
      <c r="K1805">
        <v>190000000</v>
      </c>
    </row>
    <row r="1806" spans="5:11" x14ac:dyDescent="0.25">
      <c r="E1806" t="s">
        <v>3556</v>
      </c>
      <c r="F1806">
        <v>1140859</v>
      </c>
      <c r="G1806" s="1">
        <v>45382</v>
      </c>
      <c r="H1806" t="s">
        <v>3557</v>
      </c>
      <c r="I1806" t="s">
        <v>39</v>
      </c>
      <c r="J1806" s="1">
        <v>45292</v>
      </c>
      <c r="K1806">
        <v>420775000</v>
      </c>
    </row>
    <row r="1807" spans="5:11" x14ac:dyDescent="0.25">
      <c r="E1807" t="s">
        <v>3558</v>
      </c>
      <c r="F1807">
        <v>1141103</v>
      </c>
      <c r="G1807" s="1">
        <v>45382</v>
      </c>
      <c r="H1807" t="s">
        <v>3559</v>
      </c>
      <c r="I1807" t="s">
        <v>33</v>
      </c>
      <c r="J1807" s="1">
        <v>45292</v>
      </c>
      <c r="K1807">
        <v>2692000</v>
      </c>
    </row>
    <row r="1808" spans="5:11" x14ac:dyDescent="0.25">
      <c r="E1808" t="s">
        <v>3560</v>
      </c>
      <c r="F1808">
        <v>1141197</v>
      </c>
      <c r="G1808" s="1">
        <v>45382</v>
      </c>
      <c r="H1808" t="s">
        <v>3561</v>
      </c>
      <c r="I1808" t="s">
        <v>30</v>
      </c>
      <c r="J1808" s="1">
        <v>45292</v>
      </c>
      <c r="K1808">
        <v>773000</v>
      </c>
    </row>
    <row r="1809" spans="5:11" x14ac:dyDescent="0.25">
      <c r="E1809" t="s">
        <v>3562</v>
      </c>
      <c r="F1809">
        <v>1141240</v>
      </c>
      <c r="G1809" s="1">
        <v>45382</v>
      </c>
      <c r="H1809" t="s">
        <v>3563</v>
      </c>
      <c r="I1809" t="s">
        <v>36</v>
      </c>
      <c r="J1809" s="1">
        <v>45292</v>
      </c>
      <c r="K1809">
        <v>-314000</v>
      </c>
    </row>
    <row r="1810" spans="5:11" x14ac:dyDescent="0.25">
      <c r="E1810" t="s">
        <v>3564</v>
      </c>
      <c r="F1810">
        <v>1141284</v>
      </c>
      <c r="G1810" s="1">
        <v>45382</v>
      </c>
      <c r="H1810" t="s">
        <v>3565</v>
      </c>
      <c r="I1810" t="s">
        <v>36</v>
      </c>
      <c r="J1810" s="1">
        <v>45292</v>
      </c>
      <c r="K1810">
        <v>-1986000</v>
      </c>
    </row>
    <row r="1811" spans="5:11" x14ac:dyDescent="0.25">
      <c r="E1811" t="s">
        <v>3566</v>
      </c>
      <c r="F1811">
        <v>1141688</v>
      </c>
      <c r="G1811" s="1">
        <v>45382</v>
      </c>
      <c r="H1811" t="s">
        <v>3567</v>
      </c>
      <c r="I1811" t="s">
        <v>106</v>
      </c>
      <c r="J1811" s="1">
        <v>45292</v>
      </c>
      <c r="K1811">
        <v>2778000</v>
      </c>
    </row>
    <row r="1812" spans="5:11" x14ac:dyDescent="0.25">
      <c r="E1812" t="s">
        <v>3568</v>
      </c>
      <c r="F1812">
        <v>1141964</v>
      </c>
      <c r="G1812" s="1">
        <v>45382</v>
      </c>
      <c r="H1812" t="s">
        <v>3569</v>
      </c>
      <c r="I1812" t="s">
        <v>36</v>
      </c>
      <c r="J1812" s="1">
        <v>45292</v>
      </c>
      <c r="K1812">
        <v>-19125</v>
      </c>
    </row>
    <row r="1813" spans="5:11" x14ac:dyDescent="0.25">
      <c r="E1813" t="s">
        <v>3570</v>
      </c>
      <c r="F1813">
        <v>1142417</v>
      </c>
      <c r="G1813" s="1">
        <v>45382</v>
      </c>
      <c r="H1813" t="s">
        <v>3571</v>
      </c>
      <c r="I1813" t="s">
        <v>30</v>
      </c>
      <c r="J1813" s="1">
        <v>45292</v>
      </c>
      <c r="K1813">
        <v>175000000</v>
      </c>
    </row>
    <row r="1814" spans="5:11" x14ac:dyDescent="0.25">
      <c r="E1814" t="s">
        <v>3572</v>
      </c>
      <c r="F1814">
        <v>1142750</v>
      </c>
      <c r="G1814" s="1">
        <v>45382</v>
      </c>
      <c r="H1814" t="s">
        <v>3573</v>
      </c>
      <c r="I1814" t="s">
        <v>30</v>
      </c>
      <c r="J1814" s="1">
        <v>45292</v>
      </c>
      <c r="K1814">
        <v>17328000</v>
      </c>
    </row>
    <row r="1815" spans="5:11" x14ac:dyDescent="0.25">
      <c r="E1815" t="s">
        <v>3574</v>
      </c>
      <c r="F1815">
        <v>1143513</v>
      </c>
      <c r="G1815" s="1">
        <v>45382</v>
      </c>
      <c r="H1815" t="s">
        <v>3575</v>
      </c>
      <c r="I1815" t="s">
        <v>123</v>
      </c>
      <c r="J1815" s="1">
        <v>45292</v>
      </c>
      <c r="K1815">
        <v>23632000</v>
      </c>
    </row>
    <row r="1816" spans="5:11" x14ac:dyDescent="0.25">
      <c r="E1816" t="s">
        <v>3576</v>
      </c>
      <c r="F1816">
        <v>1143994</v>
      </c>
      <c r="G1816" s="1">
        <v>45351</v>
      </c>
      <c r="H1816" t="s">
        <v>3577</v>
      </c>
      <c r="I1816" t="s">
        <v>2138</v>
      </c>
      <c r="J1816" s="1">
        <v>45261</v>
      </c>
      <c r="K1816">
        <v>-800</v>
      </c>
    </row>
    <row r="1817" spans="5:11" x14ac:dyDescent="0.25">
      <c r="E1817" t="s">
        <v>3578</v>
      </c>
      <c r="F1817">
        <v>1144215</v>
      </c>
      <c r="G1817" s="1">
        <v>45351</v>
      </c>
      <c r="H1817" t="s">
        <v>3579</v>
      </c>
      <c r="I1817" t="s">
        <v>64</v>
      </c>
      <c r="J1817" s="1">
        <v>45261</v>
      </c>
      <c r="K1817">
        <v>89200000</v>
      </c>
    </row>
    <row r="1818" spans="5:11" x14ac:dyDescent="0.25">
      <c r="E1818" t="s">
        <v>3580</v>
      </c>
      <c r="F1818">
        <v>1144879</v>
      </c>
      <c r="G1818" s="1">
        <v>45351</v>
      </c>
      <c r="H1818" t="s">
        <v>3581</v>
      </c>
      <c r="I1818" t="s">
        <v>30</v>
      </c>
      <c r="J1818" s="1">
        <v>45261</v>
      </c>
      <c r="K1818">
        <v>-62838000</v>
      </c>
    </row>
    <row r="1819" spans="5:11" x14ac:dyDescent="0.25">
      <c r="E1819" t="s">
        <v>10424</v>
      </c>
      <c r="F1819">
        <v>1144980</v>
      </c>
      <c r="G1819" s="1">
        <v>45382</v>
      </c>
      <c r="H1819" s="2" t="s">
        <v>3582</v>
      </c>
      <c r="I1819" t="s">
        <v>64</v>
      </c>
      <c r="J1819" s="1">
        <v>45292</v>
      </c>
      <c r="K1819">
        <v>147100000</v>
      </c>
    </row>
    <row r="1820" spans="5:11" x14ac:dyDescent="0.25">
      <c r="E1820" t="s">
        <v>3583</v>
      </c>
      <c r="F1820">
        <v>1145197</v>
      </c>
      <c r="G1820" s="1">
        <v>45382</v>
      </c>
      <c r="H1820" s="2" t="s">
        <v>3584</v>
      </c>
      <c r="I1820" t="s">
        <v>24</v>
      </c>
      <c r="J1820" s="1">
        <v>45292</v>
      </c>
      <c r="K1820">
        <v>51500000</v>
      </c>
    </row>
    <row r="1821" spans="5:11" x14ac:dyDescent="0.25">
      <c r="E1821" t="s">
        <v>3585</v>
      </c>
      <c r="F1821">
        <v>1145255</v>
      </c>
      <c r="G1821" s="1">
        <v>45382</v>
      </c>
      <c r="H1821" s="2" t="s">
        <v>3586</v>
      </c>
      <c r="I1821" t="s">
        <v>36</v>
      </c>
      <c r="J1821" s="1">
        <v>45292</v>
      </c>
      <c r="K1821">
        <v>1540000</v>
      </c>
    </row>
    <row r="1822" spans="5:11" x14ac:dyDescent="0.25">
      <c r="E1822" t="s">
        <v>3587</v>
      </c>
      <c r="F1822">
        <v>1145604</v>
      </c>
      <c r="G1822" s="1">
        <v>45382</v>
      </c>
      <c r="H1822" s="2" t="s">
        <v>3588</v>
      </c>
      <c r="I1822" t="s">
        <v>142</v>
      </c>
      <c r="J1822" s="1">
        <v>45292</v>
      </c>
      <c r="K1822">
        <v>-65988</v>
      </c>
    </row>
    <row r="1823" spans="5:11" x14ac:dyDescent="0.25">
      <c r="E1823" t="s">
        <v>3589</v>
      </c>
      <c r="F1823">
        <v>1145765</v>
      </c>
      <c r="G1823" s="1">
        <v>45382</v>
      </c>
      <c r="H1823" t="s">
        <v>3590</v>
      </c>
      <c r="I1823" t="s">
        <v>57</v>
      </c>
      <c r="J1823" s="1">
        <v>45292</v>
      </c>
      <c r="K1823">
        <v>5848256</v>
      </c>
    </row>
    <row r="1824" spans="5:11" x14ac:dyDescent="0.25">
      <c r="E1824" t="s">
        <v>3591</v>
      </c>
      <c r="F1824">
        <v>1145986</v>
      </c>
      <c r="G1824" s="1">
        <v>45382</v>
      </c>
      <c r="H1824" t="s">
        <v>3592</v>
      </c>
      <c r="I1824" t="s">
        <v>24</v>
      </c>
      <c r="J1824" s="1">
        <v>45292</v>
      </c>
      <c r="K1824">
        <v>-1835000</v>
      </c>
    </row>
    <row r="1825" spans="5:11" x14ac:dyDescent="0.25">
      <c r="E1825" t="s">
        <v>3593</v>
      </c>
      <c r="F1825">
        <v>1156039</v>
      </c>
      <c r="G1825" s="1">
        <v>45382</v>
      </c>
      <c r="H1825" t="s">
        <v>3594</v>
      </c>
      <c r="I1825" t="s">
        <v>288</v>
      </c>
      <c r="J1825" s="1">
        <v>45292</v>
      </c>
      <c r="K1825">
        <v>2246000000</v>
      </c>
    </row>
    <row r="1826" spans="5:11" x14ac:dyDescent="0.25">
      <c r="E1826" t="s">
        <v>3595</v>
      </c>
      <c r="F1826">
        <v>1156041</v>
      </c>
      <c r="G1826" s="1">
        <v>45382</v>
      </c>
      <c r="H1826" t="s">
        <v>3596</v>
      </c>
      <c r="I1826" t="s">
        <v>30</v>
      </c>
      <c r="J1826" s="1">
        <v>45292</v>
      </c>
      <c r="K1826">
        <v>-15699</v>
      </c>
    </row>
    <row r="1827" spans="5:11" x14ac:dyDescent="0.25">
      <c r="E1827" t="s">
        <v>3597</v>
      </c>
      <c r="F1827">
        <v>1156174</v>
      </c>
      <c r="G1827" s="1">
        <v>45382</v>
      </c>
      <c r="H1827" t="s">
        <v>3598</v>
      </c>
      <c r="I1827" t="s">
        <v>2045</v>
      </c>
      <c r="J1827" s="1">
        <v>45292</v>
      </c>
      <c r="K1827">
        <v>2357654</v>
      </c>
    </row>
    <row r="1828" spans="5:11" x14ac:dyDescent="0.25">
      <c r="E1828" t="s">
        <v>3599</v>
      </c>
      <c r="F1828">
        <v>1156388</v>
      </c>
      <c r="G1828" s="1">
        <v>45382</v>
      </c>
      <c r="H1828" t="s">
        <v>3600</v>
      </c>
      <c r="I1828" t="s">
        <v>36</v>
      </c>
      <c r="J1828" s="1">
        <v>45292</v>
      </c>
      <c r="K1828">
        <v>-8286000</v>
      </c>
    </row>
    <row r="1829" spans="5:11" x14ac:dyDescent="0.25">
      <c r="E1829" t="s">
        <v>3601</v>
      </c>
      <c r="F1829">
        <v>1157408</v>
      </c>
      <c r="G1829" s="1">
        <v>45382</v>
      </c>
      <c r="H1829" t="s">
        <v>3602</v>
      </c>
      <c r="I1829" t="s">
        <v>123</v>
      </c>
      <c r="J1829" s="1">
        <v>45292</v>
      </c>
      <c r="K1829">
        <v>69687000</v>
      </c>
    </row>
    <row r="1830" spans="5:11" x14ac:dyDescent="0.25">
      <c r="E1830" t="s">
        <v>10425</v>
      </c>
      <c r="F1830">
        <v>1157601</v>
      </c>
      <c r="G1830" s="1">
        <v>45382</v>
      </c>
      <c r="H1830" t="s">
        <v>3603</v>
      </c>
      <c r="I1830" t="s">
        <v>39</v>
      </c>
      <c r="J1830" s="1">
        <v>45292</v>
      </c>
      <c r="K1830">
        <v>-147541000</v>
      </c>
    </row>
    <row r="1831" spans="5:11" x14ac:dyDescent="0.25">
      <c r="E1831" t="s">
        <v>3604</v>
      </c>
      <c r="F1831">
        <v>1157647</v>
      </c>
      <c r="G1831" s="1">
        <v>45382</v>
      </c>
      <c r="H1831" t="s">
        <v>3605</v>
      </c>
      <c r="I1831" t="s">
        <v>24</v>
      </c>
      <c r="J1831" s="1">
        <v>45292</v>
      </c>
      <c r="K1831">
        <v>2961000</v>
      </c>
    </row>
    <row r="1832" spans="5:11" x14ac:dyDescent="0.25">
      <c r="E1832" t="s">
        <v>3606</v>
      </c>
      <c r="F1832">
        <v>1157762</v>
      </c>
      <c r="G1832" s="1">
        <v>45382</v>
      </c>
      <c r="H1832" t="s">
        <v>3607</v>
      </c>
      <c r="I1832" t="s">
        <v>1164</v>
      </c>
      <c r="J1832" s="1">
        <v>45292</v>
      </c>
      <c r="K1832">
        <v>8267000</v>
      </c>
    </row>
    <row r="1833" spans="5:11" x14ac:dyDescent="0.25">
      <c r="E1833" t="s">
        <v>3608</v>
      </c>
      <c r="F1833">
        <v>1158114</v>
      </c>
      <c r="G1833" s="1">
        <v>45382</v>
      </c>
      <c r="H1833" t="s">
        <v>3609</v>
      </c>
      <c r="I1833" t="s">
        <v>30</v>
      </c>
      <c r="J1833" s="1">
        <v>45292</v>
      </c>
      <c r="K1833">
        <v>-23170000</v>
      </c>
    </row>
    <row r="1834" spans="5:11" x14ac:dyDescent="0.25">
      <c r="E1834" t="s">
        <v>3610</v>
      </c>
      <c r="F1834">
        <v>1158172</v>
      </c>
      <c r="G1834" s="1">
        <v>45382</v>
      </c>
      <c r="H1834" t="s">
        <v>3611</v>
      </c>
      <c r="I1834" t="s">
        <v>123</v>
      </c>
      <c r="J1834" s="1">
        <v>45292</v>
      </c>
      <c r="K1834">
        <v>-1054000</v>
      </c>
    </row>
    <row r="1835" spans="5:11" x14ac:dyDescent="0.25">
      <c r="E1835" t="s">
        <v>3612</v>
      </c>
      <c r="F1835">
        <v>1158449</v>
      </c>
      <c r="G1835" s="1">
        <v>45402</v>
      </c>
      <c r="H1835" t="s">
        <v>3613</v>
      </c>
      <c r="I1835" t="s">
        <v>172</v>
      </c>
      <c r="J1835" s="1">
        <v>45291</v>
      </c>
      <c r="K1835">
        <v>40012000</v>
      </c>
    </row>
    <row r="1836" spans="5:11" x14ac:dyDescent="0.25">
      <c r="E1836" t="s">
        <v>3614</v>
      </c>
      <c r="F1836">
        <v>1158463</v>
      </c>
      <c r="G1836" s="1">
        <v>45382</v>
      </c>
      <c r="H1836" t="s">
        <v>3615</v>
      </c>
      <c r="I1836" t="s">
        <v>57</v>
      </c>
      <c r="J1836" s="1">
        <v>45292</v>
      </c>
      <c r="K1836">
        <v>-716000000</v>
      </c>
    </row>
    <row r="1837" spans="5:11" x14ac:dyDescent="0.25">
      <c r="E1837" t="s">
        <v>3616</v>
      </c>
      <c r="F1837">
        <v>1158780</v>
      </c>
      <c r="G1837" s="1">
        <v>45382</v>
      </c>
      <c r="H1837" t="s">
        <v>3617</v>
      </c>
      <c r="I1837" t="s">
        <v>1511</v>
      </c>
      <c r="J1837" s="1">
        <v>45292</v>
      </c>
      <c r="K1837">
        <v>-5293000</v>
      </c>
    </row>
    <row r="1838" spans="5:11" x14ac:dyDescent="0.25">
      <c r="E1838" t="s">
        <v>3618</v>
      </c>
      <c r="F1838">
        <v>1158895</v>
      </c>
      <c r="G1838" s="1">
        <v>45382</v>
      </c>
      <c r="H1838" t="s">
        <v>3619</v>
      </c>
      <c r="I1838" t="s">
        <v>24</v>
      </c>
      <c r="J1838" s="1">
        <v>45292</v>
      </c>
      <c r="K1838">
        <v>9887000</v>
      </c>
    </row>
    <row r="1839" spans="5:11" x14ac:dyDescent="0.25">
      <c r="E1839" t="s">
        <v>3620</v>
      </c>
      <c r="F1839">
        <v>1159036</v>
      </c>
      <c r="G1839" s="1">
        <v>45382</v>
      </c>
      <c r="H1839" t="s">
        <v>3621</v>
      </c>
      <c r="I1839" t="s">
        <v>36</v>
      </c>
      <c r="J1839" s="1">
        <v>45292</v>
      </c>
      <c r="K1839">
        <v>76823000</v>
      </c>
    </row>
    <row r="1840" spans="5:11" x14ac:dyDescent="0.25">
      <c r="E1840" t="s">
        <v>3622</v>
      </c>
      <c r="F1840">
        <v>1159167</v>
      </c>
      <c r="G1840" s="1">
        <v>45381</v>
      </c>
      <c r="H1840" t="s">
        <v>3623</v>
      </c>
      <c r="I1840" t="s">
        <v>24</v>
      </c>
      <c r="J1840" s="1">
        <v>45291</v>
      </c>
      <c r="K1840">
        <v>8607000</v>
      </c>
    </row>
    <row r="1841" spans="5:11" x14ac:dyDescent="0.25">
      <c r="E1841" t="s">
        <v>3624</v>
      </c>
      <c r="F1841">
        <v>1160308</v>
      </c>
      <c r="G1841" s="1">
        <v>45382</v>
      </c>
      <c r="H1841" t="s">
        <v>3625</v>
      </c>
      <c r="I1841" t="s">
        <v>39</v>
      </c>
      <c r="J1841" s="1">
        <v>45292</v>
      </c>
      <c r="K1841">
        <v>-20346000</v>
      </c>
    </row>
    <row r="1842" spans="5:11" x14ac:dyDescent="0.25">
      <c r="E1842" t="s">
        <v>3626</v>
      </c>
      <c r="F1842">
        <v>1160791</v>
      </c>
      <c r="G1842" s="1">
        <v>45382</v>
      </c>
      <c r="H1842" t="s">
        <v>3627</v>
      </c>
      <c r="I1842" t="s">
        <v>92</v>
      </c>
      <c r="J1842" s="1">
        <v>45292</v>
      </c>
      <c r="K1842">
        <v>-4021000</v>
      </c>
    </row>
    <row r="1843" spans="5:11" x14ac:dyDescent="0.25">
      <c r="E1843" t="s">
        <v>3628</v>
      </c>
      <c r="F1843">
        <v>1160945</v>
      </c>
      <c r="G1843" s="1">
        <v>45382</v>
      </c>
      <c r="H1843" t="s">
        <v>3629</v>
      </c>
      <c r="I1843" t="s">
        <v>406</v>
      </c>
      <c r="J1843" s="1">
        <v>45292</v>
      </c>
      <c r="K1843">
        <v>-15973</v>
      </c>
    </row>
    <row r="1844" spans="5:11" x14ac:dyDescent="0.25">
      <c r="E1844" t="s">
        <v>3630</v>
      </c>
      <c r="F1844">
        <v>1161728</v>
      </c>
      <c r="G1844" s="1">
        <v>45382</v>
      </c>
      <c r="H1844" t="s">
        <v>3631</v>
      </c>
      <c r="I1844" t="s">
        <v>83</v>
      </c>
      <c r="J1844" s="1">
        <v>45292</v>
      </c>
      <c r="K1844">
        <v>33814000</v>
      </c>
    </row>
    <row r="1845" spans="5:11" x14ac:dyDescent="0.25">
      <c r="E1845" t="s">
        <v>3632</v>
      </c>
      <c r="F1845">
        <v>1162194</v>
      </c>
      <c r="G1845" s="1">
        <v>45382</v>
      </c>
      <c r="H1845" t="s">
        <v>3633</v>
      </c>
      <c r="I1845" t="s">
        <v>36</v>
      </c>
      <c r="J1845" s="1">
        <v>45292</v>
      </c>
      <c r="K1845">
        <v>-32157000</v>
      </c>
    </row>
    <row r="1846" spans="5:11" x14ac:dyDescent="0.25">
      <c r="E1846" t="s">
        <v>3634</v>
      </c>
      <c r="F1846">
        <v>1162461</v>
      </c>
      <c r="G1846" s="1">
        <v>45382</v>
      </c>
      <c r="H1846" t="s">
        <v>3635</v>
      </c>
      <c r="I1846" t="s">
        <v>36</v>
      </c>
      <c r="J1846" s="1">
        <v>45292</v>
      </c>
      <c r="K1846">
        <v>-22778000</v>
      </c>
    </row>
    <row r="1847" spans="5:11" x14ac:dyDescent="0.25">
      <c r="E1847" t="s">
        <v>3636</v>
      </c>
      <c r="F1847">
        <v>1162896</v>
      </c>
      <c r="G1847" s="1">
        <v>45382</v>
      </c>
      <c r="H1847" t="s">
        <v>3637</v>
      </c>
      <c r="I1847" t="s">
        <v>30</v>
      </c>
      <c r="J1847" s="1">
        <v>45292</v>
      </c>
      <c r="K1847">
        <v>-9037284</v>
      </c>
    </row>
    <row r="1848" spans="5:11" x14ac:dyDescent="0.25">
      <c r="E1848" t="s">
        <v>3638</v>
      </c>
      <c r="F1848">
        <v>1163165</v>
      </c>
      <c r="G1848" s="1">
        <v>45382</v>
      </c>
      <c r="H1848" t="s">
        <v>3639</v>
      </c>
      <c r="I1848" t="s">
        <v>30</v>
      </c>
      <c r="J1848" s="1">
        <v>45292</v>
      </c>
      <c r="K1848">
        <v>2551000000</v>
      </c>
    </row>
    <row r="1849" spans="5:11" x14ac:dyDescent="0.25">
      <c r="E1849" t="s">
        <v>3640</v>
      </c>
      <c r="F1849">
        <v>1163302</v>
      </c>
      <c r="G1849" s="1">
        <v>45382</v>
      </c>
      <c r="H1849" t="s">
        <v>3641</v>
      </c>
      <c r="I1849" t="s">
        <v>39</v>
      </c>
      <c r="J1849" s="1">
        <v>45292</v>
      </c>
      <c r="K1849">
        <v>171000000</v>
      </c>
    </row>
    <row r="1850" spans="5:11" x14ac:dyDescent="0.25">
      <c r="E1850" t="s">
        <v>10426</v>
      </c>
      <c r="F1850">
        <v>1163370</v>
      </c>
      <c r="G1850" s="1">
        <v>45382</v>
      </c>
      <c r="H1850" t="s">
        <v>3642</v>
      </c>
      <c r="I1850" t="s">
        <v>3643</v>
      </c>
      <c r="J1850" s="1">
        <v>45292</v>
      </c>
      <c r="K1850">
        <v>8199000</v>
      </c>
    </row>
    <row r="1851" spans="5:11" x14ac:dyDescent="0.25">
      <c r="E1851" t="s">
        <v>3644</v>
      </c>
      <c r="F1851">
        <v>1163389</v>
      </c>
      <c r="G1851" s="1">
        <v>45382</v>
      </c>
      <c r="H1851" t="s">
        <v>3645</v>
      </c>
      <c r="I1851" t="s">
        <v>123</v>
      </c>
      <c r="J1851" s="1">
        <v>45292</v>
      </c>
      <c r="K1851">
        <v>1786000</v>
      </c>
    </row>
    <row r="1852" spans="5:11" x14ac:dyDescent="0.25">
      <c r="E1852" t="s">
        <v>3646</v>
      </c>
      <c r="F1852">
        <v>1163609</v>
      </c>
      <c r="G1852" s="1">
        <v>45382</v>
      </c>
      <c r="H1852" t="s">
        <v>3647</v>
      </c>
      <c r="I1852" t="s">
        <v>2045</v>
      </c>
      <c r="J1852" s="1">
        <v>45292</v>
      </c>
      <c r="K1852">
        <v>5474454</v>
      </c>
    </row>
    <row r="1853" spans="5:11" x14ac:dyDescent="0.25">
      <c r="E1853" t="s">
        <v>3648</v>
      </c>
      <c r="F1853">
        <v>1163668</v>
      </c>
      <c r="G1853" s="1">
        <v>45382</v>
      </c>
      <c r="H1853" t="s">
        <v>3649</v>
      </c>
      <c r="I1853" t="s">
        <v>30</v>
      </c>
      <c r="J1853" s="1">
        <v>45292</v>
      </c>
      <c r="K1853">
        <v>10874000</v>
      </c>
    </row>
    <row r="1854" spans="5:11" x14ac:dyDescent="0.25">
      <c r="E1854" t="s">
        <v>3650</v>
      </c>
      <c r="F1854">
        <v>1163739</v>
      </c>
      <c r="G1854" s="1">
        <v>45382</v>
      </c>
      <c r="H1854" t="s">
        <v>3651</v>
      </c>
      <c r="I1854" t="s">
        <v>919</v>
      </c>
      <c r="J1854" s="1">
        <v>45292</v>
      </c>
      <c r="K1854">
        <v>-34333000</v>
      </c>
    </row>
    <row r="1855" spans="5:11" x14ac:dyDescent="0.25">
      <c r="E1855" t="s">
        <v>3652</v>
      </c>
      <c r="F1855">
        <v>1164727</v>
      </c>
      <c r="G1855" s="1">
        <v>45382</v>
      </c>
      <c r="H1855" t="s">
        <v>3653</v>
      </c>
      <c r="I1855" t="s">
        <v>92</v>
      </c>
      <c r="J1855" s="1">
        <v>45292</v>
      </c>
      <c r="K1855">
        <v>170000000</v>
      </c>
    </row>
    <row r="1856" spans="5:11" x14ac:dyDescent="0.25">
      <c r="E1856" t="s">
        <v>3654</v>
      </c>
      <c r="F1856">
        <v>1164863</v>
      </c>
      <c r="G1856" s="1">
        <v>45382</v>
      </c>
      <c r="H1856" t="s">
        <v>3655</v>
      </c>
      <c r="I1856" t="s">
        <v>172</v>
      </c>
      <c r="J1856" s="1">
        <v>45292</v>
      </c>
      <c r="K1856">
        <v>12500000</v>
      </c>
    </row>
    <row r="1857" spans="5:11" x14ac:dyDescent="0.25">
      <c r="E1857" t="s">
        <v>3656</v>
      </c>
      <c r="F1857">
        <v>1165002</v>
      </c>
      <c r="G1857" s="1">
        <v>45382</v>
      </c>
      <c r="H1857" t="s">
        <v>3657</v>
      </c>
      <c r="I1857" t="s">
        <v>30</v>
      </c>
      <c r="J1857" s="1">
        <v>45292</v>
      </c>
      <c r="K1857">
        <v>2296000</v>
      </c>
    </row>
    <row r="1858" spans="5:11" x14ac:dyDescent="0.25">
      <c r="E1858" t="s">
        <v>3658</v>
      </c>
      <c r="F1858">
        <v>1166003</v>
      </c>
      <c r="G1858" s="1">
        <v>45382</v>
      </c>
      <c r="H1858" t="s">
        <v>3659</v>
      </c>
      <c r="I1858" t="s">
        <v>27</v>
      </c>
      <c r="J1858" s="1">
        <v>45292</v>
      </c>
      <c r="K1858">
        <v>67000000</v>
      </c>
    </row>
    <row r="1859" spans="5:11" x14ac:dyDescent="0.25">
      <c r="E1859" t="s">
        <v>3660</v>
      </c>
      <c r="F1859">
        <v>1166388</v>
      </c>
      <c r="G1859" s="1">
        <v>45412</v>
      </c>
      <c r="H1859" t="s">
        <v>3661</v>
      </c>
      <c r="I1859" t="s">
        <v>57</v>
      </c>
      <c r="J1859" s="1">
        <v>45323</v>
      </c>
      <c r="K1859">
        <v>15241000</v>
      </c>
    </row>
    <row r="1860" spans="5:11" x14ac:dyDescent="0.25">
      <c r="E1860" t="s">
        <v>3662</v>
      </c>
      <c r="F1860">
        <v>1166691</v>
      </c>
      <c r="G1860" s="1">
        <v>45382</v>
      </c>
      <c r="H1860" t="s">
        <v>3663</v>
      </c>
      <c r="I1860" t="s">
        <v>39</v>
      </c>
      <c r="J1860" s="1">
        <v>45292</v>
      </c>
      <c r="K1860">
        <v>3857000000</v>
      </c>
    </row>
    <row r="1861" spans="5:11" x14ac:dyDescent="0.25">
      <c r="E1861" t="s">
        <v>10427</v>
      </c>
      <c r="F1861">
        <v>1166708</v>
      </c>
      <c r="G1861" s="1">
        <v>45382</v>
      </c>
      <c r="H1861" t="s">
        <v>3664</v>
      </c>
      <c r="I1861" t="s">
        <v>33</v>
      </c>
      <c r="J1861" s="1">
        <v>45292</v>
      </c>
      <c r="K1861">
        <v>-335716</v>
      </c>
    </row>
    <row r="1862" spans="5:11" x14ac:dyDescent="0.25">
      <c r="E1862" t="s">
        <v>3665</v>
      </c>
      <c r="F1862">
        <v>1166928</v>
      </c>
      <c r="G1862" s="1">
        <v>45382</v>
      </c>
      <c r="H1862" t="s">
        <v>3666</v>
      </c>
      <c r="I1862" t="s">
        <v>95</v>
      </c>
      <c r="J1862" s="1">
        <v>45292</v>
      </c>
      <c r="K1862">
        <v>5809000</v>
      </c>
    </row>
    <row r="1863" spans="5:11" x14ac:dyDescent="0.25">
      <c r="E1863" t="s">
        <v>3667</v>
      </c>
      <c r="F1863">
        <v>1167419</v>
      </c>
      <c r="G1863" s="1">
        <v>45382</v>
      </c>
      <c r="H1863" t="s">
        <v>3668</v>
      </c>
      <c r="I1863" t="s">
        <v>92</v>
      </c>
      <c r="J1863" s="1">
        <v>45292</v>
      </c>
      <c r="K1863">
        <v>211777000</v>
      </c>
    </row>
    <row r="1864" spans="5:11" x14ac:dyDescent="0.25">
      <c r="E1864" t="s">
        <v>3669</v>
      </c>
      <c r="F1864">
        <v>1168455</v>
      </c>
      <c r="G1864" s="1">
        <v>45382</v>
      </c>
      <c r="H1864" t="s">
        <v>3670</v>
      </c>
      <c r="I1864" t="s">
        <v>142</v>
      </c>
      <c r="J1864" s="1">
        <v>45292</v>
      </c>
      <c r="K1864">
        <v>6254000</v>
      </c>
    </row>
    <row r="1865" spans="5:11" x14ac:dyDescent="0.25">
      <c r="E1865" t="s">
        <v>3671</v>
      </c>
      <c r="F1865">
        <v>1169445</v>
      </c>
      <c r="G1865" s="1">
        <v>45382</v>
      </c>
      <c r="H1865" t="s">
        <v>3672</v>
      </c>
      <c r="I1865" t="s">
        <v>1123</v>
      </c>
      <c r="J1865" s="1">
        <v>45292</v>
      </c>
      <c r="K1865">
        <v>-2516000</v>
      </c>
    </row>
    <row r="1866" spans="5:11" x14ac:dyDescent="0.25">
      <c r="E1866" t="s">
        <v>3673</v>
      </c>
      <c r="F1866">
        <v>1169770</v>
      </c>
      <c r="G1866" s="1">
        <v>45382</v>
      </c>
      <c r="H1866" t="s">
        <v>3674</v>
      </c>
      <c r="I1866" t="s">
        <v>36</v>
      </c>
      <c r="J1866" s="1">
        <v>45292</v>
      </c>
      <c r="K1866">
        <v>30852000</v>
      </c>
    </row>
    <row r="1867" spans="5:11" x14ac:dyDescent="0.25">
      <c r="E1867" t="s">
        <v>3675</v>
      </c>
      <c r="F1867">
        <v>1171155</v>
      </c>
      <c r="G1867" s="1">
        <v>45382</v>
      </c>
      <c r="H1867" t="s">
        <v>3676</v>
      </c>
      <c r="I1867" t="s">
        <v>504</v>
      </c>
      <c r="J1867" s="1">
        <v>45292</v>
      </c>
      <c r="K1867">
        <v>-703000</v>
      </c>
    </row>
    <row r="1868" spans="5:11" x14ac:dyDescent="0.25">
      <c r="E1868" t="s">
        <v>3677</v>
      </c>
      <c r="F1868">
        <v>1171759</v>
      </c>
      <c r="G1868" s="1">
        <v>45403</v>
      </c>
      <c r="H1868" t="s">
        <v>3678</v>
      </c>
      <c r="I1868" t="s">
        <v>92</v>
      </c>
      <c r="J1868" s="1">
        <v>45292</v>
      </c>
      <c r="K1868">
        <v>-9460000</v>
      </c>
    </row>
    <row r="1869" spans="5:11" x14ac:dyDescent="0.25">
      <c r="E1869" t="s">
        <v>3679</v>
      </c>
      <c r="F1869">
        <v>1172052</v>
      </c>
      <c r="G1869" s="1">
        <v>45382</v>
      </c>
      <c r="H1869" t="s">
        <v>3680</v>
      </c>
      <c r="I1869" t="s">
        <v>24</v>
      </c>
      <c r="J1869" s="1">
        <v>45292</v>
      </c>
      <c r="K1869">
        <v>20078000</v>
      </c>
    </row>
    <row r="1870" spans="5:11" x14ac:dyDescent="0.25">
      <c r="E1870" t="s">
        <v>3681</v>
      </c>
      <c r="F1870">
        <v>1172178</v>
      </c>
      <c r="G1870" s="1">
        <v>45412</v>
      </c>
      <c r="H1870" t="s">
        <v>3682</v>
      </c>
      <c r="I1870" t="s">
        <v>113</v>
      </c>
      <c r="J1870" s="1">
        <v>45323</v>
      </c>
      <c r="K1870">
        <v>311381</v>
      </c>
    </row>
    <row r="1871" spans="5:11" x14ac:dyDescent="0.25">
      <c r="E1871" t="s">
        <v>3683</v>
      </c>
      <c r="F1871">
        <v>1172222</v>
      </c>
      <c r="G1871" s="1">
        <v>45382</v>
      </c>
      <c r="H1871" t="s">
        <v>3684</v>
      </c>
      <c r="I1871" t="s">
        <v>43</v>
      </c>
      <c r="J1871" s="1">
        <v>45292</v>
      </c>
      <c r="K1871">
        <v>-137565000</v>
      </c>
    </row>
    <row r="1872" spans="5:11" x14ac:dyDescent="0.25">
      <c r="E1872" t="s">
        <v>3685</v>
      </c>
      <c r="F1872">
        <v>1172358</v>
      </c>
      <c r="G1872" s="1">
        <v>45382</v>
      </c>
      <c r="H1872" t="s">
        <v>3686</v>
      </c>
      <c r="I1872" t="s">
        <v>30</v>
      </c>
      <c r="J1872" s="1">
        <v>45292</v>
      </c>
      <c r="K1872">
        <v>18167000</v>
      </c>
    </row>
    <row r="1873" spans="5:11" x14ac:dyDescent="0.25">
      <c r="E1873" t="s">
        <v>3687</v>
      </c>
      <c r="F1873">
        <v>1173313</v>
      </c>
      <c r="G1873" s="1">
        <v>45382</v>
      </c>
      <c r="H1873" t="s">
        <v>3688</v>
      </c>
      <c r="I1873" t="s">
        <v>1716</v>
      </c>
      <c r="J1873" s="1">
        <v>45292</v>
      </c>
      <c r="K1873">
        <v>-3932976</v>
      </c>
    </row>
    <row r="1874" spans="5:11" x14ac:dyDescent="0.25">
      <c r="E1874" t="s">
        <v>3689</v>
      </c>
      <c r="F1874">
        <v>1173420</v>
      </c>
      <c r="G1874" s="1">
        <v>45351</v>
      </c>
      <c r="H1874" t="s">
        <v>3690</v>
      </c>
      <c r="I1874" t="s">
        <v>406</v>
      </c>
      <c r="J1874" s="1">
        <v>45261</v>
      </c>
      <c r="K1874">
        <v>-10318000</v>
      </c>
    </row>
    <row r="1875" spans="5:11" x14ac:dyDescent="0.25">
      <c r="E1875" t="s">
        <v>3691</v>
      </c>
      <c r="F1875">
        <v>1173489</v>
      </c>
      <c r="G1875" s="1">
        <v>45382</v>
      </c>
      <c r="H1875" t="s">
        <v>3692</v>
      </c>
      <c r="I1875" t="s">
        <v>299</v>
      </c>
      <c r="J1875" s="1">
        <v>45292</v>
      </c>
      <c r="K1875">
        <v>-5448000</v>
      </c>
    </row>
    <row r="1876" spans="5:11" x14ac:dyDescent="0.25">
      <c r="E1876" t="s">
        <v>3693</v>
      </c>
      <c r="F1876">
        <v>1173514</v>
      </c>
      <c r="G1876" s="1">
        <v>45382</v>
      </c>
      <c r="H1876" t="s">
        <v>3694</v>
      </c>
      <c r="I1876" t="s">
        <v>60</v>
      </c>
      <c r="J1876" s="1">
        <v>45292</v>
      </c>
      <c r="K1876">
        <v>51500000</v>
      </c>
    </row>
    <row r="1877" spans="5:11" x14ac:dyDescent="0.25">
      <c r="E1877" t="s">
        <v>3695</v>
      </c>
      <c r="F1877">
        <v>1174850</v>
      </c>
      <c r="G1877" s="1">
        <v>45382</v>
      </c>
      <c r="H1877" t="s">
        <v>3696</v>
      </c>
      <c r="I1877" t="s">
        <v>83</v>
      </c>
      <c r="J1877" s="1">
        <v>45292</v>
      </c>
      <c r="K1877">
        <v>27790000</v>
      </c>
    </row>
    <row r="1878" spans="5:11" x14ac:dyDescent="0.25">
      <c r="E1878" t="s">
        <v>3697</v>
      </c>
      <c r="F1878">
        <v>1174891</v>
      </c>
      <c r="G1878" s="1">
        <v>45382</v>
      </c>
      <c r="H1878" t="s">
        <v>3698</v>
      </c>
      <c r="I1878" t="s">
        <v>36</v>
      </c>
      <c r="J1878" s="1">
        <v>45292</v>
      </c>
      <c r="K1878">
        <v>-7014000</v>
      </c>
    </row>
    <row r="1879" spans="5:11" x14ac:dyDescent="0.25">
      <c r="E1879" t="s">
        <v>3699</v>
      </c>
      <c r="F1879">
        <v>1174922</v>
      </c>
      <c r="G1879" s="1">
        <v>45382</v>
      </c>
      <c r="H1879" t="s">
        <v>3700</v>
      </c>
      <c r="I1879" t="s">
        <v>142</v>
      </c>
      <c r="J1879" s="1">
        <v>45292</v>
      </c>
      <c r="K1879">
        <v>144216000</v>
      </c>
    </row>
    <row r="1880" spans="5:11" x14ac:dyDescent="0.25">
      <c r="E1880" t="s">
        <v>3701</v>
      </c>
      <c r="F1880">
        <v>1174940</v>
      </c>
      <c r="G1880" s="1">
        <v>45382</v>
      </c>
      <c r="H1880" t="s">
        <v>3702</v>
      </c>
      <c r="I1880" t="s">
        <v>33</v>
      </c>
      <c r="J1880" s="1">
        <v>45292</v>
      </c>
      <c r="K1880">
        <v>-2450833</v>
      </c>
    </row>
    <row r="1881" spans="5:11" x14ac:dyDescent="0.25">
      <c r="E1881" t="s">
        <v>3703</v>
      </c>
      <c r="F1881">
        <v>1175151</v>
      </c>
      <c r="G1881" s="1">
        <v>45382</v>
      </c>
      <c r="H1881" t="s">
        <v>3704</v>
      </c>
      <c r="I1881" t="s">
        <v>46</v>
      </c>
      <c r="J1881" s="1">
        <v>45292</v>
      </c>
      <c r="K1881">
        <v>-6357861</v>
      </c>
    </row>
    <row r="1882" spans="5:11" x14ac:dyDescent="0.25">
      <c r="E1882" t="s">
        <v>3705</v>
      </c>
      <c r="F1882">
        <v>1175454</v>
      </c>
      <c r="G1882" s="1">
        <v>45382</v>
      </c>
      <c r="H1882" t="s">
        <v>3706</v>
      </c>
      <c r="I1882" t="s">
        <v>64</v>
      </c>
      <c r="J1882" s="1">
        <v>45292</v>
      </c>
      <c r="K1882">
        <v>229769000</v>
      </c>
    </row>
    <row r="1883" spans="5:11" x14ac:dyDescent="0.25">
      <c r="E1883" t="s">
        <v>3707</v>
      </c>
      <c r="F1883">
        <v>1175535</v>
      </c>
      <c r="G1883" s="1">
        <v>45382</v>
      </c>
      <c r="H1883" t="s">
        <v>3708</v>
      </c>
      <c r="I1883" t="s">
        <v>30</v>
      </c>
      <c r="J1883" s="1">
        <v>45292</v>
      </c>
      <c r="K1883">
        <v>9340000</v>
      </c>
    </row>
    <row r="1884" spans="5:11" x14ac:dyDescent="0.25">
      <c r="E1884" t="s">
        <v>3709</v>
      </c>
      <c r="F1884">
        <v>1175680</v>
      </c>
      <c r="G1884" s="1">
        <v>45351</v>
      </c>
      <c r="H1884" t="s">
        <v>3710</v>
      </c>
      <c r="I1884" t="s">
        <v>504</v>
      </c>
      <c r="J1884" s="1">
        <v>45261</v>
      </c>
      <c r="K1884">
        <v>-11920000</v>
      </c>
    </row>
    <row r="1885" spans="5:11" x14ac:dyDescent="0.25">
      <c r="E1885" t="s">
        <v>3711</v>
      </c>
      <c r="F1885">
        <v>1176309</v>
      </c>
      <c r="G1885" s="1">
        <v>45382</v>
      </c>
      <c r="H1885" t="s">
        <v>3712</v>
      </c>
      <c r="I1885" t="s">
        <v>57</v>
      </c>
      <c r="J1885" s="1">
        <v>45292</v>
      </c>
      <c r="K1885">
        <v>1536000</v>
      </c>
    </row>
    <row r="1886" spans="5:11" x14ac:dyDescent="0.25">
      <c r="E1886" t="s">
        <v>3713</v>
      </c>
      <c r="F1886">
        <v>1176334</v>
      </c>
      <c r="G1886" s="1">
        <v>45382</v>
      </c>
      <c r="H1886" t="s">
        <v>3714</v>
      </c>
      <c r="I1886" t="s">
        <v>30</v>
      </c>
      <c r="J1886" s="1">
        <v>45292</v>
      </c>
      <c r="K1886">
        <v>3273000</v>
      </c>
    </row>
    <row r="1887" spans="5:11" x14ac:dyDescent="0.25">
      <c r="E1887" t="s">
        <v>3715</v>
      </c>
      <c r="F1887">
        <v>1177394</v>
      </c>
      <c r="G1887" s="1">
        <v>45351</v>
      </c>
      <c r="H1887" t="s">
        <v>3716</v>
      </c>
      <c r="I1887" t="s">
        <v>36</v>
      </c>
      <c r="J1887" s="1">
        <v>45261</v>
      </c>
      <c r="K1887">
        <v>172128000</v>
      </c>
    </row>
    <row r="1888" spans="5:11" x14ac:dyDescent="0.25">
      <c r="E1888" t="s">
        <v>10428</v>
      </c>
      <c r="F1888">
        <v>1177609</v>
      </c>
      <c r="G1888" s="1">
        <v>45416</v>
      </c>
      <c r="H1888" t="s">
        <v>10429</v>
      </c>
      <c r="I1888" t="s">
        <v>39</v>
      </c>
      <c r="J1888" s="1">
        <v>45326</v>
      </c>
      <c r="K1888">
        <v>31467000</v>
      </c>
    </row>
    <row r="1889" spans="5:11" x14ac:dyDescent="0.25">
      <c r="E1889" t="s">
        <v>3717</v>
      </c>
      <c r="F1889">
        <v>1177648</v>
      </c>
      <c r="G1889" s="1">
        <v>45382</v>
      </c>
      <c r="H1889" t="s">
        <v>3718</v>
      </c>
      <c r="I1889" t="s">
        <v>24</v>
      </c>
      <c r="J1889" s="1">
        <v>45292</v>
      </c>
      <c r="K1889">
        <v>-31157000</v>
      </c>
    </row>
    <row r="1890" spans="5:11" x14ac:dyDescent="0.25">
      <c r="E1890" t="s">
        <v>10430</v>
      </c>
      <c r="F1890">
        <v>1177702</v>
      </c>
      <c r="G1890" s="1">
        <v>45382</v>
      </c>
      <c r="H1890" t="s">
        <v>3719</v>
      </c>
      <c r="I1890" t="s">
        <v>64</v>
      </c>
      <c r="J1890" s="1">
        <v>45292</v>
      </c>
      <c r="K1890">
        <v>90695000</v>
      </c>
    </row>
    <row r="1891" spans="5:11" x14ac:dyDescent="0.25">
      <c r="E1891" t="s">
        <v>3720</v>
      </c>
      <c r="F1891">
        <v>1178253</v>
      </c>
      <c r="G1891" s="1">
        <v>45382</v>
      </c>
      <c r="H1891" t="s">
        <v>3721</v>
      </c>
      <c r="I1891" t="s">
        <v>46</v>
      </c>
      <c r="J1891" s="1">
        <v>45292</v>
      </c>
      <c r="K1891">
        <v>411000</v>
      </c>
    </row>
    <row r="1892" spans="5:11" x14ac:dyDescent="0.25">
      <c r="E1892" t="s">
        <v>10431</v>
      </c>
      <c r="F1892">
        <v>1178670</v>
      </c>
      <c r="G1892" s="1">
        <v>45382</v>
      </c>
      <c r="H1892" t="s">
        <v>3722</v>
      </c>
      <c r="I1892" t="s">
        <v>24</v>
      </c>
      <c r="J1892" s="1">
        <v>45292</v>
      </c>
      <c r="K1892">
        <v>-65935000</v>
      </c>
    </row>
    <row r="1893" spans="5:11" x14ac:dyDescent="0.25">
      <c r="E1893" t="s">
        <v>3723</v>
      </c>
      <c r="F1893">
        <v>1178697</v>
      </c>
      <c r="G1893" s="1">
        <v>45382</v>
      </c>
      <c r="H1893" t="s">
        <v>3724</v>
      </c>
      <c r="I1893" t="s">
        <v>36</v>
      </c>
      <c r="J1893" s="1">
        <v>45292</v>
      </c>
      <c r="K1893">
        <v>-2906000</v>
      </c>
    </row>
    <row r="1894" spans="5:11" x14ac:dyDescent="0.25">
      <c r="E1894" t="s">
        <v>3725</v>
      </c>
      <c r="F1894">
        <v>1178879</v>
      </c>
      <c r="G1894" s="1">
        <v>45382</v>
      </c>
      <c r="H1894" t="s">
        <v>3726</v>
      </c>
      <c r="I1894" t="s">
        <v>46</v>
      </c>
      <c r="J1894" s="1">
        <v>45292</v>
      </c>
      <c r="K1894">
        <v>-48419000</v>
      </c>
    </row>
    <row r="1895" spans="5:11" x14ac:dyDescent="0.25">
      <c r="E1895" t="s">
        <v>3727</v>
      </c>
      <c r="F1895">
        <v>1178970</v>
      </c>
      <c r="G1895" s="1">
        <v>45382</v>
      </c>
      <c r="H1895" t="s">
        <v>3728</v>
      </c>
      <c r="I1895" t="s">
        <v>46</v>
      </c>
      <c r="J1895" s="1">
        <v>45292</v>
      </c>
      <c r="K1895">
        <v>32082000</v>
      </c>
    </row>
    <row r="1896" spans="5:11" x14ac:dyDescent="0.25">
      <c r="E1896" t="s">
        <v>10432</v>
      </c>
      <c r="F1896">
        <v>1179929</v>
      </c>
      <c r="G1896" s="1">
        <v>45382</v>
      </c>
      <c r="H1896" t="s">
        <v>3729</v>
      </c>
      <c r="I1896" t="s">
        <v>36</v>
      </c>
      <c r="J1896" s="1">
        <v>45292</v>
      </c>
      <c r="K1896">
        <v>301000000</v>
      </c>
    </row>
    <row r="1897" spans="5:11" x14ac:dyDescent="0.25">
      <c r="E1897" t="s">
        <v>3730</v>
      </c>
      <c r="F1897">
        <v>1180262</v>
      </c>
      <c r="G1897" s="1">
        <v>45382</v>
      </c>
      <c r="H1897" t="s">
        <v>3731</v>
      </c>
      <c r="I1897" t="s">
        <v>2436</v>
      </c>
      <c r="J1897" s="1">
        <v>45292</v>
      </c>
      <c r="K1897">
        <v>24300000</v>
      </c>
    </row>
    <row r="1898" spans="5:11" x14ac:dyDescent="0.25">
      <c r="E1898" t="s">
        <v>3732</v>
      </c>
      <c r="F1898">
        <v>1182731</v>
      </c>
      <c r="G1898" s="1">
        <v>45382</v>
      </c>
      <c r="H1898" t="s">
        <v>3733</v>
      </c>
      <c r="I1898" t="s">
        <v>36</v>
      </c>
      <c r="J1898" s="1">
        <v>45292</v>
      </c>
      <c r="K1898">
        <v>-114932</v>
      </c>
    </row>
    <row r="1899" spans="5:11" x14ac:dyDescent="0.25">
      <c r="E1899" t="s">
        <v>3734</v>
      </c>
      <c r="F1899">
        <v>1185348</v>
      </c>
      <c r="G1899" s="1">
        <v>45382</v>
      </c>
      <c r="H1899" t="s">
        <v>3735</v>
      </c>
      <c r="I1899" t="s">
        <v>123</v>
      </c>
      <c r="J1899" s="1">
        <v>45292</v>
      </c>
      <c r="K1899">
        <v>3475000</v>
      </c>
    </row>
    <row r="1900" spans="5:11" x14ac:dyDescent="0.25">
      <c r="E1900" t="s">
        <v>3736</v>
      </c>
      <c r="F1900">
        <v>1187953</v>
      </c>
      <c r="G1900" s="1">
        <v>45382</v>
      </c>
      <c r="H1900" t="s">
        <v>3737</v>
      </c>
      <c r="I1900" t="s">
        <v>113</v>
      </c>
      <c r="J1900" s="1">
        <v>45292</v>
      </c>
      <c r="K1900">
        <v>-1041544</v>
      </c>
    </row>
    <row r="1901" spans="5:11" x14ac:dyDescent="0.25">
      <c r="E1901" t="s">
        <v>3738</v>
      </c>
      <c r="F1901">
        <v>1190370</v>
      </c>
      <c r="G1901" s="1">
        <v>45412</v>
      </c>
      <c r="H1901" t="s">
        <v>3739</v>
      </c>
      <c r="I1901" t="s">
        <v>39</v>
      </c>
      <c r="J1901" s="1">
        <v>45323</v>
      </c>
      <c r="K1901">
        <v>22228</v>
      </c>
    </row>
    <row r="1902" spans="5:11" x14ac:dyDescent="0.25">
      <c r="E1902" t="s">
        <v>3740</v>
      </c>
      <c r="F1902">
        <v>1192448</v>
      </c>
      <c r="G1902" s="1">
        <v>45382</v>
      </c>
      <c r="H1902" t="s">
        <v>3741</v>
      </c>
      <c r="I1902" t="s">
        <v>36</v>
      </c>
      <c r="J1902" s="1">
        <v>45292</v>
      </c>
      <c r="K1902">
        <v>-40838000</v>
      </c>
    </row>
    <row r="1903" spans="5:11" x14ac:dyDescent="0.25">
      <c r="E1903" t="s">
        <v>3742</v>
      </c>
      <c r="F1903">
        <v>1193311</v>
      </c>
      <c r="G1903" s="1">
        <v>45382</v>
      </c>
      <c r="H1903" t="s">
        <v>3743</v>
      </c>
      <c r="I1903" t="s">
        <v>30</v>
      </c>
      <c r="J1903" s="1">
        <v>45292</v>
      </c>
      <c r="K1903">
        <v>225000000</v>
      </c>
    </row>
    <row r="1904" spans="5:11" x14ac:dyDescent="0.25">
      <c r="E1904" t="s">
        <v>3744</v>
      </c>
      <c r="F1904">
        <v>1195734</v>
      </c>
      <c r="G1904" s="1">
        <v>45382</v>
      </c>
      <c r="H1904" t="s">
        <v>3745</v>
      </c>
      <c r="I1904" t="s">
        <v>19</v>
      </c>
      <c r="J1904" s="1">
        <v>45292</v>
      </c>
      <c r="K1904">
        <v>-2767000</v>
      </c>
    </row>
    <row r="1905" spans="5:11" x14ac:dyDescent="0.25">
      <c r="E1905" t="s">
        <v>3746</v>
      </c>
      <c r="F1905">
        <v>1196298</v>
      </c>
      <c r="G1905" s="1">
        <v>45382</v>
      </c>
      <c r="H1905" t="s">
        <v>3747</v>
      </c>
      <c r="I1905" t="s">
        <v>46</v>
      </c>
      <c r="J1905" s="1">
        <v>45292</v>
      </c>
      <c r="K1905">
        <v>-169000</v>
      </c>
    </row>
    <row r="1906" spans="5:11" x14ac:dyDescent="0.25">
      <c r="E1906" t="s">
        <v>3748</v>
      </c>
      <c r="F1906">
        <v>1198415</v>
      </c>
      <c r="G1906" s="1">
        <v>45382</v>
      </c>
      <c r="H1906" t="s">
        <v>3749</v>
      </c>
      <c r="I1906" t="s">
        <v>36</v>
      </c>
      <c r="J1906" s="1">
        <v>45292</v>
      </c>
      <c r="K1906">
        <v>1353757</v>
      </c>
    </row>
    <row r="1907" spans="5:11" x14ac:dyDescent="0.25">
      <c r="E1907" t="s">
        <v>3750</v>
      </c>
      <c r="F1907">
        <v>1200375</v>
      </c>
      <c r="G1907" s="1">
        <v>45382</v>
      </c>
      <c r="H1907" t="s">
        <v>3751</v>
      </c>
      <c r="I1907" t="s">
        <v>36</v>
      </c>
      <c r="J1907" s="1">
        <v>45292</v>
      </c>
      <c r="K1907">
        <v>-11505000</v>
      </c>
    </row>
    <row r="1908" spans="5:11" x14ac:dyDescent="0.25">
      <c r="E1908" t="s">
        <v>3752</v>
      </c>
      <c r="F1908">
        <v>1201792</v>
      </c>
      <c r="G1908" s="1">
        <v>45382</v>
      </c>
      <c r="H1908" t="s">
        <v>3753</v>
      </c>
      <c r="I1908" t="s">
        <v>859</v>
      </c>
      <c r="J1908" s="1">
        <v>45292</v>
      </c>
      <c r="K1908">
        <v>516000</v>
      </c>
    </row>
    <row r="1909" spans="5:11" x14ac:dyDescent="0.25">
      <c r="E1909" t="s">
        <v>3754</v>
      </c>
      <c r="F1909">
        <v>1205922</v>
      </c>
      <c r="G1909" s="1">
        <v>45382</v>
      </c>
      <c r="H1909" t="s">
        <v>3755</v>
      </c>
      <c r="I1909" t="s">
        <v>57</v>
      </c>
      <c r="J1909" s="1">
        <v>45292</v>
      </c>
      <c r="K1909">
        <v>-3897000</v>
      </c>
    </row>
    <row r="1910" spans="5:11" x14ac:dyDescent="0.25">
      <c r="E1910" t="s">
        <v>3756</v>
      </c>
      <c r="F1910">
        <v>1206264</v>
      </c>
      <c r="G1910" s="1">
        <v>45382</v>
      </c>
      <c r="H1910" t="s">
        <v>3757</v>
      </c>
      <c r="I1910" t="s">
        <v>190</v>
      </c>
      <c r="J1910" s="1">
        <v>45292</v>
      </c>
      <c r="K1910">
        <v>76300000</v>
      </c>
    </row>
    <row r="1911" spans="5:11" x14ac:dyDescent="0.25">
      <c r="E1911" t="s">
        <v>3758</v>
      </c>
      <c r="F1911">
        <v>1209709</v>
      </c>
      <c r="G1911" s="1">
        <v>45382</v>
      </c>
      <c r="H1911" t="s">
        <v>3759</v>
      </c>
      <c r="I1911" t="s">
        <v>57</v>
      </c>
      <c r="J1911" s="1">
        <v>45292</v>
      </c>
      <c r="K1911">
        <v>5604078</v>
      </c>
    </row>
    <row r="1912" spans="5:11" x14ac:dyDescent="0.25">
      <c r="E1912" t="s">
        <v>3760</v>
      </c>
      <c r="F1912">
        <v>1210677</v>
      </c>
      <c r="G1912" s="1">
        <v>45382</v>
      </c>
      <c r="H1912" t="s">
        <v>3761</v>
      </c>
      <c r="I1912" t="s">
        <v>3762</v>
      </c>
      <c r="J1912" s="1">
        <v>45292</v>
      </c>
      <c r="K1912">
        <v>-2908000</v>
      </c>
    </row>
    <row r="1913" spans="5:11" x14ac:dyDescent="0.25">
      <c r="E1913" t="s">
        <v>3763</v>
      </c>
      <c r="F1913">
        <v>1210708</v>
      </c>
      <c r="G1913" s="1">
        <v>45382</v>
      </c>
      <c r="H1913" t="s">
        <v>3764</v>
      </c>
      <c r="I1913" t="s">
        <v>27</v>
      </c>
      <c r="J1913" s="1">
        <v>45292</v>
      </c>
      <c r="K1913">
        <v>-2898000</v>
      </c>
    </row>
    <row r="1914" spans="5:11" x14ac:dyDescent="0.25">
      <c r="E1914" t="s">
        <v>3765</v>
      </c>
      <c r="F1914">
        <v>1211583</v>
      </c>
      <c r="G1914" s="1">
        <v>45382</v>
      </c>
      <c r="H1914" t="s">
        <v>3766</v>
      </c>
      <c r="I1914" t="s">
        <v>172</v>
      </c>
      <c r="J1914" s="1">
        <v>45292</v>
      </c>
      <c r="K1914">
        <v>12837000</v>
      </c>
    </row>
    <row r="1915" spans="5:11" x14ac:dyDescent="0.25">
      <c r="E1915" t="s">
        <v>3767</v>
      </c>
      <c r="F1915">
        <v>1211805</v>
      </c>
      <c r="G1915" s="1">
        <v>45382</v>
      </c>
      <c r="H1915" t="s">
        <v>3768</v>
      </c>
      <c r="I1915" t="s">
        <v>1511</v>
      </c>
      <c r="J1915" s="1">
        <v>45292</v>
      </c>
      <c r="K1915">
        <v>-1016000</v>
      </c>
    </row>
    <row r="1916" spans="5:11" x14ac:dyDescent="0.25">
      <c r="E1916" t="s">
        <v>3769</v>
      </c>
      <c r="F1916">
        <v>1212545</v>
      </c>
      <c r="G1916" s="1">
        <v>45382</v>
      </c>
      <c r="H1916" t="s">
        <v>3770</v>
      </c>
      <c r="I1916" t="s">
        <v>113</v>
      </c>
      <c r="J1916" s="1">
        <v>45292</v>
      </c>
      <c r="K1916">
        <v>177400000</v>
      </c>
    </row>
    <row r="1917" spans="5:11" x14ac:dyDescent="0.25">
      <c r="E1917" t="s">
        <v>3771</v>
      </c>
      <c r="F1917">
        <v>1213037</v>
      </c>
      <c r="G1917" s="1">
        <v>45382</v>
      </c>
      <c r="H1917" t="s">
        <v>3772</v>
      </c>
      <c r="I1917" t="s">
        <v>36</v>
      </c>
      <c r="J1917" s="1">
        <v>45292</v>
      </c>
      <c r="K1917">
        <v>-10011000</v>
      </c>
    </row>
    <row r="1918" spans="5:11" x14ac:dyDescent="0.25">
      <c r="E1918" t="s">
        <v>3773</v>
      </c>
      <c r="F1918">
        <v>1213809</v>
      </c>
      <c r="G1918" s="1">
        <v>45382</v>
      </c>
      <c r="H1918" t="s">
        <v>3774</v>
      </c>
      <c r="I1918" t="s">
        <v>33</v>
      </c>
      <c r="J1918" s="1">
        <v>45292</v>
      </c>
      <c r="K1918">
        <v>-2009596</v>
      </c>
    </row>
    <row r="1919" spans="5:11" x14ac:dyDescent="0.25">
      <c r="E1919" t="s">
        <v>3775</v>
      </c>
      <c r="F1919">
        <v>1214816</v>
      </c>
      <c r="G1919" s="1">
        <v>45382</v>
      </c>
      <c r="H1919" t="s">
        <v>3776</v>
      </c>
      <c r="I1919" t="s">
        <v>919</v>
      </c>
      <c r="J1919" s="1">
        <v>45292</v>
      </c>
      <c r="K1919">
        <v>395459000</v>
      </c>
    </row>
    <row r="1920" spans="5:11" x14ac:dyDescent="0.25">
      <c r="E1920" t="s">
        <v>3777</v>
      </c>
      <c r="F1920">
        <v>1217234</v>
      </c>
      <c r="G1920" s="1">
        <v>45382</v>
      </c>
      <c r="H1920" t="s">
        <v>3778</v>
      </c>
      <c r="I1920" t="s">
        <v>36</v>
      </c>
      <c r="J1920" s="1">
        <v>45292</v>
      </c>
      <c r="K1920">
        <v>-16659000</v>
      </c>
    </row>
    <row r="1921" spans="5:11" x14ac:dyDescent="0.25">
      <c r="E1921" t="s">
        <v>3779</v>
      </c>
      <c r="F1921">
        <v>1218683</v>
      </c>
      <c r="G1921" s="1">
        <v>45382</v>
      </c>
      <c r="H1921" t="s">
        <v>3780</v>
      </c>
      <c r="I1921" t="s">
        <v>39</v>
      </c>
      <c r="J1921" s="1">
        <v>45292</v>
      </c>
      <c r="K1921">
        <v>-19764199</v>
      </c>
    </row>
    <row r="1922" spans="5:11" x14ac:dyDescent="0.25">
      <c r="E1922" t="s">
        <v>3781</v>
      </c>
      <c r="F1922">
        <v>1219601</v>
      </c>
      <c r="G1922" s="1">
        <v>45382</v>
      </c>
      <c r="H1922" t="s">
        <v>3782</v>
      </c>
      <c r="I1922" t="s">
        <v>33</v>
      </c>
      <c r="J1922" s="1">
        <v>45292</v>
      </c>
      <c r="K1922">
        <v>67000000</v>
      </c>
    </row>
    <row r="1923" spans="5:11" x14ac:dyDescent="0.25">
      <c r="E1923" t="s">
        <v>3783</v>
      </c>
      <c r="F1923">
        <v>1220754</v>
      </c>
      <c r="G1923" s="1">
        <v>45382</v>
      </c>
      <c r="H1923" t="s">
        <v>3784</v>
      </c>
      <c r="I1923" t="s">
        <v>92</v>
      </c>
      <c r="J1923" s="1">
        <v>45292</v>
      </c>
      <c r="K1923">
        <v>-22300000</v>
      </c>
    </row>
    <row r="1924" spans="5:11" x14ac:dyDescent="0.25">
      <c r="E1924" t="s">
        <v>3785</v>
      </c>
      <c r="F1924">
        <v>1222333</v>
      </c>
      <c r="G1924" s="1">
        <v>45382</v>
      </c>
      <c r="H1924" t="s">
        <v>3786</v>
      </c>
      <c r="I1924" t="s">
        <v>57</v>
      </c>
      <c r="J1924" s="1">
        <v>45292</v>
      </c>
      <c r="K1924">
        <v>3920383000</v>
      </c>
    </row>
    <row r="1925" spans="5:11" x14ac:dyDescent="0.25">
      <c r="E1925" t="s">
        <v>3787</v>
      </c>
      <c r="F1925">
        <v>1224133</v>
      </c>
      <c r="G1925" s="1">
        <v>45382</v>
      </c>
      <c r="H1925" t="s">
        <v>3788</v>
      </c>
      <c r="I1925" t="s">
        <v>504</v>
      </c>
      <c r="J1925" s="1">
        <v>45292</v>
      </c>
      <c r="K1925">
        <v>-1450000</v>
      </c>
    </row>
    <row r="1926" spans="5:11" x14ac:dyDescent="0.25">
      <c r="E1926" t="s">
        <v>3789</v>
      </c>
      <c r="F1926">
        <v>1224608</v>
      </c>
      <c r="G1926" s="1">
        <v>45382</v>
      </c>
      <c r="H1926" t="s">
        <v>3790</v>
      </c>
      <c r="I1926" t="s">
        <v>288</v>
      </c>
      <c r="J1926" s="1">
        <v>45292</v>
      </c>
      <c r="K1926">
        <v>112300000</v>
      </c>
    </row>
    <row r="1927" spans="5:11" x14ac:dyDescent="0.25">
      <c r="E1927" t="s">
        <v>3791</v>
      </c>
      <c r="F1927">
        <v>1226616</v>
      </c>
      <c r="G1927" s="1">
        <v>45382</v>
      </c>
      <c r="H1927" t="s">
        <v>3792</v>
      </c>
      <c r="I1927" t="s">
        <v>36</v>
      </c>
      <c r="J1927" s="1">
        <v>45292</v>
      </c>
      <c r="K1927">
        <v>-2754518</v>
      </c>
    </row>
    <row r="1928" spans="5:11" x14ac:dyDescent="0.25">
      <c r="E1928" t="s">
        <v>3793</v>
      </c>
      <c r="F1928">
        <v>1227265</v>
      </c>
      <c r="G1928" s="1">
        <v>45382</v>
      </c>
      <c r="H1928" t="s">
        <v>3794</v>
      </c>
      <c r="I1928" t="s">
        <v>57</v>
      </c>
      <c r="J1928" s="1">
        <v>45292</v>
      </c>
      <c r="K1928">
        <v>32739670</v>
      </c>
    </row>
    <row r="1929" spans="5:11" x14ac:dyDescent="0.25">
      <c r="E1929" t="s">
        <v>3795</v>
      </c>
      <c r="F1929">
        <v>1227500</v>
      </c>
      <c r="G1929" s="1">
        <v>45382</v>
      </c>
      <c r="H1929" t="s">
        <v>3796</v>
      </c>
      <c r="I1929" t="s">
        <v>106</v>
      </c>
      <c r="J1929" s="1">
        <v>45292</v>
      </c>
      <c r="K1929">
        <v>14068000</v>
      </c>
    </row>
    <row r="1930" spans="5:11" x14ac:dyDescent="0.25">
      <c r="E1930" t="s">
        <v>3797</v>
      </c>
      <c r="F1930">
        <v>1227636</v>
      </c>
      <c r="G1930" s="1">
        <v>45382</v>
      </c>
      <c r="H1930" t="s">
        <v>3798</v>
      </c>
      <c r="I1930" t="s">
        <v>39</v>
      </c>
      <c r="J1930" s="1">
        <v>45292</v>
      </c>
      <c r="K1930">
        <v>-7873000</v>
      </c>
    </row>
    <row r="1931" spans="5:11" x14ac:dyDescent="0.25">
      <c r="E1931" t="s">
        <v>10433</v>
      </c>
      <c r="F1931">
        <v>1227654</v>
      </c>
      <c r="G1931" s="1">
        <v>45382</v>
      </c>
      <c r="H1931" t="s">
        <v>3799</v>
      </c>
      <c r="I1931" t="s">
        <v>106</v>
      </c>
      <c r="J1931" s="1">
        <v>45292</v>
      </c>
      <c r="K1931">
        <v>-38900000</v>
      </c>
    </row>
    <row r="1932" spans="5:11" x14ac:dyDescent="0.25">
      <c r="E1932" t="s">
        <v>3800</v>
      </c>
      <c r="F1932">
        <v>1228454</v>
      </c>
      <c r="G1932" s="1">
        <v>45382</v>
      </c>
      <c r="H1932" t="s">
        <v>3801</v>
      </c>
      <c r="I1932" t="s">
        <v>46</v>
      </c>
      <c r="J1932" s="1">
        <v>45292</v>
      </c>
      <c r="K1932">
        <v>5866000</v>
      </c>
    </row>
    <row r="1933" spans="5:11" x14ac:dyDescent="0.25">
      <c r="E1933" t="s">
        <v>3802</v>
      </c>
      <c r="F1933">
        <v>1228627</v>
      </c>
      <c r="G1933" s="1">
        <v>45382</v>
      </c>
      <c r="H1933" t="s">
        <v>3803</v>
      </c>
      <c r="I1933" t="s">
        <v>329</v>
      </c>
      <c r="J1933" s="1">
        <v>45292</v>
      </c>
      <c r="K1933">
        <v>-7106000</v>
      </c>
    </row>
    <row r="1934" spans="5:11" x14ac:dyDescent="0.25">
      <c r="E1934" t="s">
        <v>3804</v>
      </c>
      <c r="F1934">
        <v>1230058</v>
      </c>
      <c r="G1934" s="1">
        <v>45382</v>
      </c>
      <c r="H1934" t="s">
        <v>3805</v>
      </c>
      <c r="I1934" t="s">
        <v>19</v>
      </c>
      <c r="J1934" s="1">
        <v>45292</v>
      </c>
      <c r="K1934">
        <v>-1034000</v>
      </c>
    </row>
    <row r="1935" spans="5:11" x14ac:dyDescent="0.25">
      <c r="E1935" t="s">
        <v>3806</v>
      </c>
      <c r="F1935">
        <v>1230245</v>
      </c>
      <c r="G1935" s="1">
        <v>45382</v>
      </c>
      <c r="H1935" t="s">
        <v>3807</v>
      </c>
      <c r="I1935" t="s">
        <v>213</v>
      </c>
      <c r="J1935" s="1">
        <v>45292</v>
      </c>
      <c r="K1935">
        <v>42493000</v>
      </c>
    </row>
    <row r="1936" spans="5:11" x14ac:dyDescent="0.25">
      <c r="E1936" t="s">
        <v>3808</v>
      </c>
      <c r="F1936">
        <v>1230524</v>
      </c>
      <c r="G1936" s="1">
        <v>45412</v>
      </c>
      <c r="H1936" t="s">
        <v>3809</v>
      </c>
      <c r="I1936" t="s">
        <v>2162</v>
      </c>
      <c r="J1936" s="1">
        <v>45323</v>
      </c>
      <c r="K1936">
        <v>-144390</v>
      </c>
    </row>
    <row r="1937" spans="5:11" x14ac:dyDescent="0.25">
      <c r="E1937" t="s">
        <v>3810</v>
      </c>
      <c r="F1937">
        <v>1231339</v>
      </c>
      <c r="G1937" s="1">
        <v>45351</v>
      </c>
      <c r="H1937" t="s">
        <v>3811</v>
      </c>
      <c r="I1937" t="s">
        <v>33</v>
      </c>
      <c r="J1937" s="1">
        <v>45261</v>
      </c>
      <c r="K1937">
        <v>-395635</v>
      </c>
    </row>
    <row r="1938" spans="5:11" x14ac:dyDescent="0.25">
      <c r="E1938" t="s">
        <v>3812</v>
      </c>
      <c r="F1938">
        <v>1231457</v>
      </c>
      <c r="G1938" s="1">
        <v>45382</v>
      </c>
      <c r="H1938" t="s">
        <v>3813</v>
      </c>
      <c r="I1938" t="s">
        <v>36</v>
      </c>
      <c r="J1938" s="1">
        <v>45292</v>
      </c>
      <c r="K1938">
        <v>-7850000</v>
      </c>
    </row>
    <row r="1939" spans="5:11" x14ac:dyDescent="0.25">
      <c r="E1939" t="s">
        <v>3814</v>
      </c>
      <c r="F1939">
        <v>1232524</v>
      </c>
      <c r="G1939" s="1">
        <v>45382</v>
      </c>
      <c r="H1939" t="s">
        <v>3815</v>
      </c>
      <c r="I1939" t="s">
        <v>927</v>
      </c>
      <c r="J1939" s="1">
        <v>45292</v>
      </c>
      <c r="K1939">
        <v>-14618000</v>
      </c>
    </row>
    <row r="1940" spans="5:11" x14ac:dyDescent="0.25">
      <c r="E1940" t="s">
        <v>3816</v>
      </c>
      <c r="F1940">
        <v>1232582</v>
      </c>
      <c r="G1940" s="1">
        <v>45382</v>
      </c>
      <c r="H1940" t="s">
        <v>3817</v>
      </c>
      <c r="I1940" t="s">
        <v>30</v>
      </c>
      <c r="J1940" s="1">
        <v>45292</v>
      </c>
      <c r="K1940">
        <v>71561000</v>
      </c>
    </row>
    <row r="1941" spans="5:11" x14ac:dyDescent="0.25">
      <c r="E1941" t="s">
        <v>3818</v>
      </c>
      <c r="F1941">
        <v>1234006</v>
      </c>
      <c r="G1941" s="1">
        <v>45382</v>
      </c>
      <c r="H1941" t="s">
        <v>3819</v>
      </c>
      <c r="I1941" t="s">
        <v>123</v>
      </c>
      <c r="J1941" s="1">
        <v>45292</v>
      </c>
      <c r="K1941">
        <v>3524000</v>
      </c>
    </row>
    <row r="1942" spans="5:11" x14ac:dyDescent="0.25">
      <c r="E1942" t="s">
        <v>3820</v>
      </c>
      <c r="F1942">
        <v>1235468</v>
      </c>
      <c r="G1942" s="1">
        <v>45382</v>
      </c>
      <c r="H1942" t="s">
        <v>3821</v>
      </c>
      <c r="I1942" t="s">
        <v>299</v>
      </c>
      <c r="J1942" s="1">
        <v>45292</v>
      </c>
      <c r="K1942">
        <v>5709000</v>
      </c>
    </row>
    <row r="1943" spans="5:11" x14ac:dyDescent="0.25">
      <c r="E1943" t="s">
        <v>3822</v>
      </c>
      <c r="F1943">
        <v>1235912</v>
      </c>
      <c r="G1943" s="1">
        <v>45382</v>
      </c>
      <c r="H1943" t="s">
        <v>3823</v>
      </c>
      <c r="I1943" t="s">
        <v>213</v>
      </c>
      <c r="J1943" s="1">
        <v>45292</v>
      </c>
      <c r="K1943">
        <v>-22186000</v>
      </c>
    </row>
    <row r="1944" spans="5:11" x14ac:dyDescent="0.25">
      <c r="E1944" t="s">
        <v>3824</v>
      </c>
      <c r="F1944">
        <v>1236275</v>
      </c>
      <c r="G1944" s="1">
        <v>45382</v>
      </c>
      <c r="H1944" t="s">
        <v>3825</v>
      </c>
      <c r="I1944" t="s">
        <v>46</v>
      </c>
      <c r="J1944" s="1">
        <v>45292</v>
      </c>
      <c r="K1944">
        <v>138087</v>
      </c>
    </row>
    <row r="1945" spans="5:11" x14ac:dyDescent="0.25">
      <c r="E1945" t="s">
        <v>3826</v>
      </c>
      <c r="F1945">
        <v>1237831</v>
      </c>
      <c r="G1945" s="1">
        <v>45382</v>
      </c>
      <c r="H1945" t="s">
        <v>3827</v>
      </c>
      <c r="I1945" t="s">
        <v>39</v>
      </c>
      <c r="J1945" s="1">
        <v>45292</v>
      </c>
      <c r="K1945">
        <v>-7117000</v>
      </c>
    </row>
    <row r="1946" spans="5:11" x14ac:dyDescent="0.25">
      <c r="E1946" t="s">
        <v>3828</v>
      </c>
      <c r="F1946">
        <v>1253176</v>
      </c>
      <c r="G1946" s="1">
        <v>45382</v>
      </c>
      <c r="H1946" t="s">
        <v>3829</v>
      </c>
      <c r="I1946" t="s">
        <v>896</v>
      </c>
      <c r="J1946" s="1">
        <v>45292</v>
      </c>
      <c r="K1946">
        <v>-14836000</v>
      </c>
    </row>
    <row r="1947" spans="5:11" x14ac:dyDescent="0.25">
      <c r="E1947" t="s">
        <v>3830</v>
      </c>
      <c r="F1947">
        <v>1253689</v>
      </c>
      <c r="G1947" s="1">
        <v>45382</v>
      </c>
      <c r="H1947" t="s">
        <v>3831</v>
      </c>
      <c r="I1947" t="s">
        <v>299</v>
      </c>
      <c r="J1947" s="1">
        <v>45292</v>
      </c>
      <c r="K1947">
        <v>-10736667</v>
      </c>
    </row>
    <row r="1948" spans="5:11" x14ac:dyDescent="0.25">
      <c r="E1948" t="s">
        <v>3832</v>
      </c>
      <c r="F1948">
        <v>1254699</v>
      </c>
      <c r="G1948" s="1">
        <v>45382</v>
      </c>
      <c r="H1948" t="s">
        <v>3833</v>
      </c>
      <c r="I1948" t="s">
        <v>39</v>
      </c>
      <c r="J1948" s="1">
        <v>45292</v>
      </c>
      <c r="K1948">
        <v>51000000</v>
      </c>
    </row>
    <row r="1949" spans="5:11" x14ac:dyDescent="0.25">
      <c r="E1949" t="s">
        <v>3834</v>
      </c>
      <c r="F1949">
        <v>1257640</v>
      </c>
      <c r="G1949" s="1">
        <v>45382</v>
      </c>
      <c r="H1949" t="s">
        <v>3835</v>
      </c>
      <c r="I1949" t="s">
        <v>30</v>
      </c>
      <c r="J1949" s="1">
        <v>45292</v>
      </c>
      <c r="K1949">
        <v>8100000</v>
      </c>
    </row>
    <row r="1950" spans="5:11" x14ac:dyDescent="0.25">
      <c r="E1950" t="s">
        <v>3836</v>
      </c>
      <c r="F1950">
        <v>1258602</v>
      </c>
      <c r="G1950" s="1">
        <v>45382</v>
      </c>
      <c r="H1950" t="s">
        <v>3837</v>
      </c>
      <c r="I1950" t="s">
        <v>763</v>
      </c>
      <c r="J1950" s="1">
        <v>45292</v>
      </c>
      <c r="K1950">
        <v>73210000</v>
      </c>
    </row>
    <row r="1951" spans="5:11" x14ac:dyDescent="0.25">
      <c r="E1951" t="s">
        <v>3838</v>
      </c>
      <c r="F1951">
        <v>1259429</v>
      </c>
      <c r="G1951" s="1">
        <v>45382</v>
      </c>
      <c r="H1951" t="s">
        <v>3839</v>
      </c>
      <c r="I1951" t="s">
        <v>27</v>
      </c>
      <c r="J1951" s="1">
        <v>45292</v>
      </c>
      <c r="K1951">
        <v>-1768390</v>
      </c>
    </row>
    <row r="1952" spans="5:11" x14ac:dyDescent="0.25">
      <c r="E1952" t="s">
        <v>3840</v>
      </c>
      <c r="F1952">
        <v>1260221</v>
      </c>
      <c r="G1952" s="1">
        <v>45381</v>
      </c>
      <c r="H1952" t="s">
        <v>3841</v>
      </c>
      <c r="I1952" t="s">
        <v>60</v>
      </c>
      <c r="J1952" s="1">
        <v>45291</v>
      </c>
      <c r="K1952">
        <v>403000000</v>
      </c>
    </row>
    <row r="1953" spans="5:11" x14ac:dyDescent="0.25">
      <c r="E1953" t="s">
        <v>3842</v>
      </c>
      <c r="F1953">
        <v>1260990</v>
      </c>
      <c r="G1953" s="1">
        <v>45382</v>
      </c>
      <c r="H1953" t="s">
        <v>3843</v>
      </c>
      <c r="I1953" t="s">
        <v>36</v>
      </c>
      <c r="J1953" s="1">
        <v>45292</v>
      </c>
      <c r="K1953">
        <v>-8388000</v>
      </c>
    </row>
    <row r="1954" spans="5:11" x14ac:dyDescent="0.25">
      <c r="E1954" t="s">
        <v>3844</v>
      </c>
      <c r="F1954">
        <v>1261249</v>
      </c>
      <c r="G1954" s="1">
        <v>45382</v>
      </c>
      <c r="H1954" t="s">
        <v>3845</v>
      </c>
      <c r="I1954" t="s">
        <v>46</v>
      </c>
      <c r="J1954" s="1">
        <v>45292</v>
      </c>
      <c r="K1954">
        <v>1284000</v>
      </c>
    </row>
    <row r="1955" spans="5:11" x14ac:dyDescent="0.25">
      <c r="E1955" t="s">
        <v>3846</v>
      </c>
      <c r="F1955">
        <v>1261333</v>
      </c>
      <c r="G1955" s="1">
        <v>45412</v>
      </c>
      <c r="H1955" t="s">
        <v>3847</v>
      </c>
      <c r="I1955" t="s">
        <v>36</v>
      </c>
      <c r="J1955" s="1">
        <v>45323</v>
      </c>
      <c r="K1955">
        <v>33760000</v>
      </c>
    </row>
    <row r="1956" spans="5:11" x14ac:dyDescent="0.25">
      <c r="E1956" t="s">
        <v>3848</v>
      </c>
      <c r="F1956">
        <v>1261654</v>
      </c>
      <c r="G1956" s="1">
        <v>45382</v>
      </c>
      <c r="H1956" t="s">
        <v>3849</v>
      </c>
      <c r="I1956" t="s">
        <v>113</v>
      </c>
      <c r="J1956" s="1">
        <v>45292</v>
      </c>
      <c r="K1956">
        <v>7787000</v>
      </c>
    </row>
    <row r="1957" spans="5:11" x14ac:dyDescent="0.25">
      <c r="E1957" t="s">
        <v>3850</v>
      </c>
      <c r="F1957">
        <v>1262039</v>
      </c>
      <c r="G1957" s="1">
        <v>45382</v>
      </c>
      <c r="H1957" t="s">
        <v>3851</v>
      </c>
      <c r="I1957" t="s">
        <v>36</v>
      </c>
      <c r="J1957" s="1">
        <v>45292</v>
      </c>
      <c r="K1957">
        <v>299300000</v>
      </c>
    </row>
    <row r="1958" spans="5:11" x14ac:dyDescent="0.25">
      <c r="E1958" t="s">
        <v>3852</v>
      </c>
      <c r="F1958">
        <v>1262104</v>
      </c>
      <c r="G1958" s="1">
        <v>45382</v>
      </c>
      <c r="H1958" t="s">
        <v>3853</v>
      </c>
      <c r="I1958" t="s">
        <v>36</v>
      </c>
      <c r="J1958" s="1">
        <v>45292</v>
      </c>
      <c r="K1958">
        <v>-9127000</v>
      </c>
    </row>
    <row r="1959" spans="5:11" x14ac:dyDescent="0.25">
      <c r="E1959" t="s">
        <v>3854</v>
      </c>
      <c r="F1959">
        <v>1262823</v>
      </c>
      <c r="G1959" s="1">
        <v>45382</v>
      </c>
      <c r="H1959" t="s">
        <v>3855</v>
      </c>
      <c r="I1959" t="s">
        <v>30</v>
      </c>
      <c r="J1959" s="1">
        <v>45292</v>
      </c>
      <c r="K1959">
        <v>174000000</v>
      </c>
    </row>
    <row r="1960" spans="5:11" x14ac:dyDescent="0.25">
      <c r="E1960" t="s">
        <v>3856</v>
      </c>
      <c r="F1960">
        <v>1262976</v>
      </c>
      <c r="G1960" s="1">
        <v>45382</v>
      </c>
      <c r="H1960" t="s">
        <v>3857</v>
      </c>
      <c r="I1960" t="s">
        <v>927</v>
      </c>
      <c r="J1960" s="1">
        <v>45292</v>
      </c>
      <c r="K1960">
        <v>-3978000</v>
      </c>
    </row>
    <row r="1961" spans="5:11" x14ac:dyDescent="0.25">
      <c r="E1961" t="s">
        <v>10434</v>
      </c>
      <c r="F1961">
        <v>1263364</v>
      </c>
      <c r="G1961" s="1">
        <v>45412</v>
      </c>
      <c r="H1961" t="s">
        <v>3858</v>
      </c>
      <c r="I1961" t="s">
        <v>1071</v>
      </c>
      <c r="J1961" s="1">
        <v>45323</v>
      </c>
      <c r="K1961">
        <v>-1044266</v>
      </c>
    </row>
    <row r="1962" spans="5:11" x14ac:dyDescent="0.25">
      <c r="E1962" t="s">
        <v>3859</v>
      </c>
      <c r="F1962">
        <v>1265131</v>
      </c>
      <c r="G1962" s="1">
        <v>45382</v>
      </c>
      <c r="H1962" t="s">
        <v>3860</v>
      </c>
      <c r="I1962" t="s">
        <v>30</v>
      </c>
      <c r="J1962" s="1">
        <v>45292</v>
      </c>
      <c r="K1962">
        <v>27668000</v>
      </c>
    </row>
    <row r="1963" spans="5:11" x14ac:dyDescent="0.25">
      <c r="E1963" t="s">
        <v>3861</v>
      </c>
      <c r="F1963">
        <v>1265521</v>
      </c>
      <c r="G1963" s="1">
        <v>45382</v>
      </c>
      <c r="H1963" t="s">
        <v>3862</v>
      </c>
      <c r="I1963" t="s">
        <v>36</v>
      </c>
      <c r="J1963" s="1">
        <v>45292</v>
      </c>
      <c r="K1963">
        <v>-69024</v>
      </c>
    </row>
    <row r="1964" spans="5:11" x14ac:dyDescent="0.25">
      <c r="E1964" t="s">
        <v>3863</v>
      </c>
      <c r="F1964">
        <v>1266806</v>
      </c>
      <c r="G1964" s="1">
        <v>45382</v>
      </c>
      <c r="H1964" t="s">
        <v>3864</v>
      </c>
      <c r="I1964" t="s">
        <v>36</v>
      </c>
      <c r="J1964" s="1">
        <v>45292</v>
      </c>
      <c r="K1964">
        <v>-6039000</v>
      </c>
    </row>
    <row r="1965" spans="5:11" x14ac:dyDescent="0.25">
      <c r="E1965" t="s">
        <v>3865</v>
      </c>
      <c r="F1965">
        <v>1267238</v>
      </c>
      <c r="G1965" s="1">
        <v>45382</v>
      </c>
      <c r="H1965" t="s">
        <v>3866</v>
      </c>
      <c r="I1965" t="s">
        <v>64</v>
      </c>
      <c r="J1965" s="1">
        <v>45292</v>
      </c>
      <c r="K1965">
        <v>236400000</v>
      </c>
    </row>
    <row r="1966" spans="5:11" x14ac:dyDescent="0.25">
      <c r="E1966" t="s">
        <v>3867</v>
      </c>
      <c r="F1966">
        <v>1267565</v>
      </c>
      <c r="G1966" s="1">
        <v>45382</v>
      </c>
      <c r="H1966" t="s">
        <v>3868</v>
      </c>
      <c r="I1966" t="s">
        <v>24</v>
      </c>
      <c r="J1966" s="1">
        <v>45292</v>
      </c>
      <c r="K1966">
        <v>27713000</v>
      </c>
    </row>
    <row r="1967" spans="5:11" x14ac:dyDescent="0.25">
      <c r="E1967" t="s">
        <v>3869</v>
      </c>
      <c r="F1967">
        <v>1267602</v>
      </c>
      <c r="G1967" s="1">
        <v>45382</v>
      </c>
      <c r="H1967" t="s">
        <v>3870</v>
      </c>
      <c r="I1967" t="s">
        <v>64</v>
      </c>
      <c r="J1967" s="1">
        <v>45292</v>
      </c>
      <c r="K1967">
        <v>-6251000</v>
      </c>
    </row>
    <row r="1968" spans="5:11" x14ac:dyDescent="0.25">
      <c r="E1968" t="s">
        <v>3871</v>
      </c>
      <c r="F1968">
        <v>1267813</v>
      </c>
      <c r="G1968" s="1">
        <v>45382</v>
      </c>
      <c r="H1968" t="s">
        <v>3872</v>
      </c>
      <c r="I1968" t="s">
        <v>39</v>
      </c>
      <c r="J1968" s="1">
        <v>45292</v>
      </c>
      <c r="K1968">
        <v>-38669000</v>
      </c>
    </row>
    <row r="1969" spans="5:11" x14ac:dyDescent="0.25">
      <c r="E1969" t="s">
        <v>3873</v>
      </c>
      <c r="F1969">
        <v>1269026</v>
      </c>
      <c r="G1969" s="1">
        <v>45382</v>
      </c>
      <c r="H1969" t="s">
        <v>3874</v>
      </c>
      <c r="I1969" t="s">
        <v>406</v>
      </c>
      <c r="J1969" s="1">
        <v>45292</v>
      </c>
      <c r="K1969">
        <v>-886000</v>
      </c>
    </row>
    <row r="1970" spans="5:11" x14ac:dyDescent="0.25">
      <c r="E1970" t="s">
        <v>3875</v>
      </c>
      <c r="F1970">
        <v>1270436</v>
      </c>
      <c r="G1970" s="1">
        <v>45382</v>
      </c>
      <c r="H1970" t="s">
        <v>3876</v>
      </c>
      <c r="I1970" t="s">
        <v>39</v>
      </c>
      <c r="J1970" s="1">
        <v>45292</v>
      </c>
      <c r="K1970">
        <v>2023000</v>
      </c>
    </row>
    <row r="1971" spans="5:11" x14ac:dyDescent="0.25">
      <c r="E1971" t="s">
        <v>3877</v>
      </c>
      <c r="F1971">
        <v>1271833</v>
      </c>
      <c r="G1971" s="1">
        <v>45382</v>
      </c>
      <c r="H1971" t="s">
        <v>3878</v>
      </c>
      <c r="I1971" t="s">
        <v>27</v>
      </c>
      <c r="J1971" s="1">
        <v>45292</v>
      </c>
      <c r="K1971">
        <v>1663000000</v>
      </c>
    </row>
    <row r="1972" spans="5:11" x14ac:dyDescent="0.25">
      <c r="E1972" t="s">
        <v>3879</v>
      </c>
      <c r="F1972">
        <v>1272842</v>
      </c>
      <c r="G1972" s="1">
        <v>45382</v>
      </c>
      <c r="H1972" t="s">
        <v>3880</v>
      </c>
      <c r="I1972" t="s">
        <v>36</v>
      </c>
      <c r="J1972" s="1">
        <v>45292</v>
      </c>
      <c r="K1972">
        <v>-2455000</v>
      </c>
    </row>
    <row r="1973" spans="5:11" x14ac:dyDescent="0.25">
      <c r="E1973" t="s">
        <v>3881</v>
      </c>
      <c r="F1973">
        <v>1273441</v>
      </c>
      <c r="G1973" s="1">
        <v>45382</v>
      </c>
      <c r="H1973" t="s">
        <v>3882</v>
      </c>
      <c r="I1973" t="s">
        <v>3087</v>
      </c>
      <c r="J1973" s="1">
        <v>45292</v>
      </c>
      <c r="K1973">
        <v>-78000</v>
      </c>
    </row>
    <row r="1974" spans="5:11" x14ac:dyDescent="0.25">
      <c r="E1974" t="s">
        <v>3883</v>
      </c>
      <c r="F1974">
        <v>1273685</v>
      </c>
      <c r="G1974" s="1">
        <v>45382</v>
      </c>
      <c r="H1974" t="s">
        <v>3884</v>
      </c>
      <c r="I1974" t="s">
        <v>57</v>
      </c>
      <c r="J1974" s="1">
        <v>45292</v>
      </c>
      <c r="K1974">
        <v>-57901000</v>
      </c>
    </row>
    <row r="1975" spans="5:11" x14ac:dyDescent="0.25">
      <c r="E1975" t="s">
        <v>3885</v>
      </c>
      <c r="F1975">
        <v>1273813</v>
      </c>
      <c r="G1975" s="1">
        <v>45382</v>
      </c>
      <c r="H1975" t="s">
        <v>3886</v>
      </c>
      <c r="I1975" t="s">
        <v>919</v>
      </c>
      <c r="J1975" s="1">
        <v>45292</v>
      </c>
      <c r="K1975">
        <v>109000000</v>
      </c>
    </row>
    <row r="1976" spans="5:11" x14ac:dyDescent="0.25">
      <c r="E1976" t="s">
        <v>3887</v>
      </c>
      <c r="F1976">
        <v>1274173</v>
      </c>
      <c r="G1976" s="1">
        <v>45382</v>
      </c>
      <c r="H1976" t="s">
        <v>3888</v>
      </c>
      <c r="I1976" t="s">
        <v>594</v>
      </c>
      <c r="J1976" s="1">
        <v>45292</v>
      </c>
      <c r="K1976">
        <v>130100000</v>
      </c>
    </row>
    <row r="1977" spans="5:11" x14ac:dyDescent="0.25">
      <c r="E1977" t="s">
        <v>3889</v>
      </c>
      <c r="F1977">
        <v>1274494</v>
      </c>
      <c r="G1977" s="1">
        <v>45382</v>
      </c>
      <c r="H1977" t="s">
        <v>3890</v>
      </c>
      <c r="I1977" t="s">
        <v>113</v>
      </c>
      <c r="J1977" s="1">
        <v>45292</v>
      </c>
      <c r="K1977">
        <v>236616000</v>
      </c>
    </row>
    <row r="1978" spans="5:11" x14ac:dyDescent="0.25">
      <c r="E1978" t="s">
        <v>3891</v>
      </c>
      <c r="F1978">
        <v>1274737</v>
      </c>
      <c r="G1978" s="1">
        <v>45382</v>
      </c>
      <c r="H1978" t="s">
        <v>3892</v>
      </c>
      <c r="I1978" t="s">
        <v>36</v>
      </c>
      <c r="J1978" s="1">
        <v>45292</v>
      </c>
      <c r="K1978">
        <v>-3360000</v>
      </c>
    </row>
    <row r="1979" spans="5:11" x14ac:dyDescent="0.25">
      <c r="E1979" t="s">
        <v>3893</v>
      </c>
      <c r="F1979">
        <v>1275014</v>
      </c>
      <c r="G1979" s="1">
        <v>45380</v>
      </c>
      <c r="H1979" t="s">
        <v>3894</v>
      </c>
      <c r="I1979" t="s">
        <v>36</v>
      </c>
      <c r="J1979" s="1">
        <v>45290</v>
      </c>
      <c r="K1979">
        <v>-9400000</v>
      </c>
    </row>
    <row r="1980" spans="5:11" x14ac:dyDescent="0.25">
      <c r="E1980" t="s">
        <v>3895</v>
      </c>
      <c r="F1980">
        <v>1275101</v>
      </c>
      <c r="G1980" s="1">
        <v>45382</v>
      </c>
      <c r="H1980" t="s">
        <v>3896</v>
      </c>
      <c r="I1980" t="s">
        <v>123</v>
      </c>
      <c r="J1980" s="1">
        <v>45292</v>
      </c>
      <c r="K1980">
        <v>2187000</v>
      </c>
    </row>
    <row r="1981" spans="5:11" x14ac:dyDescent="0.25">
      <c r="E1981" t="s">
        <v>3897</v>
      </c>
      <c r="F1981">
        <v>1275158</v>
      </c>
      <c r="G1981" s="1">
        <v>45384</v>
      </c>
      <c r="H1981" t="s">
        <v>3898</v>
      </c>
      <c r="I1981" t="s">
        <v>92</v>
      </c>
      <c r="J1981" s="1">
        <v>45294</v>
      </c>
      <c r="K1981">
        <v>-6140000</v>
      </c>
    </row>
    <row r="1982" spans="5:11" x14ac:dyDescent="0.25">
      <c r="E1982" t="s">
        <v>3899</v>
      </c>
      <c r="F1982">
        <v>1275168</v>
      </c>
      <c r="G1982" s="1">
        <v>45382</v>
      </c>
      <c r="H1982" t="s">
        <v>3900</v>
      </c>
      <c r="I1982" t="s">
        <v>36</v>
      </c>
      <c r="J1982" s="1">
        <v>45292</v>
      </c>
      <c r="K1982">
        <v>10631000</v>
      </c>
    </row>
    <row r="1983" spans="5:11" x14ac:dyDescent="0.25">
      <c r="E1983" t="s">
        <v>3901</v>
      </c>
      <c r="F1983">
        <v>1275187</v>
      </c>
      <c r="G1983" s="1">
        <v>45351</v>
      </c>
      <c r="H1983" t="s">
        <v>3902</v>
      </c>
      <c r="I1983" t="s">
        <v>57</v>
      </c>
      <c r="J1983" s="1">
        <v>45261</v>
      </c>
      <c r="K1983">
        <v>-187736000</v>
      </c>
    </row>
    <row r="1984" spans="5:11" x14ac:dyDescent="0.25">
      <c r="E1984" t="s">
        <v>3903</v>
      </c>
      <c r="F1984">
        <v>1275477</v>
      </c>
      <c r="G1984" s="1">
        <v>45382</v>
      </c>
      <c r="H1984" t="s">
        <v>3904</v>
      </c>
      <c r="I1984" t="s">
        <v>33</v>
      </c>
      <c r="J1984" s="1">
        <v>45292</v>
      </c>
      <c r="K1984">
        <v>213108</v>
      </c>
    </row>
    <row r="1985" spans="5:11" x14ac:dyDescent="0.25">
      <c r="E1985" t="s">
        <v>3905</v>
      </c>
      <c r="F1985">
        <v>1276187</v>
      </c>
      <c r="G1985" s="1">
        <v>45382</v>
      </c>
      <c r="H1985" t="s">
        <v>3906</v>
      </c>
      <c r="I1985" t="s">
        <v>30</v>
      </c>
      <c r="J1985" s="1">
        <v>45292</v>
      </c>
      <c r="K1985">
        <v>1240000000</v>
      </c>
    </row>
    <row r="1986" spans="5:11" x14ac:dyDescent="0.25">
      <c r="E1986" t="s">
        <v>3907</v>
      </c>
      <c r="F1986">
        <v>1276520</v>
      </c>
      <c r="G1986" s="1">
        <v>45382</v>
      </c>
      <c r="H1986" t="s">
        <v>3908</v>
      </c>
      <c r="I1986" t="s">
        <v>123</v>
      </c>
      <c r="J1986" s="1">
        <v>45292</v>
      </c>
      <c r="K1986">
        <v>139000000</v>
      </c>
    </row>
    <row r="1987" spans="5:11" x14ac:dyDescent="0.25">
      <c r="E1987" t="s">
        <v>3909</v>
      </c>
      <c r="F1987">
        <v>1276531</v>
      </c>
      <c r="G1987" s="1">
        <v>45382</v>
      </c>
      <c r="H1987" t="s">
        <v>3910</v>
      </c>
      <c r="I1987" t="s">
        <v>3911</v>
      </c>
      <c r="J1987" s="1">
        <v>45292</v>
      </c>
      <c r="K1987">
        <v>24574</v>
      </c>
    </row>
    <row r="1988" spans="5:11" x14ac:dyDescent="0.25">
      <c r="E1988" t="s">
        <v>3912</v>
      </c>
      <c r="F1988">
        <v>1278021</v>
      </c>
      <c r="G1988" s="1">
        <v>45382</v>
      </c>
      <c r="H1988" t="s">
        <v>3913</v>
      </c>
      <c r="I1988" t="s">
        <v>57</v>
      </c>
      <c r="J1988" s="1">
        <v>45292</v>
      </c>
      <c r="K1988">
        <v>72615000</v>
      </c>
    </row>
    <row r="1989" spans="5:11" x14ac:dyDescent="0.25">
      <c r="E1989" t="s">
        <v>3914</v>
      </c>
      <c r="F1989">
        <v>1278027</v>
      </c>
      <c r="G1989" s="1">
        <v>45381</v>
      </c>
      <c r="H1989" t="s">
        <v>3915</v>
      </c>
      <c r="I1989" t="s">
        <v>46</v>
      </c>
      <c r="J1989" s="1">
        <v>45291</v>
      </c>
      <c r="K1989">
        <v>-40239000</v>
      </c>
    </row>
    <row r="1990" spans="5:11" x14ac:dyDescent="0.25">
      <c r="E1990" t="s">
        <v>3916</v>
      </c>
      <c r="F1990">
        <v>1278680</v>
      </c>
      <c r="G1990" s="1">
        <v>45382</v>
      </c>
      <c r="H1990" t="s">
        <v>3917</v>
      </c>
      <c r="I1990" t="s">
        <v>36</v>
      </c>
      <c r="J1990" s="1">
        <v>45292</v>
      </c>
      <c r="K1990">
        <v>1870910537</v>
      </c>
    </row>
    <row r="1991" spans="5:11" x14ac:dyDescent="0.25">
      <c r="E1991" t="s">
        <v>3918</v>
      </c>
      <c r="F1991">
        <v>1278752</v>
      </c>
      <c r="G1991" s="1">
        <v>45382</v>
      </c>
      <c r="H1991" t="s">
        <v>3919</v>
      </c>
      <c r="I1991" t="s">
        <v>57</v>
      </c>
      <c r="J1991" s="1">
        <v>45292</v>
      </c>
      <c r="K1991">
        <v>25489000</v>
      </c>
    </row>
    <row r="1992" spans="5:11" x14ac:dyDescent="0.25">
      <c r="E1992" t="s">
        <v>3920</v>
      </c>
      <c r="F1992">
        <v>1279620</v>
      </c>
      <c r="G1992" s="1">
        <v>45382</v>
      </c>
      <c r="H1992" t="s">
        <v>3921</v>
      </c>
      <c r="I1992" t="s">
        <v>113</v>
      </c>
      <c r="J1992" s="1">
        <v>45292</v>
      </c>
      <c r="K1992">
        <v>96473</v>
      </c>
    </row>
    <row r="1993" spans="5:11" x14ac:dyDescent="0.25">
      <c r="E1993" t="s">
        <v>10435</v>
      </c>
      <c r="F1993">
        <v>1279704</v>
      </c>
      <c r="G1993" s="1">
        <v>45382</v>
      </c>
      <c r="H1993" t="s">
        <v>3922</v>
      </c>
      <c r="I1993" t="s">
        <v>46</v>
      </c>
      <c r="J1993" s="1">
        <v>45292</v>
      </c>
      <c r="K1993">
        <v>-26641983</v>
      </c>
    </row>
    <row r="1994" spans="5:11" x14ac:dyDescent="0.25">
      <c r="E1994" t="s">
        <v>3923</v>
      </c>
      <c r="F1994">
        <v>1279715</v>
      </c>
      <c r="G1994" s="1">
        <v>45382</v>
      </c>
      <c r="H1994" t="s">
        <v>3924</v>
      </c>
      <c r="I1994" t="s">
        <v>57</v>
      </c>
      <c r="J1994" s="1">
        <v>45292</v>
      </c>
      <c r="K1994">
        <v>-219000</v>
      </c>
    </row>
    <row r="1995" spans="5:11" x14ac:dyDescent="0.25">
      <c r="E1995" t="s">
        <v>10436</v>
      </c>
      <c r="F1995">
        <v>1280058</v>
      </c>
      <c r="G1995" s="1">
        <v>45382</v>
      </c>
      <c r="H1995" t="s">
        <v>3925</v>
      </c>
      <c r="I1995" t="s">
        <v>686</v>
      </c>
      <c r="J1995" s="1">
        <v>45292</v>
      </c>
      <c r="K1995">
        <v>5246000</v>
      </c>
    </row>
    <row r="1996" spans="5:11" x14ac:dyDescent="0.25">
      <c r="E1996" t="s">
        <v>10437</v>
      </c>
      <c r="F1996">
        <v>1280263</v>
      </c>
      <c r="G1996" s="1">
        <v>45412</v>
      </c>
      <c r="H1996" t="s">
        <v>3926</v>
      </c>
      <c r="I1996" t="s">
        <v>36</v>
      </c>
      <c r="J1996" s="1">
        <v>45323</v>
      </c>
      <c r="K1996">
        <v>-37932000</v>
      </c>
    </row>
    <row r="1997" spans="5:11" x14ac:dyDescent="0.25">
      <c r="E1997" t="s">
        <v>3927</v>
      </c>
      <c r="F1997">
        <v>1280452</v>
      </c>
      <c r="G1997" s="1">
        <v>45382</v>
      </c>
      <c r="H1997" t="s">
        <v>3928</v>
      </c>
      <c r="I1997" t="s">
        <v>504</v>
      </c>
      <c r="J1997" s="1">
        <v>45292</v>
      </c>
      <c r="K1997">
        <v>92541000</v>
      </c>
    </row>
    <row r="1998" spans="5:11" x14ac:dyDescent="0.25">
      <c r="E1998" t="s">
        <v>3929</v>
      </c>
      <c r="F1998">
        <v>1280776</v>
      </c>
      <c r="G1998" s="1">
        <v>45382</v>
      </c>
      <c r="H1998" t="s">
        <v>3930</v>
      </c>
      <c r="I1998" t="s">
        <v>57</v>
      </c>
      <c r="J1998" s="1">
        <v>45292</v>
      </c>
      <c r="K1998">
        <v>-29584000</v>
      </c>
    </row>
    <row r="1999" spans="5:11" x14ac:dyDescent="0.25">
      <c r="E1999" t="s">
        <v>3931</v>
      </c>
      <c r="F1999">
        <v>1280784</v>
      </c>
      <c r="G1999" s="1">
        <v>45382</v>
      </c>
      <c r="H1999" t="s">
        <v>3932</v>
      </c>
      <c r="I1999" t="s">
        <v>36</v>
      </c>
      <c r="J1999" s="1">
        <v>45292</v>
      </c>
      <c r="K1999">
        <v>90964000</v>
      </c>
    </row>
    <row r="2000" spans="5:11" x14ac:dyDescent="0.25">
      <c r="E2000" t="s">
        <v>3933</v>
      </c>
      <c r="F2000">
        <v>1281761</v>
      </c>
      <c r="G2000" s="1">
        <v>45382</v>
      </c>
      <c r="H2000" t="s">
        <v>3934</v>
      </c>
      <c r="I2000" t="s">
        <v>1123</v>
      </c>
      <c r="J2000" s="1">
        <v>45292</v>
      </c>
      <c r="K2000">
        <v>368000000</v>
      </c>
    </row>
    <row r="2001" spans="5:11" x14ac:dyDescent="0.25">
      <c r="E2001" t="s">
        <v>3935</v>
      </c>
      <c r="F2001">
        <v>1281845</v>
      </c>
      <c r="G2001" s="1">
        <v>45351</v>
      </c>
      <c r="H2001" t="s">
        <v>3936</v>
      </c>
      <c r="I2001" t="s">
        <v>57</v>
      </c>
      <c r="J2001" s="1">
        <v>45261</v>
      </c>
      <c r="K2001">
        <v>-5962398</v>
      </c>
    </row>
    <row r="2002" spans="5:11" x14ac:dyDescent="0.25">
      <c r="E2002" t="s">
        <v>3937</v>
      </c>
      <c r="F2002">
        <v>1281895</v>
      </c>
      <c r="G2002" s="1">
        <v>45382</v>
      </c>
      <c r="H2002" t="s">
        <v>3938</v>
      </c>
      <c r="I2002" t="s">
        <v>46</v>
      </c>
      <c r="J2002" s="1">
        <v>45292</v>
      </c>
      <c r="K2002">
        <v>-62054000</v>
      </c>
    </row>
    <row r="2003" spans="5:11" x14ac:dyDescent="0.25">
      <c r="E2003" t="s">
        <v>3939</v>
      </c>
      <c r="F2003">
        <v>1282224</v>
      </c>
      <c r="G2003" s="1">
        <v>45382</v>
      </c>
      <c r="H2003" t="s">
        <v>3940</v>
      </c>
      <c r="I2003" t="s">
        <v>33</v>
      </c>
      <c r="J2003" s="1">
        <v>45292</v>
      </c>
      <c r="K2003">
        <v>-326767</v>
      </c>
    </row>
    <row r="2004" spans="5:11" x14ac:dyDescent="0.25">
      <c r="E2004" t="s">
        <v>3941</v>
      </c>
      <c r="F2004">
        <v>1282631</v>
      </c>
      <c r="G2004" s="1">
        <v>45381</v>
      </c>
      <c r="H2004" t="s">
        <v>3942</v>
      </c>
      <c r="I2004" t="s">
        <v>36</v>
      </c>
      <c r="J2004" s="1">
        <v>45291</v>
      </c>
      <c r="K2004">
        <v>-16968000</v>
      </c>
    </row>
    <row r="2005" spans="5:11" x14ac:dyDescent="0.25">
      <c r="E2005" t="s">
        <v>3943</v>
      </c>
      <c r="F2005">
        <v>1282637</v>
      </c>
      <c r="G2005" s="1">
        <v>45382</v>
      </c>
      <c r="H2005" t="s">
        <v>3944</v>
      </c>
      <c r="I2005" t="s">
        <v>123</v>
      </c>
      <c r="J2005" s="1">
        <v>45292</v>
      </c>
      <c r="K2005">
        <v>107732000</v>
      </c>
    </row>
    <row r="2006" spans="5:11" x14ac:dyDescent="0.25">
      <c r="E2006" t="s">
        <v>3945</v>
      </c>
      <c r="F2006">
        <v>1282648</v>
      </c>
      <c r="G2006" s="1">
        <v>45382</v>
      </c>
      <c r="H2006" t="s">
        <v>3946</v>
      </c>
      <c r="I2006" t="s">
        <v>30</v>
      </c>
      <c r="J2006" s="1">
        <v>45292</v>
      </c>
      <c r="K2006">
        <v>-31203000</v>
      </c>
    </row>
    <row r="2007" spans="5:11" x14ac:dyDescent="0.25">
      <c r="E2007" t="s">
        <v>3947</v>
      </c>
      <c r="F2007">
        <v>1282980</v>
      </c>
      <c r="G2007" s="1">
        <v>45382</v>
      </c>
      <c r="H2007" t="s">
        <v>3948</v>
      </c>
      <c r="I2007" t="s">
        <v>1511</v>
      </c>
      <c r="J2007" s="1">
        <v>45292</v>
      </c>
      <c r="K2007">
        <v>-1308463</v>
      </c>
    </row>
    <row r="2008" spans="5:11" x14ac:dyDescent="0.25">
      <c r="E2008" t="s">
        <v>3949</v>
      </c>
      <c r="F2008">
        <v>1283699</v>
      </c>
      <c r="G2008" s="1">
        <v>45382</v>
      </c>
      <c r="H2008" t="s">
        <v>3950</v>
      </c>
      <c r="I2008" t="s">
        <v>504</v>
      </c>
      <c r="J2008" s="1">
        <v>45292</v>
      </c>
      <c r="K2008">
        <v>2374000000</v>
      </c>
    </row>
    <row r="2009" spans="5:11" x14ac:dyDescent="0.25">
      <c r="E2009" t="s">
        <v>3951</v>
      </c>
      <c r="F2009">
        <v>1284454</v>
      </c>
      <c r="G2009" s="1">
        <v>45382</v>
      </c>
      <c r="H2009" t="s">
        <v>3952</v>
      </c>
      <c r="I2009" t="s">
        <v>1164</v>
      </c>
      <c r="J2009" s="1">
        <v>45292</v>
      </c>
      <c r="K2009">
        <v>-17833</v>
      </c>
    </row>
    <row r="2010" spans="5:11" x14ac:dyDescent="0.25">
      <c r="E2010" t="s">
        <v>3953</v>
      </c>
      <c r="F2010">
        <v>1284812</v>
      </c>
      <c r="G2010" s="1">
        <v>45382</v>
      </c>
      <c r="H2010" t="s">
        <v>3954</v>
      </c>
      <c r="I2010" t="s">
        <v>57</v>
      </c>
      <c r="J2010" s="1">
        <v>45292</v>
      </c>
      <c r="K2010">
        <v>34004000</v>
      </c>
    </row>
    <row r="2011" spans="5:11" x14ac:dyDescent="0.25">
      <c r="E2011" t="s">
        <v>3955</v>
      </c>
      <c r="F2011">
        <v>1285550</v>
      </c>
      <c r="G2011" s="1">
        <v>45382</v>
      </c>
      <c r="H2011" t="s">
        <v>3956</v>
      </c>
      <c r="I2011" t="s">
        <v>36</v>
      </c>
      <c r="J2011" s="1">
        <v>45292</v>
      </c>
      <c r="K2011">
        <v>-4146000</v>
      </c>
    </row>
    <row r="2012" spans="5:11" x14ac:dyDescent="0.25">
      <c r="E2012" t="s">
        <v>3957</v>
      </c>
      <c r="F2012">
        <v>1285785</v>
      </c>
      <c r="G2012" s="1">
        <v>45382</v>
      </c>
      <c r="H2012" t="s">
        <v>3958</v>
      </c>
      <c r="I2012" t="s">
        <v>33</v>
      </c>
      <c r="J2012" s="1">
        <v>45292</v>
      </c>
      <c r="K2012">
        <v>45200000</v>
      </c>
    </row>
    <row r="2013" spans="5:11" x14ac:dyDescent="0.25">
      <c r="E2013" t="s">
        <v>3959</v>
      </c>
      <c r="F2013">
        <v>1285819</v>
      </c>
      <c r="G2013" s="1">
        <v>45382</v>
      </c>
      <c r="H2013" t="s">
        <v>3960</v>
      </c>
      <c r="I2013" t="s">
        <v>504</v>
      </c>
      <c r="J2013" s="1">
        <v>45292</v>
      </c>
      <c r="K2013">
        <v>-37184000</v>
      </c>
    </row>
    <row r="2014" spans="5:11" x14ac:dyDescent="0.25">
      <c r="E2014" t="s">
        <v>10438</v>
      </c>
      <c r="F2014">
        <v>1286043</v>
      </c>
      <c r="G2014" s="1">
        <v>45382</v>
      </c>
      <c r="H2014" t="s">
        <v>3961</v>
      </c>
      <c r="I2014" t="s">
        <v>288</v>
      </c>
      <c r="J2014" s="1">
        <v>45292</v>
      </c>
      <c r="K2014">
        <v>14156000</v>
      </c>
    </row>
    <row r="2015" spans="5:11" x14ac:dyDescent="0.25">
      <c r="E2015" t="s">
        <v>3962</v>
      </c>
      <c r="F2015">
        <v>1286139</v>
      </c>
      <c r="G2015" s="1">
        <v>45382</v>
      </c>
      <c r="H2015" t="s">
        <v>3963</v>
      </c>
      <c r="I2015" t="s">
        <v>36</v>
      </c>
      <c r="J2015" s="1">
        <v>45292</v>
      </c>
      <c r="K2015">
        <v>4744000</v>
      </c>
    </row>
    <row r="2016" spans="5:11" x14ac:dyDescent="0.25">
      <c r="E2016" t="s">
        <v>3964</v>
      </c>
      <c r="F2016">
        <v>1286613</v>
      </c>
      <c r="G2016" s="1">
        <v>45382</v>
      </c>
      <c r="H2016" t="s">
        <v>3965</v>
      </c>
      <c r="I2016" t="s">
        <v>46</v>
      </c>
      <c r="J2016" s="1">
        <v>45292</v>
      </c>
      <c r="K2016">
        <v>-214000</v>
      </c>
    </row>
    <row r="2017" spans="5:11" x14ac:dyDescent="0.25">
      <c r="E2017" t="s">
        <v>3966</v>
      </c>
      <c r="F2017">
        <v>1286681</v>
      </c>
      <c r="G2017" s="1">
        <v>45375</v>
      </c>
      <c r="H2017" t="s">
        <v>3967</v>
      </c>
      <c r="I2017" t="s">
        <v>329</v>
      </c>
      <c r="J2017" s="1">
        <v>45292</v>
      </c>
      <c r="K2017">
        <v>125824000</v>
      </c>
    </row>
    <row r="2018" spans="5:11" x14ac:dyDescent="0.25">
      <c r="E2018" t="s">
        <v>3968</v>
      </c>
      <c r="F2018">
        <v>1287032</v>
      </c>
      <c r="G2018" s="1">
        <v>45382</v>
      </c>
      <c r="H2018" t="s">
        <v>3969</v>
      </c>
      <c r="I2018" t="s">
        <v>57</v>
      </c>
      <c r="J2018" s="1">
        <v>45292</v>
      </c>
      <c r="K2018">
        <v>144361000</v>
      </c>
    </row>
    <row r="2019" spans="5:11" x14ac:dyDescent="0.25">
      <c r="E2019" t="s">
        <v>3970</v>
      </c>
      <c r="F2019">
        <v>1287098</v>
      </c>
      <c r="G2019" s="1">
        <v>45382</v>
      </c>
      <c r="H2019" t="s">
        <v>3971</v>
      </c>
      <c r="I2019" t="s">
        <v>299</v>
      </c>
      <c r="J2019" s="1">
        <v>45292</v>
      </c>
      <c r="K2019">
        <v>-9526000</v>
      </c>
    </row>
    <row r="2020" spans="5:11" x14ac:dyDescent="0.25">
      <c r="E2020" t="s">
        <v>3972</v>
      </c>
      <c r="F2020">
        <v>1287213</v>
      </c>
      <c r="G2020" s="1">
        <v>45382</v>
      </c>
      <c r="H2020" t="s">
        <v>3973</v>
      </c>
      <c r="I2020" t="s">
        <v>83</v>
      </c>
      <c r="J2020" s="1">
        <v>45292</v>
      </c>
      <c r="K2020">
        <v>-8352000</v>
      </c>
    </row>
    <row r="2021" spans="5:11" x14ac:dyDescent="0.25">
      <c r="E2021" t="s">
        <v>3974</v>
      </c>
      <c r="F2021">
        <v>1287750</v>
      </c>
      <c r="G2021" s="1">
        <v>45382</v>
      </c>
      <c r="H2021" t="s">
        <v>3975</v>
      </c>
      <c r="I2021" t="s">
        <v>57</v>
      </c>
      <c r="J2021" s="1">
        <v>45292</v>
      </c>
      <c r="K2021">
        <v>449000000</v>
      </c>
    </row>
    <row r="2022" spans="5:11" x14ac:dyDescent="0.25">
      <c r="E2022" t="s">
        <v>3976</v>
      </c>
      <c r="F2022">
        <v>1287865</v>
      </c>
      <c r="G2022" s="1">
        <v>45382</v>
      </c>
      <c r="H2022" t="s">
        <v>3977</v>
      </c>
      <c r="I2022" t="s">
        <v>1123</v>
      </c>
      <c r="J2022" s="1">
        <v>45292</v>
      </c>
      <c r="K2022">
        <v>-875625000</v>
      </c>
    </row>
    <row r="2023" spans="5:11" x14ac:dyDescent="0.25">
      <c r="E2023" t="s">
        <v>3978</v>
      </c>
      <c r="F2023">
        <v>1288403</v>
      </c>
      <c r="G2023" s="1">
        <v>45382</v>
      </c>
      <c r="H2023" t="s">
        <v>3979</v>
      </c>
      <c r="I2023" t="s">
        <v>30</v>
      </c>
      <c r="J2023" s="1">
        <v>45292</v>
      </c>
      <c r="K2023">
        <v>-11474000</v>
      </c>
    </row>
    <row r="2024" spans="5:11" x14ac:dyDescent="0.25">
      <c r="E2024" t="s">
        <v>10439</v>
      </c>
      <c r="F2024">
        <v>1288469</v>
      </c>
      <c r="G2024" s="1">
        <v>45382</v>
      </c>
      <c r="H2024" t="s">
        <v>3980</v>
      </c>
      <c r="I2024" t="s">
        <v>36</v>
      </c>
      <c r="J2024" s="1">
        <v>45292</v>
      </c>
      <c r="K2024">
        <v>-72309000</v>
      </c>
    </row>
    <row r="2025" spans="5:11" x14ac:dyDescent="0.25">
      <c r="E2025" t="s">
        <v>3981</v>
      </c>
      <c r="F2025">
        <v>1288750</v>
      </c>
      <c r="G2025" s="1">
        <v>45382</v>
      </c>
      <c r="H2025" t="s">
        <v>3982</v>
      </c>
      <c r="I2025" t="s">
        <v>1071</v>
      </c>
      <c r="J2025" s="1">
        <v>45292</v>
      </c>
      <c r="K2025">
        <v>-324779</v>
      </c>
    </row>
    <row r="2026" spans="5:11" x14ac:dyDescent="0.25">
      <c r="E2026" t="s">
        <v>3983</v>
      </c>
      <c r="F2026">
        <v>1288847</v>
      </c>
      <c r="G2026" s="1">
        <v>45382</v>
      </c>
      <c r="H2026" t="s">
        <v>3984</v>
      </c>
      <c r="I2026" t="s">
        <v>36</v>
      </c>
      <c r="J2026" s="1">
        <v>45292</v>
      </c>
      <c r="K2026">
        <v>-7077000</v>
      </c>
    </row>
    <row r="2027" spans="5:11" x14ac:dyDescent="0.25">
      <c r="E2027" t="s">
        <v>3985</v>
      </c>
      <c r="F2027">
        <v>1288855</v>
      </c>
      <c r="G2027" s="1">
        <v>45382</v>
      </c>
      <c r="H2027" t="s">
        <v>3986</v>
      </c>
      <c r="I2027" t="s">
        <v>33</v>
      </c>
      <c r="J2027" s="1">
        <v>45292</v>
      </c>
      <c r="K2027">
        <v>2377000</v>
      </c>
    </row>
    <row r="2028" spans="5:11" x14ac:dyDescent="0.25">
      <c r="E2028" t="s">
        <v>3987</v>
      </c>
      <c r="F2028">
        <v>1289237</v>
      </c>
      <c r="G2028" s="1">
        <v>45381</v>
      </c>
      <c r="H2028" t="s">
        <v>3988</v>
      </c>
      <c r="I2028" t="s">
        <v>137</v>
      </c>
      <c r="J2028" s="1">
        <v>45291</v>
      </c>
      <c r="K2028">
        <v>-691000</v>
      </c>
    </row>
    <row r="2029" spans="5:11" x14ac:dyDescent="0.25">
      <c r="E2029" t="s">
        <v>3989</v>
      </c>
      <c r="F2029">
        <v>1289340</v>
      </c>
      <c r="G2029" s="1">
        <v>45382</v>
      </c>
      <c r="H2029" t="s">
        <v>3990</v>
      </c>
      <c r="I2029" t="s">
        <v>137</v>
      </c>
      <c r="J2029" s="1">
        <v>45292</v>
      </c>
      <c r="K2029">
        <v>-4507000</v>
      </c>
    </row>
    <row r="2030" spans="5:11" x14ac:dyDescent="0.25">
      <c r="E2030" t="s">
        <v>3991</v>
      </c>
      <c r="F2030">
        <v>1289490</v>
      </c>
      <c r="G2030" s="1">
        <v>45382</v>
      </c>
      <c r="H2030" t="s">
        <v>3992</v>
      </c>
      <c r="I2030" t="s">
        <v>406</v>
      </c>
      <c r="J2030" s="1">
        <v>45292</v>
      </c>
      <c r="K2030">
        <v>213112000</v>
      </c>
    </row>
    <row r="2031" spans="5:11" x14ac:dyDescent="0.25">
      <c r="E2031" t="s">
        <v>3993</v>
      </c>
      <c r="F2031">
        <v>1289636</v>
      </c>
      <c r="G2031" s="1">
        <v>45382</v>
      </c>
      <c r="H2031" t="s">
        <v>3994</v>
      </c>
      <c r="I2031" t="s">
        <v>406</v>
      </c>
      <c r="J2031" s="1">
        <v>45292</v>
      </c>
      <c r="K2031">
        <v>1434375</v>
      </c>
    </row>
    <row r="2032" spans="5:11" x14ac:dyDescent="0.25">
      <c r="E2032" t="s">
        <v>3995</v>
      </c>
      <c r="F2032">
        <v>1289848</v>
      </c>
      <c r="G2032" s="1">
        <v>45382</v>
      </c>
      <c r="H2032" t="s">
        <v>3996</v>
      </c>
      <c r="I2032" t="s">
        <v>19</v>
      </c>
      <c r="J2032" s="1">
        <v>45292</v>
      </c>
      <c r="K2032">
        <v>18006000</v>
      </c>
    </row>
    <row r="2033" spans="5:11" x14ac:dyDescent="0.25">
      <c r="E2033" t="s">
        <v>3997</v>
      </c>
      <c r="F2033">
        <v>1289850</v>
      </c>
      <c r="G2033" s="1">
        <v>45382</v>
      </c>
      <c r="H2033" t="s">
        <v>3998</v>
      </c>
      <c r="I2033" t="s">
        <v>24</v>
      </c>
      <c r="J2033" s="1">
        <v>45292</v>
      </c>
      <c r="K2033">
        <v>-3029574</v>
      </c>
    </row>
    <row r="2034" spans="5:11" x14ac:dyDescent="0.25">
      <c r="E2034" t="s">
        <v>10440</v>
      </c>
      <c r="F2034">
        <v>1289945</v>
      </c>
      <c r="G2034" s="1">
        <v>45382</v>
      </c>
      <c r="H2034" t="s">
        <v>3999</v>
      </c>
      <c r="I2034" t="s">
        <v>30</v>
      </c>
      <c r="J2034" s="1">
        <v>45292</v>
      </c>
      <c r="K2034">
        <v>4236000</v>
      </c>
    </row>
    <row r="2035" spans="5:11" x14ac:dyDescent="0.25">
      <c r="E2035" t="s">
        <v>4000</v>
      </c>
      <c r="F2035">
        <v>1290476</v>
      </c>
      <c r="G2035" s="1">
        <v>45382</v>
      </c>
      <c r="H2035" t="s">
        <v>4001</v>
      </c>
      <c r="I2035" t="s">
        <v>123</v>
      </c>
      <c r="J2035" s="1">
        <v>45292</v>
      </c>
      <c r="K2035">
        <v>1772000</v>
      </c>
    </row>
    <row r="2036" spans="5:11" x14ac:dyDescent="0.25">
      <c r="E2036" t="s">
        <v>4002</v>
      </c>
      <c r="F2036">
        <v>1290658</v>
      </c>
      <c r="G2036" s="1">
        <v>45382</v>
      </c>
      <c r="H2036" t="s">
        <v>4003</v>
      </c>
      <c r="I2036" t="s">
        <v>24</v>
      </c>
      <c r="J2036" s="1">
        <v>45292</v>
      </c>
      <c r="K2036">
        <v>-201418</v>
      </c>
    </row>
    <row r="2037" spans="5:11" x14ac:dyDescent="0.25">
      <c r="E2037" t="s">
        <v>4004</v>
      </c>
      <c r="F2037">
        <v>1290677</v>
      </c>
      <c r="G2037" s="1">
        <v>45382</v>
      </c>
      <c r="H2037" t="s">
        <v>4005</v>
      </c>
      <c r="I2037" t="s">
        <v>190</v>
      </c>
      <c r="J2037" s="1">
        <v>45292</v>
      </c>
      <c r="K2037">
        <v>12010000</v>
      </c>
    </row>
    <row r="2038" spans="5:11" x14ac:dyDescent="0.25">
      <c r="E2038" t="s">
        <v>4006</v>
      </c>
      <c r="F2038">
        <v>1290900</v>
      </c>
      <c r="G2038" s="1">
        <v>45382</v>
      </c>
      <c r="H2038" t="s">
        <v>4007</v>
      </c>
      <c r="I2038" t="s">
        <v>60</v>
      </c>
      <c r="J2038" s="1">
        <v>45292</v>
      </c>
      <c r="K2038">
        <v>2939000</v>
      </c>
    </row>
    <row r="2039" spans="5:11" x14ac:dyDescent="0.25">
      <c r="E2039" t="s">
        <v>4008</v>
      </c>
      <c r="F2039">
        <v>1293282</v>
      </c>
      <c r="G2039" s="1">
        <v>45382</v>
      </c>
      <c r="H2039" t="s">
        <v>4009</v>
      </c>
      <c r="I2039" t="s">
        <v>24</v>
      </c>
      <c r="J2039" s="1">
        <v>45292</v>
      </c>
      <c r="K2039">
        <v>-10088000</v>
      </c>
    </row>
    <row r="2040" spans="5:11" x14ac:dyDescent="0.25">
      <c r="E2040" t="s">
        <v>4010</v>
      </c>
      <c r="F2040">
        <v>1293818</v>
      </c>
      <c r="G2040" s="1">
        <v>45382</v>
      </c>
      <c r="H2040" t="s">
        <v>4011</v>
      </c>
      <c r="I2040" t="s">
        <v>299</v>
      </c>
      <c r="J2040" s="1">
        <v>45292</v>
      </c>
      <c r="K2040">
        <v>287967</v>
      </c>
    </row>
    <row r="2041" spans="5:11" x14ac:dyDescent="0.25">
      <c r="E2041" t="s">
        <v>4012</v>
      </c>
      <c r="F2041">
        <v>1293971</v>
      </c>
      <c r="G2041" s="1">
        <v>45382</v>
      </c>
      <c r="H2041" t="s">
        <v>4013</v>
      </c>
      <c r="I2041" t="s">
        <v>24</v>
      </c>
      <c r="J2041" s="1">
        <v>45292</v>
      </c>
      <c r="K2041">
        <v>-69804000</v>
      </c>
    </row>
    <row r="2042" spans="5:11" x14ac:dyDescent="0.25">
      <c r="E2042" t="s">
        <v>4014</v>
      </c>
      <c r="F2042">
        <v>1294133</v>
      </c>
      <c r="G2042" s="1">
        <v>45382</v>
      </c>
      <c r="H2042" t="s">
        <v>4015</v>
      </c>
      <c r="I2042" t="s">
        <v>36</v>
      </c>
      <c r="J2042" s="1">
        <v>45292</v>
      </c>
      <c r="K2042">
        <v>-14578000</v>
      </c>
    </row>
    <row r="2043" spans="5:11" x14ac:dyDescent="0.25">
      <c r="E2043" t="s">
        <v>4016</v>
      </c>
      <c r="F2043">
        <v>1295401</v>
      </c>
      <c r="G2043" s="1">
        <v>45382</v>
      </c>
      <c r="H2043" t="s">
        <v>4017</v>
      </c>
      <c r="I2043" t="s">
        <v>186</v>
      </c>
      <c r="J2043" s="1">
        <v>45292</v>
      </c>
      <c r="K2043">
        <v>56429000</v>
      </c>
    </row>
    <row r="2044" spans="5:11" x14ac:dyDescent="0.25">
      <c r="E2044" t="s">
        <v>4018</v>
      </c>
      <c r="F2044">
        <v>1295514</v>
      </c>
      <c r="G2044" s="1">
        <v>45382</v>
      </c>
      <c r="H2044" t="s">
        <v>4019</v>
      </c>
      <c r="I2044" t="s">
        <v>33</v>
      </c>
      <c r="J2044" s="1">
        <v>45292</v>
      </c>
      <c r="K2044">
        <v>-302389</v>
      </c>
    </row>
    <row r="2045" spans="5:11" x14ac:dyDescent="0.25">
      <c r="E2045" t="s">
        <v>4020</v>
      </c>
      <c r="F2045">
        <v>1296445</v>
      </c>
      <c r="G2045" s="1">
        <v>45382</v>
      </c>
      <c r="H2045" t="s">
        <v>4021</v>
      </c>
      <c r="I2045" t="s">
        <v>142</v>
      </c>
      <c r="J2045" s="1">
        <v>45292</v>
      </c>
      <c r="K2045">
        <v>38587000</v>
      </c>
    </row>
    <row r="2046" spans="5:11" x14ac:dyDescent="0.25">
      <c r="E2046" t="s">
        <v>4022</v>
      </c>
      <c r="F2046">
        <v>1296884</v>
      </c>
      <c r="G2046" s="1">
        <v>45382</v>
      </c>
      <c r="H2046" t="s">
        <v>4023</v>
      </c>
      <c r="I2046" t="s">
        <v>46</v>
      </c>
      <c r="J2046" s="1">
        <v>45292</v>
      </c>
      <c r="K2046">
        <v>-4131000</v>
      </c>
    </row>
    <row r="2047" spans="5:11" x14ac:dyDescent="0.25">
      <c r="E2047" t="s">
        <v>4024</v>
      </c>
      <c r="F2047">
        <v>1297184</v>
      </c>
      <c r="G2047" s="1">
        <v>45382</v>
      </c>
      <c r="H2047" t="s">
        <v>4025</v>
      </c>
      <c r="I2047" t="s">
        <v>36</v>
      </c>
      <c r="J2047" s="1">
        <v>45292</v>
      </c>
      <c r="K2047">
        <v>43177000</v>
      </c>
    </row>
    <row r="2048" spans="5:11" x14ac:dyDescent="0.25">
      <c r="E2048" t="s">
        <v>4026</v>
      </c>
      <c r="F2048">
        <v>1297341</v>
      </c>
      <c r="G2048" s="1">
        <v>45382</v>
      </c>
      <c r="H2048" t="s">
        <v>4027</v>
      </c>
      <c r="I2048" t="s">
        <v>190</v>
      </c>
      <c r="J2048" s="1">
        <v>45292</v>
      </c>
      <c r="K2048">
        <v>-107000</v>
      </c>
    </row>
    <row r="2049" spans="5:11" x14ac:dyDescent="0.25">
      <c r="E2049" t="s">
        <v>4028</v>
      </c>
      <c r="F2049">
        <v>1297937</v>
      </c>
      <c r="G2049" s="1">
        <v>45382</v>
      </c>
      <c r="H2049" t="s">
        <v>4029</v>
      </c>
      <c r="I2049" t="s">
        <v>64</v>
      </c>
      <c r="J2049" s="1">
        <v>45292</v>
      </c>
      <c r="K2049">
        <v>-1000324</v>
      </c>
    </row>
    <row r="2050" spans="5:11" x14ac:dyDescent="0.25">
      <c r="E2050" t="s">
        <v>4030</v>
      </c>
      <c r="F2050">
        <v>1297989</v>
      </c>
      <c r="G2050" s="1">
        <v>45382</v>
      </c>
      <c r="H2050" t="s">
        <v>4031</v>
      </c>
      <c r="I2050" t="s">
        <v>57</v>
      </c>
      <c r="J2050" s="1">
        <v>45292</v>
      </c>
      <c r="K2050">
        <v>48763000</v>
      </c>
    </row>
    <row r="2051" spans="5:11" x14ac:dyDescent="0.25">
      <c r="E2051" t="s">
        <v>4032</v>
      </c>
      <c r="F2051">
        <v>1297996</v>
      </c>
      <c r="G2051" s="1">
        <v>45382</v>
      </c>
      <c r="H2051" t="s">
        <v>4033</v>
      </c>
      <c r="I2051" t="s">
        <v>30</v>
      </c>
      <c r="J2051" s="1">
        <v>45292</v>
      </c>
      <c r="K2051">
        <v>281508000</v>
      </c>
    </row>
    <row r="2052" spans="5:11" x14ac:dyDescent="0.25">
      <c r="E2052" t="s">
        <v>4034</v>
      </c>
      <c r="F2052">
        <v>1298946</v>
      </c>
      <c r="G2052" s="1">
        <v>45382</v>
      </c>
      <c r="H2052" t="s">
        <v>4035</v>
      </c>
      <c r="I2052" t="s">
        <v>299</v>
      </c>
      <c r="J2052" s="1">
        <v>45292</v>
      </c>
      <c r="K2052">
        <v>8328000</v>
      </c>
    </row>
    <row r="2053" spans="5:11" x14ac:dyDescent="0.25">
      <c r="E2053" t="s">
        <v>4036</v>
      </c>
      <c r="F2053">
        <v>1299130</v>
      </c>
      <c r="G2053" s="1">
        <v>45382</v>
      </c>
      <c r="H2053" t="s">
        <v>4037</v>
      </c>
      <c r="I2053" t="s">
        <v>36</v>
      </c>
      <c r="J2053" s="1">
        <v>45292</v>
      </c>
      <c r="K2053">
        <v>-78178000</v>
      </c>
    </row>
    <row r="2054" spans="5:11" x14ac:dyDescent="0.25">
      <c r="E2054" t="s">
        <v>4038</v>
      </c>
      <c r="F2054">
        <v>1299709</v>
      </c>
      <c r="G2054" s="1">
        <v>45382</v>
      </c>
      <c r="H2054" t="s">
        <v>4039</v>
      </c>
      <c r="I2054" t="s">
        <v>142</v>
      </c>
      <c r="J2054" s="1">
        <v>45292</v>
      </c>
      <c r="K2054">
        <v>110720000</v>
      </c>
    </row>
    <row r="2055" spans="5:11" x14ac:dyDescent="0.25">
      <c r="E2055" t="s">
        <v>4040</v>
      </c>
      <c r="F2055">
        <v>1299969</v>
      </c>
      <c r="G2055" s="1">
        <v>45382</v>
      </c>
      <c r="H2055" t="s">
        <v>4041</v>
      </c>
      <c r="I2055" t="s">
        <v>123</v>
      </c>
      <c r="J2055" s="1">
        <v>45292</v>
      </c>
      <c r="K2055">
        <v>910000</v>
      </c>
    </row>
    <row r="2056" spans="5:11" x14ac:dyDescent="0.25">
      <c r="E2056" t="s">
        <v>4042</v>
      </c>
      <c r="F2056">
        <v>1300514</v>
      </c>
      <c r="G2056" s="1">
        <v>45382</v>
      </c>
      <c r="H2056" t="s">
        <v>4043</v>
      </c>
      <c r="I2056" t="s">
        <v>142</v>
      </c>
      <c r="J2056" s="1">
        <v>45292</v>
      </c>
      <c r="K2056">
        <v>494000000</v>
      </c>
    </row>
    <row r="2057" spans="5:11" x14ac:dyDescent="0.25">
      <c r="E2057" t="s">
        <v>4044</v>
      </c>
      <c r="F2057">
        <v>1300734</v>
      </c>
      <c r="G2057" s="1">
        <v>45382</v>
      </c>
      <c r="H2057" t="s">
        <v>4045</v>
      </c>
      <c r="I2057" t="s">
        <v>1164</v>
      </c>
      <c r="J2057" s="1">
        <v>45292</v>
      </c>
      <c r="K2057">
        <v>-3348746</v>
      </c>
    </row>
    <row r="2058" spans="5:11" x14ac:dyDescent="0.25">
      <c r="E2058" t="s">
        <v>10441</v>
      </c>
      <c r="F2058">
        <v>1301787</v>
      </c>
      <c r="G2058" s="1">
        <v>45381</v>
      </c>
      <c r="H2058" t="s">
        <v>4046</v>
      </c>
      <c r="I2058" t="s">
        <v>64</v>
      </c>
      <c r="J2058" s="1">
        <v>45291</v>
      </c>
      <c r="K2058">
        <v>17492000</v>
      </c>
    </row>
    <row r="2059" spans="5:11" x14ac:dyDescent="0.25">
      <c r="E2059" t="s">
        <v>4047</v>
      </c>
      <c r="F2059">
        <v>1301991</v>
      </c>
      <c r="G2059" s="1">
        <v>45382</v>
      </c>
      <c r="H2059" t="s">
        <v>4048</v>
      </c>
      <c r="I2059" t="s">
        <v>142</v>
      </c>
      <c r="J2059" s="1">
        <v>45292</v>
      </c>
      <c r="K2059">
        <v>-388595</v>
      </c>
    </row>
    <row r="2060" spans="5:11" x14ac:dyDescent="0.25">
      <c r="E2060" t="s">
        <v>4049</v>
      </c>
      <c r="F2060">
        <v>1302028</v>
      </c>
      <c r="G2060" s="1">
        <v>45382</v>
      </c>
      <c r="H2060" t="s">
        <v>4050</v>
      </c>
      <c r="I2060" t="s">
        <v>19</v>
      </c>
      <c r="J2060" s="1">
        <v>45292</v>
      </c>
      <c r="K2060">
        <v>2283000</v>
      </c>
    </row>
    <row r="2061" spans="5:11" x14ac:dyDescent="0.25">
      <c r="E2061" t="s">
        <v>4051</v>
      </c>
      <c r="F2061">
        <v>1302387</v>
      </c>
      <c r="G2061" s="1">
        <v>45382</v>
      </c>
      <c r="H2061" t="s">
        <v>4052</v>
      </c>
      <c r="I2061" t="s">
        <v>299</v>
      </c>
      <c r="J2061" s="1">
        <v>45292</v>
      </c>
      <c r="K2061">
        <v>2574000</v>
      </c>
    </row>
    <row r="2062" spans="5:11" x14ac:dyDescent="0.25">
      <c r="E2062" t="s">
        <v>4053</v>
      </c>
      <c r="F2062">
        <v>1304161</v>
      </c>
      <c r="G2062" s="1">
        <v>45412</v>
      </c>
      <c r="H2062" t="s">
        <v>4054</v>
      </c>
      <c r="I2062" t="s">
        <v>1347</v>
      </c>
      <c r="J2062" s="1">
        <v>45323</v>
      </c>
      <c r="K2062">
        <v>-213817</v>
      </c>
    </row>
    <row r="2063" spans="5:11" x14ac:dyDescent="0.25">
      <c r="E2063" t="s">
        <v>4055</v>
      </c>
      <c r="F2063">
        <v>1304409</v>
      </c>
      <c r="G2063" s="1">
        <v>45382</v>
      </c>
      <c r="H2063" t="s">
        <v>4056</v>
      </c>
      <c r="I2063" t="s">
        <v>36</v>
      </c>
      <c r="J2063" s="1">
        <v>45292</v>
      </c>
      <c r="K2063">
        <v>-340763</v>
      </c>
    </row>
    <row r="2064" spans="5:11" x14ac:dyDescent="0.25">
      <c r="E2064" t="s">
        <v>4057</v>
      </c>
      <c r="F2064">
        <v>1305168</v>
      </c>
      <c r="G2064" s="1">
        <v>45382</v>
      </c>
      <c r="H2064" t="s">
        <v>4058</v>
      </c>
      <c r="I2064" t="s">
        <v>36</v>
      </c>
      <c r="J2064" s="1">
        <v>45292</v>
      </c>
      <c r="K2064">
        <v>2453000</v>
      </c>
    </row>
    <row r="2065" spans="5:11" x14ac:dyDescent="0.25">
      <c r="E2065" t="s">
        <v>4059</v>
      </c>
      <c r="F2065">
        <v>1306830</v>
      </c>
      <c r="G2065" s="1">
        <v>45382</v>
      </c>
      <c r="H2065" t="s">
        <v>4060</v>
      </c>
      <c r="I2065" t="s">
        <v>30</v>
      </c>
      <c r="J2065" s="1">
        <v>45292</v>
      </c>
      <c r="K2065">
        <v>121000000</v>
      </c>
    </row>
    <row r="2066" spans="5:11" x14ac:dyDescent="0.25">
      <c r="E2066" t="s">
        <v>4061</v>
      </c>
      <c r="F2066">
        <v>1307579</v>
      </c>
      <c r="G2066" s="1">
        <v>45382</v>
      </c>
      <c r="H2066" t="s">
        <v>4062</v>
      </c>
      <c r="I2066" t="s">
        <v>4063</v>
      </c>
      <c r="J2066" s="1">
        <v>45292</v>
      </c>
      <c r="K2066">
        <v>-2388295</v>
      </c>
    </row>
    <row r="2067" spans="5:11" x14ac:dyDescent="0.25">
      <c r="E2067" t="s">
        <v>10442</v>
      </c>
      <c r="F2067">
        <v>1307748</v>
      </c>
      <c r="G2067" s="1">
        <v>45382</v>
      </c>
      <c r="H2067" t="s">
        <v>4064</v>
      </c>
      <c r="I2067" t="s">
        <v>19</v>
      </c>
      <c r="J2067" s="1">
        <v>45292</v>
      </c>
      <c r="K2067">
        <v>2900000</v>
      </c>
    </row>
    <row r="2068" spans="5:11" x14ac:dyDescent="0.25">
      <c r="E2068" t="s">
        <v>4065</v>
      </c>
      <c r="F2068">
        <v>1307954</v>
      </c>
      <c r="G2068" s="1">
        <v>45382</v>
      </c>
      <c r="H2068" t="s">
        <v>4066</v>
      </c>
      <c r="I2068" t="s">
        <v>30</v>
      </c>
      <c r="J2068" s="1">
        <v>45292</v>
      </c>
      <c r="K2068">
        <v>-37000000</v>
      </c>
    </row>
    <row r="2069" spans="5:11" x14ac:dyDescent="0.25">
      <c r="E2069" t="s">
        <v>4067</v>
      </c>
      <c r="F2069">
        <v>1308027</v>
      </c>
      <c r="G2069" s="1">
        <v>45382</v>
      </c>
      <c r="H2069" t="s">
        <v>4068</v>
      </c>
      <c r="I2069" t="s">
        <v>24</v>
      </c>
      <c r="J2069" s="1">
        <v>45292</v>
      </c>
      <c r="K2069">
        <v>-362374</v>
      </c>
    </row>
    <row r="2070" spans="5:11" x14ac:dyDescent="0.25">
      <c r="E2070" t="s">
        <v>4069</v>
      </c>
      <c r="F2070">
        <v>1308208</v>
      </c>
      <c r="G2070" s="1">
        <v>45381</v>
      </c>
      <c r="H2070" t="s">
        <v>4070</v>
      </c>
      <c r="I2070" t="s">
        <v>329</v>
      </c>
      <c r="J2070" s="1">
        <v>45292</v>
      </c>
      <c r="K2070">
        <v>52457000</v>
      </c>
    </row>
    <row r="2071" spans="5:11" x14ac:dyDescent="0.25">
      <c r="E2071" t="s">
        <v>4071</v>
      </c>
      <c r="F2071">
        <v>1308547</v>
      </c>
      <c r="G2071" s="1">
        <v>45380</v>
      </c>
      <c r="H2071" t="s">
        <v>4072</v>
      </c>
      <c r="I2071" t="s">
        <v>36</v>
      </c>
      <c r="J2071" s="1">
        <v>45290</v>
      </c>
      <c r="K2071">
        <v>97830000</v>
      </c>
    </row>
    <row r="2072" spans="5:11" x14ac:dyDescent="0.25">
      <c r="E2072" t="s">
        <v>4073</v>
      </c>
      <c r="F2072">
        <v>1309057</v>
      </c>
      <c r="G2072" s="1">
        <v>45382</v>
      </c>
      <c r="H2072" t="s">
        <v>4074</v>
      </c>
      <c r="I2072" t="s">
        <v>1164</v>
      </c>
      <c r="J2072" s="1">
        <v>45292</v>
      </c>
      <c r="K2072">
        <v>-142752</v>
      </c>
    </row>
    <row r="2073" spans="5:11" x14ac:dyDescent="0.25">
      <c r="E2073" t="s">
        <v>10443</v>
      </c>
      <c r="F2073">
        <v>1309082</v>
      </c>
      <c r="G2073" s="1">
        <v>45382</v>
      </c>
      <c r="H2073" t="s">
        <v>10444</v>
      </c>
      <c r="I2073" t="s">
        <v>30</v>
      </c>
      <c r="J2073" s="1">
        <v>45292</v>
      </c>
      <c r="K2073">
        <v>-26351568</v>
      </c>
    </row>
    <row r="2074" spans="5:11" x14ac:dyDescent="0.25">
      <c r="E2074" t="s">
        <v>10445</v>
      </c>
      <c r="F2074">
        <v>1309108</v>
      </c>
      <c r="G2074" s="1">
        <v>45382</v>
      </c>
      <c r="H2074" t="s">
        <v>4075</v>
      </c>
      <c r="I2074" t="s">
        <v>1280</v>
      </c>
      <c r="J2074" s="1">
        <v>45292</v>
      </c>
      <c r="K2074">
        <v>65800000</v>
      </c>
    </row>
    <row r="2075" spans="5:11" x14ac:dyDescent="0.25">
      <c r="E2075" t="s">
        <v>4076</v>
      </c>
      <c r="F2075">
        <v>1309402</v>
      </c>
      <c r="G2075" s="1">
        <v>45382</v>
      </c>
      <c r="H2075" t="s">
        <v>4077</v>
      </c>
      <c r="I2075" t="s">
        <v>763</v>
      </c>
      <c r="J2075" s="1">
        <v>45292</v>
      </c>
      <c r="K2075">
        <v>-51412000</v>
      </c>
    </row>
    <row r="2076" spans="5:11" x14ac:dyDescent="0.25">
      <c r="E2076" t="s">
        <v>4078</v>
      </c>
      <c r="F2076">
        <v>1310383</v>
      </c>
      <c r="G2076" s="1">
        <v>45382</v>
      </c>
      <c r="H2076" t="s">
        <v>4079</v>
      </c>
      <c r="I2076" t="s">
        <v>36</v>
      </c>
      <c r="J2076" s="1">
        <v>45292</v>
      </c>
      <c r="K2076">
        <v>15303000</v>
      </c>
    </row>
    <row r="2077" spans="5:11" x14ac:dyDescent="0.25">
      <c r="E2077" t="s">
        <v>4080</v>
      </c>
      <c r="F2077">
        <v>1310488</v>
      </c>
      <c r="G2077" s="1">
        <v>45382</v>
      </c>
      <c r="H2077" t="s">
        <v>4081</v>
      </c>
      <c r="I2077" t="s">
        <v>123</v>
      </c>
      <c r="J2077" s="1">
        <v>45292</v>
      </c>
      <c r="K2077">
        <v>-130813</v>
      </c>
    </row>
    <row r="2078" spans="5:11" x14ac:dyDescent="0.25">
      <c r="E2078" t="s">
        <v>4082</v>
      </c>
      <c r="F2078">
        <v>1310630</v>
      </c>
      <c r="G2078" s="1">
        <v>45382</v>
      </c>
      <c r="H2078" t="s">
        <v>4083</v>
      </c>
      <c r="I2078" t="s">
        <v>2273</v>
      </c>
      <c r="J2078" s="1">
        <v>45292</v>
      </c>
      <c r="K2078">
        <v>-61661</v>
      </c>
    </row>
    <row r="2079" spans="5:11" x14ac:dyDescent="0.25">
      <c r="E2079" t="s">
        <v>4084</v>
      </c>
      <c r="F2079">
        <v>1311370</v>
      </c>
      <c r="G2079" s="1">
        <v>45382</v>
      </c>
      <c r="H2079" t="s">
        <v>4085</v>
      </c>
      <c r="I2079" t="s">
        <v>57</v>
      </c>
      <c r="J2079" s="1">
        <v>45292</v>
      </c>
      <c r="K2079">
        <v>35755000</v>
      </c>
    </row>
    <row r="2080" spans="5:11" x14ac:dyDescent="0.25">
      <c r="E2080" t="s">
        <v>4086</v>
      </c>
      <c r="F2080">
        <v>1311673</v>
      </c>
      <c r="G2080" s="1">
        <v>45382</v>
      </c>
      <c r="H2080" t="s">
        <v>4087</v>
      </c>
      <c r="I2080" t="s">
        <v>57</v>
      </c>
      <c r="J2080" s="1">
        <v>45292</v>
      </c>
      <c r="K2080">
        <v>-8762</v>
      </c>
    </row>
    <row r="2081" spans="5:11" x14ac:dyDescent="0.25">
      <c r="E2081" t="s">
        <v>4088</v>
      </c>
      <c r="F2081">
        <v>1313275</v>
      </c>
      <c r="G2081" s="1">
        <v>45382</v>
      </c>
      <c r="H2081" t="s">
        <v>4089</v>
      </c>
      <c r="I2081" t="s">
        <v>24</v>
      </c>
      <c r="J2081" s="1">
        <v>45292</v>
      </c>
      <c r="K2081">
        <v>1574000</v>
      </c>
    </row>
    <row r="2082" spans="5:11" x14ac:dyDescent="0.25">
      <c r="E2082" t="s">
        <v>4090</v>
      </c>
      <c r="F2082">
        <v>1314052</v>
      </c>
      <c r="G2082" s="1">
        <v>45382</v>
      </c>
      <c r="H2082" t="s">
        <v>4091</v>
      </c>
      <c r="I2082" t="s">
        <v>57</v>
      </c>
      <c r="J2082" s="1">
        <v>45292</v>
      </c>
      <c r="K2082">
        <v>-10546000</v>
      </c>
    </row>
    <row r="2083" spans="5:11" x14ac:dyDescent="0.25">
      <c r="E2083" t="s">
        <v>4092</v>
      </c>
      <c r="F2083">
        <v>1314102</v>
      </c>
      <c r="G2083" s="1">
        <v>45382</v>
      </c>
      <c r="H2083" t="s">
        <v>4093</v>
      </c>
      <c r="I2083" t="s">
        <v>24</v>
      </c>
      <c r="J2083" s="1">
        <v>45292</v>
      </c>
      <c r="K2083">
        <v>-29284000</v>
      </c>
    </row>
    <row r="2084" spans="5:11" x14ac:dyDescent="0.25">
      <c r="E2084" t="s">
        <v>4094</v>
      </c>
      <c r="F2084">
        <v>1314152</v>
      </c>
      <c r="G2084" s="1">
        <v>45382</v>
      </c>
      <c r="H2084" t="s">
        <v>4095</v>
      </c>
      <c r="I2084" t="s">
        <v>19</v>
      </c>
      <c r="J2084" s="1">
        <v>45292</v>
      </c>
      <c r="K2084">
        <v>14136000</v>
      </c>
    </row>
    <row r="2085" spans="5:11" x14ac:dyDescent="0.25">
      <c r="E2085" t="s">
        <v>4096</v>
      </c>
      <c r="F2085">
        <v>1314196</v>
      </c>
      <c r="G2085" s="1">
        <v>45382</v>
      </c>
      <c r="H2085" t="s">
        <v>4097</v>
      </c>
      <c r="I2085" t="s">
        <v>57</v>
      </c>
      <c r="J2085" s="1">
        <v>45292</v>
      </c>
      <c r="K2085">
        <v>-2371596</v>
      </c>
    </row>
    <row r="2086" spans="5:11" x14ac:dyDescent="0.25">
      <c r="E2086" t="s">
        <v>4098</v>
      </c>
      <c r="F2086">
        <v>1314727</v>
      </c>
      <c r="G2086" s="1">
        <v>45381</v>
      </c>
      <c r="H2086" t="s">
        <v>4099</v>
      </c>
      <c r="I2086" t="s">
        <v>36</v>
      </c>
      <c r="J2086" s="1">
        <v>45291</v>
      </c>
      <c r="K2086">
        <v>-69709000</v>
      </c>
    </row>
    <row r="2087" spans="5:11" x14ac:dyDescent="0.25">
      <c r="E2087" t="s">
        <v>4100</v>
      </c>
      <c r="F2087">
        <v>1315061</v>
      </c>
      <c r="G2087" s="1">
        <v>45382</v>
      </c>
      <c r="H2087" t="s">
        <v>4101</v>
      </c>
      <c r="I2087" t="s">
        <v>46</v>
      </c>
      <c r="J2087" s="1">
        <v>45292</v>
      </c>
      <c r="K2087">
        <v>544000</v>
      </c>
    </row>
    <row r="2088" spans="5:11" x14ac:dyDescent="0.25">
      <c r="E2088" t="s">
        <v>4102</v>
      </c>
      <c r="F2088">
        <v>1315098</v>
      </c>
      <c r="G2088" s="1">
        <v>45382</v>
      </c>
      <c r="H2088" t="s">
        <v>4103</v>
      </c>
      <c r="I2088" t="s">
        <v>36</v>
      </c>
      <c r="J2088" s="1">
        <v>45292</v>
      </c>
      <c r="K2088">
        <v>-270604000</v>
      </c>
    </row>
    <row r="2089" spans="5:11" x14ac:dyDescent="0.25">
      <c r="E2089" t="s">
        <v>4104</v>
      </c>
      <c r="F2089">
        <v>1315257</v>
      </c>
      <c r="G2089" s="1">
        <v>45382</v>
      </c>
      <c r="H2089" t="s">
        <v>4105</v>
      </c>
      <c r="I2089" t="s">
        <v>39</v>
      </c>
      <c r="J2089" s="1">
        <v>45292</v>
      </c>
      <c r="K2089">
        <v>13000000</v>
      </c>
    </row>
    <row r="2090" spans="5:11" x14ac:dyDescent="0.25">
      <c r="E2090" t="s">
        <v>4106</v>
      </c>
      <c r="F2090">
        <v>1315399</v>
      </c>
      <c r="G2090" s="1">
        <v>45382</v>
      </c>
      <c r="H2090" t="s">
        <v>4107</v>
      </c>
      <c r="I2090" t="s">
        <v>46</v>
      </c>
      <c r="J2090" s="1">
        <v>45292</v>
      </c>
      <c r="K2090">
        <v>6151000</v>
      </c>
    </row>
    <row r="2091" spans="5:11" x14ac:dyDescent="0.25">
      <c r="E2091" t="s">
        <v>4108</v>
      </c>
      <c r="F2091">
        <v>1316835</v>
      </c>
      <c r="G2091" s="1">
        <v>45382</v>
      </c>
      <c r="H2091" t="s">
        <v>4109</v>
      </c>
      <c r="I2091" t="s">
        <v>30</v>
      </c>
      <c r="J2091" s="1">
        <v>45292</v>
      </c>
      <c r="K2091">
        <v>258781000</v>
      </c>
    </row>
    <row r="2092" spans="5:11" x14ac:dyDescent="0.25">
      <c r="E2092" t="s">
        <v>4110</v>
      </c>
      <c r="F2092">
        <v>1317630</v>
      </c>
      <c r="G2092" s="1">
        <v>45382</v>
      </c>
      <c r="H2092" t="s">
        <v>4111</v>
      </c>
      <c r="I2092" t="s">
        <v>329</v>
      </c>
      <c r="J2092" s="1">
        <v>45292</v>
      </c>
      <c r="K2092">
        <v>123000000</v>
      </c>
    </row>
    <row r="2093" spans="5:11" x14ac:dyDescent="0.25">
      <c r="E2093" t="s">
        <v>4112</v>
      </c>
      <c r="F2093">
        <v>1317945</v>
      </c>
      <c r="G2093" s="1">
        <v>45382</v>
      </c>
      <c r="H2093" t="s">
        <v>4113</v>
      </c>
      <c r="I2093" t="s">
        <v>39</v>
      </c>
      <c r="J2093" s="1">
        <v>45292</v>
      </c>
      <c r="K2093">
        <v>4219000</v>
      </c>
    </row>
    <row r="2094" spans="5:11" x14ac:dyDescent="0.25">
      <c r="E2094" t="s">
        <v>4114</v>
      </c>
      <c r="F2094">
        <v>1318008</v>
      </c>
      <c r="G2094" s="1">
        <v>45416</v>
      </c>
      <c r="H2094" t="s">
        <v>4115</v>
      </c>
      <c r="I2094" t="s">
        <v>504</v>
      </c>
      <c r="J2094" s="1">
        <v>45326</v>
      </c>
      <c r="K2094">
        <v>-16780000</v>
      </c>
    </row>
    <row r="2095" spans="5:11" x14ac:dyDescent="0.25">
      <c r="E2095" t="s">
        <v>4116</v>
      </c>
      <c r="F2095">
        <v>1318220</v>
      </c>
      <c r="G2095" s="1">
        <v>45382</v>
      </c>
      <c r="H2095" t="s">
        <v>4117</v>
      </c>
      <c r="I2095" t="s">
        <v>912</v>
      </c>
      <c r="J2095" s="1">
        <v>45292</v>
      </c>
      <c r="K2095">
        <v>230054000</v>
      </c>
    </row>
    <row r="2096" spans="5:11" x14ac:dyDescent="0.25">
      <c r="E2096" t="s">
        <v>4118</v>
      </c>
      <c r="F2096">
        <v>1318482</v>
      </c>
      <c r="G2096" s="1">
        <v>45382</v>
      </c>
      <c r="H2096" t="s">
        <v>4119</v>
      </c>
      <c r="I2096" t="s">
        <v>2552</v>
      </c>
      <c r="J2096" s="1">
        <v>45292</v>
      </c>
      <c r="K2096">
        <v>-719583</v>
      </c>
    </row>
    <row r="2097" spans="5:11" x14ac:dyDescent="0.25">
      <c r="E2097" t="s">
        <v>4120</v>
      </c>
      <c r="F2097">
        <v>1318568</v>
      </c>
      <c r="G2097" s="1">
        <v>45382</v>
      </c>
      <c r="H2097" t="s">
        <v>4121</v>
      </c>
      <c r="I2097" t="s">
        <v>142</v>
      </c>
      <c r="J2097" s="1">
        <v>45292</v>
      </c>
      <c r="K2097">
        <v>4554000</v>
      </c>
    </row>
    <row r="2098" spans="5:11" x14ac:dyDescent="0.25">
      <c r="E2098" t="s">
        <v>4122</v>
      </c>
      <c r="F2098">
        <v>1318605</v>
      </c>
      <c r="G2098" s="1">
        <v>45382</v>
      </c>
      <c r="H2098" t="s">
        <v>4123</v>
      </c>
      <c r="I2098" t="s">
        <v>30</v>
      </c>
      <c r="J2098" s="1">
        <v>45292</v>
      </c>
      <c r="K2098">
        <v>1129000000</v>
      </c>
    </row>
    <row r="2099" spans="5:11" x14ac:dyDescent="0.25">
      <c r="E2099" t="s">
        <v>4124</v>
      </c>
      <c r="F2099">
        <v>1318742</v>
      </c>
      <c r="G2099" s="1">
        <v>45382</v>
      </c>
      <c r="H2099" t="s">
        <v>4125</v>
      </c>
      <c r="I2099" t="s">
        <v>33</v>
      </c>
      <c r="J2099" s="1">
        <v>45292</v>
      </c>
      <c r="K2099">
        <v>-15463000</v>
      </c>
    </row>
    <row r="2100" spans="5:11" x14ac:dyDescent="0.25">
      <c r="E2100" t="s">
        <v>4126</v>
      </c>
      <c r="F2100">
        <v>1319161</v>
      </c>
      <c r="G2100" s="1">
        <v>45382</v>
      </c>
      <c r="H2100" t="s">
        <v>4127</v>
      </c>
      <c r="I2100" t="s">
        <v>57</v>
      </c>
      <c r="J2100" s="1">
        <v>45292</v>
      </c>
      <c r="K2100">
        <v>96000000</v>
      </c>
    </row>
    <row r="2101" spans="5:11" x14ac:dyDescent="0.25">
      <c r="E2101" t="s">
        <v>4128</v>
      </c>
      <c r="F2101">
        <v>1319229</v>
      </c>
      <c r="G2101" s="1">
        <v>45382</v>
      </c>
      <c r="H2101" t="s">
        <v>4129</v>
      </c>
      <c r="I2101" t="s">
        <v>92</v>
      </c>
      <c r="J2101" s="1">
        <v>45292</v>
      </c>
      <c r="K2101">
        <v>14583000</v>
      </c>
    </row>
    <row r="2102" spans="5:11" x14ac:dyDescent="0.25">
      <c r="E2102" t="s">
        <v>4130</v>
      </c>
      <c r="F2102">
        <v>1319643</v>
      </c>
      <c r="G2102" s="1">
        <v>45382</v>
      </c>
      <c r="H2102" t="s">
        <v>4131</v>
      </c>
      <c r="I2102" t="s">
        <v>142</v>
      </c>
      <c r="J2102" s="1">
        <v>45292</v>
      </c>
      <c r="K2102">
        <v>-8874</v>
      </c>
    </row>
    <row r="2103" spans="5:11" x14ac:dyDescent="0.25">
      <c r="E2103" t="s">
        <v>4132</v>
      </c>
      <c r="F2103">
        <v>1319947</v>
      </c>
      <c r="G2103" s="1">
        <v>45416</v>
      </c>
      <c r="H2103" t="s">
        <v>4133</v>
      </c>
      <c r="I2103" t="s">
        <v>60</v>
      </c>
      <c r="J2103" s="1">
        <v>45326</v>
      </c>
      <c r="K2103">
        <v>783000</v>
      </c>
    </row>
    <row r="2104" spans="5:11" x14ac:dyDescent="0.25">
      <c r="E2104" t="s">
        <v>4134</v>
      </c>
      <c r="F2104">
        <v>1320350</v>
      </c>
      <c r="G2104" s="1">
        <v>45382</v>
      </c>
      <c r="H2104" t="s">
        <v>4135</v>
      </c>
      <c r="I2104" t="s">
        <v>33</v>
      </c>
      <c r="J2104" s="1">
        <v>45292</v>
      </c>
      <c r="K2104">
        <v>-2157000</v>
      </c>
    </row>
    <row r="2105" spans="5:11" x14ac:dyDescent="0.25">
      <c r="E2105" t="s">
        <v>10446</v>
      </c>
      <c r="F2105">
        <v>1320414</v>
      </c>
      <c r="G2105" s="1">
        <v>45382</v>
      </c>
      <c r="H2105" t="s">
        <v>4136</v>
      </c>
      <c r="I2105" t="s">
        <v>39</v>
      </c>
      <c r="J2105" s="1">
        <v>45292</v>
      </c>
      <c r="K2105">
        <v>96897000</v>
      </c>
    </row>
    <row r="2106" spans="5:11" x14ac:dyDescent="0.25">
      <c r="E2106" t="s">
        <v>4137</v>
      </c>
      <c r="F2106">
        <v>1320461</v>
      </c>
      <c r="G2106" s="1">
        <v>45382</v>
      </c>
      <c r="H2106" t="s">
        <v>4138</v>
      </c>
      <c r="I2106" t="s">
        <v>329</v>
      </c>
      <c r="J2106" s="1">
        <v>45292</v>
      </c>
      <c r="K2106">
        <v>-31660000</v>
      </c>
    </row>
    <row r="2107" spans="5:11" x14ac:dyDescent="0.25">
      <c r="E2107" t="s">
        <v>4139</v>
      </c>
      <c r="F2107">
        <v>1320695</v>
      </c>
      <c r="G2107" s="1">
        <v>45382</v>
      </c>
      <c r="H2107" t="s">
        <v>4140</v>
      </c>
      <c r="I2107" t="s">
        <v>19</v>
      </c>
      <c r="J2107" s="1">
        <v>45292</v>
      </c>
      <c r="K2107">
        <v>-11700000</v>
      </c>
    </row>
    <row r="2108" spans="5:11" x14ac:dyDescent="0.25">
      <c r="E2108" t="s">
        <v>4141</v>
      </c>
      <c r="F2108">
        <v>1320760</v>
      </c>
      <c r="G2108" s="1">
        <v>45382</v>
      </c>
      <c r="H2108" t="s">
        <v>4142</v>
      </c>
      <c r="I2108" t="s">
        <v>30</v>
      </c>
      <c r="J2108" s="1">
        <v>45292</v>
      </c>
      <c r="K2108">
        <v>15000</v>
      </c>
    </row>
    <row r="2109" spans="5:11" x14ac:dyDescent="0.25">
      <c r="E2109" t="s">
        <v>4143</v>
      </c>
      <c r="F2109">
        <v>1321517</v>
      </c>
      <c r="G2109" s="1">
        <v>45382</v>
      </c>
      <c r="H2109" t="s">
        <v>4144</v>
      </c>
      <c r="I2109" t="s">
        <v>142</v>
      </c>
      <c r="J2109" s="1">
        <v>45292</v>
      </c>
      <c r="K2109">
        <v>-41857</v>
      </c>
    </row>
    <row r="2110" spans="5:11" x14ac:dyDescent="0.25">
      <c r="E2110" t="s">
        <v>4145</v>
      </c>
      <c r="F2110">
        <v>1321655</v>
      </c>
      <c r="G2110" s="1">
        <v>45382</v>
      </c>
      <c r="H2110" t="s">
        <v>4146</v>
      </c>
      <c r="I2110" t="s">
        <v>92</v>
      </c>
      <c r="J2110" s="1">
        <v>45292</v>
      </c>
      <c r="K2110">
        <v>105530000</v>
      </c>
    </row>
    <row r="2111" spans="5:11" x14ac:dyDescent="0.25">
      <c r="E2111" t="s">
        <v>10447</v>
      </c>
      <c r="F2111">
        <v>1321732</v>
      </c>
      <c r="G2111" s="1">
        <v>45382</v>
      </c>
      <c r="H2111" t="s">
        <v>4147</v>
      </c>
      <c r="I2111" t="s">
        <v>36</v>
      </c>
      <c r="J2111" s="1">
        <v>45292</v>
      </c>
      <c r="K2111">
        <v>11002000</v>
      </c>
    </row>
    <row r="2112" spans="5:11" x14ac:dyDescent="0.25">
      <c r="E2112" t="s">
        <v>4148</v>
      </c>
      <c r="F2112">
        <v>1321828</v>
      </c>
      <c r="G2112" s="1">
        <v>45382</v>
      </c>
      <c r="H2112" t="s">
        <v>4149</v>
      </c>
      <c r="I2112" t="s">
        <v>30</v>
      </c>
      <c r="J2112" s="1">
        <v>45292</v>
      </c>
      <c r="K2112">
        <v>4613</v>
      </c>
    </row>
    <row r="2113" spans="5:11" x14ac:dyDescent="0.25">
      <c r="E2113" t="s">
        <v>4150</v>
      </c>
      <c r="F2113">
        <v>1321834</v>
      </c>
      <c r="G2113" s="1">
        <v>45382</v>
      </c>
      <c r="H2113" t="s">
        <v>4151</v>
      </c>
      <c r="I2113" t="s">
        <v>299</v>
      </c>
      <c r="J2113" s="1">
        <v>45292</v>
      </c>
      <c r="K2113">
        <v>-9800041</v>
      </c>
    </row>
    <row r="2114" spans="5:11" x14ac:dyDescent="0.25">
      <c r="E2114" t="s">
        <v>4152</v>
      </c>
      <c r="F2114">
        <v>1323468</v>
      </c>
      <c r="G2114" s="1">
        <v>45382</v>
      </c>
      <c r="H2114" t="s">
        <v>4153</v>
      </c>
      <c r="I2114" t="s">
        <v>24</v>
      </c>
      <c r="J2114" s="1">
        <v>45292</v>
      </c>
      <c r="K2114">
        <v>-5602000</v>
      </c>
    </row>
    <row r="2115" spans="5:11" x14ac:dyDescent="0.25">
      <c r="E2115" t="s">
        <v>4154</v>
      </c>
      <c r="F2115">
        <v>1323885</v>
      </c>
      <c r="G2115" s="1">
        <v>45382</v>
      </c>
      <c r="H2115" t="s">
        <v>4155</v>
      </c>
      <c r="I2115" t="s">
        <v>60</v>
      </c>
      <c r="J2115" s="1">
        <v>45292</v>
      </c>
      <c r="K2115">
        <v>-13269000</v>
      </c>
    </row>
    <row r="2116" spans="5:11" x14ac:dyDescent="0.25">
      <c r="E2116" t="s">
        <v>4156</v>
      </c>
      <c r="F2116">
        <v>1324424</v>
      </c>
      <c r="G2116" s="1">
        <v>45382</v>
      </c>
      <c r="H2116" t="s">
        <v>4157</v>
      </c>
      <c r="I2116" t="s">
        <v>504</v>
      </c>
      <c r="J2116" s="1">
        <v>45292</v>
      </c>
      <c r="K2116">
        <v>-135000000</v>
      </c>
    </row>
    <row r="2117" spans="5:11" x14ac:dyDescent="0.25">
      <c r="E2117" t="s">
        <v>4158</v>
      </c>
      <c r="F2117">
        <v>1324759</v>
      </c>
      <c r="G2117" s="1">
        <v>45382</v>
      </c>
      <c r="H2117" t="s">
        <v>4159</v>
      </c>
      <c r="I2117" t="s">
        <v>1164</v>
      </c>
      <c r="J2117" s="1">
        <v>45292</v>
      </c>
      <c r="K2117">
        <v>-15389</v>
      </c>
    </row>
    <row r="2118" spans="5:11" x14ac:dyDescent="0.25">
      <c r="E2118" t="s">
        <v>10448</v>
      </c>
      <c r="F2118">
        <v>1325618</v>
      </c>
      <c r="G2118" s="1">
        <v>45382</v>
      </c>
      <c r="H2118" t="s">
        <v>4160</v>
      </c>
      <c r="I2118" t="s">
        <v>33</v>
      </c>
      <c r="J2118" s="1">
        <v>45292</v>
      </c>
      <c r="K2118">
        <v>4136533</v>
      </c>
    </row>
    <row r="2119" spans="5:11" x14ac:dyDescent="0.25">
      <c r="E2119" t="s">
        <v>10449</v>
      </c>
      <c r="F2119">
        <v>1325670</v>
      </c>
      <c r="G2119" s="1">
        <v>45382</v>
      </c>
      <c r="H2119" t="s">
        <v>10450</v>
      </c>
      <c r="I2119" t="s">
        <v>123</v>
      </c>
      <c r="J2119" s="1">
        <v>45292</v>
      </c>
      <c r="K2119">
        <v>2466000</v>
      </c>
    </row>
    <row r="2120" spans="5:11" x14ac:dyDescent="0.25">
      <c r="E2120" t="s">
        <v>4161</v>
      </c>
      <c r="F2120">
        <v>1325676</v>
      </c>
      <c r="G2120" s="1">
        <v>45382</v>
      </c>
      <c r="H2120" t="s">
        <v>4162</v>
      </c>
      <c r="I2120" t="s">
        <v>57</v>
      </c>
      <c r="J2120" s="1">
        <v>45292</v>
      </c>
      <c r="K2120">
        <v>3428458</v>
      </c>
    </row>
    <row r="2121" spans="5:11" x14ac:dyDescent="0.25">
      <c r="E2121" t="s">
        <v>4163</v>
      </c>
      <c r="F2121">
        <v>1325702</v>
      </c>
      <c r="G2121" s="1">
        <v>45382</v>
      </c>
      <c r="H2121" t="s">
        <v>4164</v>
      </c>
      <c r="I2121" t="s">
        <v>4165</v>
      </c>
      <c r="J2121" s="1">
        <v>45292</v>
      </c>
      <c r="K2121">
        <v>-15417000</v>
      </c>
    </row>
    <row r="2122" spans="5:11" x14ac:dyDescent="0.25">
      <c r="E2122" t="s">
        <v>4166</v>
      </c>
      <c r="F2122">
        <v>1325964</v>
      </c>
      <c r="G2122" s="1">
        <v>45382</v>
      </c>
      <c r="H2122" t="s">
        <v>4167</v>
      </c>
      <c r="I2122" t="s">
        <v>92</v>
      </c>
      <c r="J2122" s="1">
        <v>45292</v>
      </c>
      <c r="K2122">
        <v>-5679911</v>
      </c>
    </row>
    <row r="2123" spans="5:11" x14ac:dyDescent="0.25">
      <c r="E2123" t="s">
        <v>4168</v>
      </c>
      <c r="F2123">
        <v>1326110</v>
      </c>
      <c r="G2123" s="1">
        <v>45382</v>
      </c>
      <c r="H2123" t="s">
        <v>4169</v>
      </c>
      <c r="I2123" t="s">
        <v>36</v>
      </c>
      <c r="J2123" s="1">
        <v>45292</v>
      </c>
      <c r="K2123">
        <v>-134109000</v>
      </c>
    </row>
    <row r="2124" spans="5:11" x14ac:dyDescent="0.25">
      <c r="E2124" t="s">
        <v>4170</v>
      </c>
      <c r="F2124">
        <v>1326141</v>
      </c>
      <c r="G2124" s="1">
        <v>45382</v>
      </c>
      <c r="H2124" t="s">
        <v>4171</v>
      </c>
      <c r="I2124" t="s">
        <v>57</v>
      </c>
      <c r="J2124" s="1">
        <v>45292</v>
      </c>
      <c r="K2124">
        <v>36478000</v>
      </c>
    </row>
    <row r="2125" spans="5:11" x14ac:dyDescent="0.25">
      <c r="E2125" t="s">
        <v>4172</v>
      </c>
      <c r="F2125">
        <v>1326160</v>
      </c>
      <c r="G2125" s="1">
        <v>45382</v>
      </c>
      <c r="H2125" t="s">
        <v>4173</v>
      </c>
      <c r="I2125" t="s">
        <v>172</v>
      </c>
      <c r="J2125" s="1">
        <v>45292</v>
      </c>
      <c r="K2125">
        <v>1138000000</v>
      </c>
    </row>
    <row r="2126" spans="5:11" x14ac:dyDescent="0.25">
      <c r="E2126" t="s">
        <v>4174</v>
      </c>
      <c r="F2126">
        <v>1326190</v>
      </c>
      <c r="G2126" s="1">
        <v>45382</v>
      </c>
      <c r="H2126" t="s">
        <v>4175</v>
      </c>
      <c r="I2126" t="s">
        <v>299</v>
      </c>
      <c r="J2126" s="1">
        <v>45292</v>
      </c>
      <c r="K2126">
        <v>-24394000</v>
      </c>
    </row>
    <row r="2127" spans="5:11" x14ac:dyDescent="0.25">
      <c r="E2127" t="s">
        <v>4176</v>
      </c>
      <c r="F2127">
        <v>1326200</v>
      </c>
      <c r="G2127" s="1">
        <v>45382</v>
      </c>
      <c r="H2127" t="s">
        <v>4177</v>
      </c>
      <c r="I2127" t="s">
        <v>57</v>
      </c>
      <c r="J2127" s="1">
        <v>45292</v>
      </c>
      <c r="K2127">
        <v>18798000</v>
      </c>
    </row>
    <row r="2128" spans="5:11" x14ac:dyDescent="0.25">
      <c r="E2128" t="s">
        <v>10451</v>
      </c>
      <c r="F2128">
        <v>1326380</v>
      </c>
      <c r="G2128" s="1">
        <v>45416</v>
      </c>
      <c r="H2128" t="s">
        <v>4178</v>
      </c>
      <c r="I2128" t="s">
        <v>30</v>
      </c>
      <c r="J2128" s="1">
        <v>45326</v>
      </c>
      <c r="K2128">
        <v>-32300000</v>
      </c>
    </row>
    <row r="2129" spans="5:11" x14ac:dyDescent="0.25">
      <c r="E2129" t="s">
        <v>4179</v>
      </c>
      <c r="F2129">
        <v>1326706</v>
      </c>
      <c r="G2129" s="1">
        <v>45382</v>
      </c>
      <c r="H2129" t="s">
        <v>4180</v>
      </c>
      <c r="I2129" t="s">
        <v>57</v>
      </c>
      <c r="J2129" s="1">
        <v>45292</v>
      </c>
      <c r="K2129">
        <v>-588000</v>
      </c>
    </row>
    <row r="2130" spans="5:11" x14ac:dyDescent="0.25">
      <c r="E2130" t="s">
        <v>4181</v>
      </c>
      <c r="F2130">
        <v>1326732</v>
      </c>
      <c r="G2130" s="1">
        <v>45382</v>
      </c>
      <c r="H2130" t="s">
        <v>4182</v>
      </c>
      <c r="I2130" t="s">
        <v>36</v>
      </c>
      <c r="J2130" s="1">
        <v>45292</v>
      </c>
      <c r="K2130">
        <v>-68033000</v>
      </c>
    </row>
    <row r="2131" spans="5:11" x14ac:dyDescent="0.25">
      <c r="E2131" t="s">
        <v>4183</v>
      </c>
      <c r="F2131">
        <v>1326801</v>
      </c>
      <c r="G2131" s="1">
        <v>45382</v>
      </c>
      <c r="H2131" t="s">
        <v>4184</v>
      </c>
      <c r="I2131" t="s">
        <v>36</v>
      </c>
      <c r="J2131" s="1">
        <v>45292</v>
      </c>
      <c r="K2131">
        <v>12369000000</v>
      </c>
    </row>
    <row r="2132" spans="5:11" x14ac:dyDescent="0.25">
      <c r="E2132" t="s">
        <v>4185</v>
      </c>
      <c r="F2132">
        <v>1327068</v>
      </c>
      <c r="G2132" s="1">
        <v>45382</v>
      </c>
      <c r="H2132" t="s">
        <v>4186</v>
      </c>
      <c r="I2132" t="s">
        <v>36</v>
      </c>
      <c r="J2132" s="1">
        <v>45292</v>
      </c>
      <c r="K2132">
        <v>240295171</v>
      </c>
    </row>
    <row r="2133" spans="5:11" x14ac:dyDescent="0.25">
      <c r="E2133" t="s">
        <v>4187</v>
      </c>
      <c r="F2133">
        <v>1327273</v>
      </c>
      <c r="G2133" s="1">
        <v>45382</v>
      </c>
      <c r="H2133" t="s">
        <v>4188</v>
      </c>
      <c r="I2133" t="s">
        <v>24</v>
      </c>
      <c r="J2133" s="1">
        <v>45292</v>
      </c>
      <c r="K2133">
        <v>-22452000</v>
      </c>
    </row>
    <row r="2134" spans="5:11" x14ac:dyDescent="0.25">
      <c r="E2134" t="s">
        <v>4189</v>
      </c>
      <c r="F2134">
        <v>1327318</v>
      </c>
      <c r="G2134" s="1">
        <v>45382</v>
      </c>
      <c r="H2134" t="s">
        <v>4190</v>
      </c>
      <c r="I2134" t="s">
        <v>36</v>
      </c>
      <c r="J2134" s="1">
        <v>45292</v>
      </c>
      <c r="K2134">
        <v>-5848000</v>
      </c>
    </row>
    <row r="2135" spans="5:11" x14ac:dyDescent="0.25">
      <c r="E2135" t="s">
        <v>4191</v>
      </c>
      <c r="F2135">
        <v>1327567</v>
      </c>
      <c r="G2135" s="1">
        <v>45412</v>
      </c>
      <c r="H2135" t="s">
        <v>4192</v>
      </c>
      <c r="I2135" t="s">
        <v>36</v>
      </c>
      <c r="J2135" s="1">
        <v>45323</v>
      </c>
      <c r="K2135">
        <v>278800000</v>
      </c>
    </row>
    <row r="2136" spans="5:11" x14ac:dyDescent="0.25">
      <c r="E2136" t="s">
        <v>4193</v>
      </c>
      <c r="F2136">
        <v>1327607</v>
      </c>
      <c r="G2136" s="1">
        <v>45382</v>
      </c>
      <c r="H2136" t="s">
        <v>4194</v>
      </c>
      <c r="I2136" t="s">
        <v>92</v>
      </c>
      <c r="J2136" s="1">
        <v>45292</v>
      </c>
      <c r="K2136">
        <v>2515000</v>
      </c>
    </row>
    <row r="2137" spans="5:11" x14ac:dyDescent="0.25">
      <c r="E2137" t="s">
        <v>4195</v>
      </c>
      <c r="F2137">
        <v>1327688</v>
      </c>
      <c r="G2137" s="1">
        <v>45412</v>
      </c>
      <c r="H2137" t="s">
        <v>4196</v>
      </c>
      <c r="I2137" t="s">
        <v>36</v>
      </c>
      <c r="J2137" s="1">
        <v>45323</v>
      </c>
      <c r="K2137">
        <v>-2139000</v>
      </c>
    </row>
    <row r="2138" spans="5:11" x14ac:dyDescent="0.25">
      <c r="E2138" t="s">
        <v>4197</v>
      </c>
      <c r="F2138">
        <v>1327811</v>
      </c>
      <c r="G2138" s="1">
        <v>45412</v>
      </c>
      <c r="H2138" t="s">
        <v>4198</v>
      </c>
      <c r="I2138" t="s">
        <v>36</v>
      </c>
      <c r="J2138" s="1">
        <v>45323</v>
      </c>
      <c r="K2138">
        <v>107000000</v>
      </c>
    </row>
    <row r="2139" spans="5:11" x14ac:dyDescent="0.25">
      <c r="E2139" t="s">
        <v>4199</v>
      </c>
      <c r="F2139">
        <v>1327978</v>
      </c>
      <c r="G2139" s="1">
        <v>45382</v>
      </c>
      <c r="H2139" t="s">
        <v>4200</v>
      </c>
      <c r="I2139" t="s">
        <v>92</v>
      </c>
      <c r="J2139" s="1">
        <v>45292</v>
      </c>
      <c r="K2139">
        <v>-15001000</v>
      </c>
    </row>
    <row r="2140" spans="5:11" x14ac:dyDescent="0.25">
      <c r="E2140" t="s">
        <v>4201</v>
      </c>
      <c r="F2140">
        <v>1328237</v>
      </c>
      <c r="G2140" s="1">
        <v>45382</v>
      </c>
      <c r="H2140" t="s">
        <v>4202</v>
      </c>
      <c r="I2140" t="s">
        <v>19</v>
      </c>
      <c r="J2140" s="1">
        <v>45292</v>
      </c>
      <c r="K2140">
        <v>68983468</v>
      </c>
    </row>
    <row r="2141" spans="5:11" x14ac:dyDescent="0.25">
      <c r="E2141" t="s">
        <v>4203</v>
      </c>
      <c r="F2141">
        <v>1328581</v>
      </c>
      <c r="G2141" s="1">
        <v>45382</v>
      </c>
      <c r="H2141" t="s">
        <v>4204</v>
      </c>
      <c r="I2141" t="s">
        <v>1071</v>
      </c>
      <c r="J2141" s="1">
        <v>45292</v>
      </c>
      <c r="K2141">
        <v>104124000</v>
      </c>
    </row>
    <row r="2142" spans="5:11" x14ac:dyDescent="0.25">
      <c r="E2142" t="s">
        <v>4205</v>
      </c>
      <c r="F2142">
        <v>1328598</v>
      </c>
      <c r="G2142" s="1">
        <v>45382</v>
      </c>
      <c r="H2142" t="s">
        <v>4206</v>
      </c>
      <c r="I2142" t="s">
        <v>19</v>
      </c>
      <c r="J2142" s="1">
        <v>45292</v>
      </c>
      <c r="K2142">
        <v>1215627</v>
      </c>
    </row>
    <row r="2143" spans="5:11" x14ac:dyDescent="0.25">
      <c r="E2143" t="s">
        <v>4207</v>
      </c>
      <c r="F2143">
        <v>1329606</v>
      </c>
      <c r="G2143" s="1">
        <v>45382</v>
      </c>
      <c r="H2143" t="s">
        <v>4208</v>
      </c>
      <c r="I2143" t="s">
        <v>36</v>
      </c>
      <c r="J2143" s="1">
        <v>45292</v>
      </c>
      <c r="K2143">
        <v>-1419400</v>
      </c>
    </row>
    <row r="2144" spans="5:11" x14ac:dyDescent="0.25">
      <c r="E2144" t="s">
        <v>4209</v>
      </c>
      <c r="F2144">
        <v>1330568</v>
      </c>
      <c r="G2144" s="1">
        <v>45382</v>
      </c>
      <c r="H2144" t="s">
        <v>4210</v>
      </c>
      <c r="I2144" t="s">
        <v>36</v>
      </c>
      <c r="J2144" s="1">
        <v>45292</v>
      </c>
      <c r="K2144">
        <v>296420831</v>
      </c>
    </row>
    <row r="2145" spans="5:11" x14ac:dyDescent="0.25">
      <c r="E2145" t="s">
        <v>4211</v>
      </c>
      <c r="F2145">
        <v>1331421</v>
      </c>
      <c r="G2145" s="1">
        <v>45382</v>
      </c>
      <c r="H2145" t="s">
        <v>4212</v>
      </c>
      <c r="I2145" t="s">
        <v>57</v>
      </c>
      <c r="J2145" s="1">
        <v>45292</v>
      </c>
      <c r="K2145">
        <v>18005</v>
      </c>
    </row>
    <row r="2146" spans="5:11" x14ac:dyDescent="0.25">
      <c r="E2146" t="s">
        <v>4213</v>
      </c>
      <c r="F2146">
        <v>1331612</v>
      </c>
      <c r="G2146" s="1">
        <v>45382</v>
      </c>
      <c r="H2146" t="s">
        <v>4214</v>
      </c>
      <c r="I2146" t="s">
        <v>19</v>
      </c>
      <c r="J2146" s="1">
        <v>45292</v>
      </c>
      <c r="K2146">
        <v>-909871</v>
      </c>
    </row>
    <row r="2147" spans="5:11" x14ac:dyDescent="0.25">
      <c r="E2147" t="s">
        <v>4215</v>
      </c>
      <c r="F2147">
        <v>1331875</v>
      </c>
      <c r="G2147" s="1">
        <v>45382</v>
      </c>
      <c r="H2147" t="s">
        <v>4216</v>
      </c>
      <c r="I2147" t="s">
        <v>33</v>
      </c>
      <c r="J2147" s="1">
        <v>45292</v>
      </c>
      <c r="K2147">
        <v>248000000</v>
      </c>
    </row>
    <row r="2148" spans="5:11" x14ac:dyDescent="0.25">
      <c r="E2148" t="s">
        <v>4217</v>
      </c>
      <c r="F2148">
        <v>1332174</v>
      </c>
      <c r="G2148" s="1">
        <v>45382</v>
      </c>
      <c r="H2148" t="s">
        <v>4218</v>
      </c>
      <c r="I2148" t="s">
        <v>36</v>
      </c>
      <c r="J2148" s="1">
        <v>45292</v>
      </c>
      <c r="K2148">
        <v>92339756</v>
      </c>
    </row>
    <row r="2149" spans="5:11" x14ac:dyDescent="0.25">
      <c r="E2149" t="s">
        <v>4219</v>
      </c>
      <c r="F2149">
        <v>1332349</v>
      </c>
      <c r="G2149" s="1">
        <v>45382</v>
      </c>
      <c r="H2149" t="s">
        <v>4220</v>
      </c>
      <c r="I2149" t="s">
        <v>69</v>
      </c>
      <c r="J2149" s="1">
        <v>45292</v>
      </c>
      <c r="K2149">
        <v>-29566000</v>
      </c>
    </row>
    <row r="2150" spans="5:11" x14ac:dyDescent="0.25">
      <c r="E2150" t="s">
        <v>4221</v>
      </c>
      <c r="F2150">
        <v>1333274</v>
      </c>
      <c r="G2150" s="1">
        <v>45382</v>
      </c>
      <c r="H2150" t="s">
        <v>4222</v>
      </c>
      <c r="I2150" t="s">
        <v>2552</v>
      </c>
      <c r="J2150" s="1">
        <v>45292</v>
      </c>
      <c r="K2150">
        <v>-16703000</v>
      </c>
    </row>
    <row r="2151" spans="5:11" x14ac:dyDescent="0.25">
      <c r="E2151" t="s">
        <v>4223</v>
      </c>
      <c r="F2151">
        <v>1333493</v>
      </c>
      <c r="G2151" s="1">
        <v>45382</v>
      </c>
      <c r="H2151" t="s">
        <v>4224</v>
      </c>
      <c r="I2151" t="s">
        <v>30</v>
      </c>
      <c r="J2151" s="1">
        <v>45292</v>
      </c>
      <c r="K2151">
        <v>-16984000</v>
      </c>
    </row>
    <row r="2152" spans="5:11" x14ac:dyDescent="0.25">
      <c r="E2152" t="s">
        <v>4225</v>
      </c>
      <c r="F2152">
        <v>1333822</v>
      </c>
      <c r="G2152" s="1">
        <v>45351</v>
      </c>
      <c r="H2152" t="s">
        <v>4226</v>
      </c>
      <c r="I2152" t="s">
        <v>4227</v>
      </c>
      <c r="J2152" s="1">
        <v>45261</v>
      </c>
      <c r="K2152">
        <v>-559000</v>
      </c>
    </row>
    <row r="2153" spans="5:11" x14ac:dyDescent="0.25">
      <c r="E2153" t="s">
        <v>4228</v>
      </c>
      <c r="F2153">
        <v>1333986</v>
      </c>
      <c r="G2153" s="1">
        <v>45382</v>
      </c>
      <c r="H2153" t="s">
        <v>4229</v>
      </c>
      <c r="I2153" t="s">
        <v>57</v>
      </c>
      <c r="J2153" s="1">
        <v>45292</v>
      </c>
      <c r="K2153">
        <v>114000000</v>
      </c>
    </row>
    <row r="2154" spans="5:11" x14ac:dyDescent="0.25">
      <c r="E2154" t="s">
        <v>4230</v>
      </c>
      <c r="F2154">
        <v>1334036</v>
      </c>
      <c r="G2154" s="1">
        <v>45382</v>
      </c>
      <c r="H2154" t="s">
        <v>4231</v>
      </c>
      <c r="I2154" t="s">
        <v>92</v>
      </c>
      <c r="J2154" s="1">
        <v>45292</v>
      </c>
      <c r="K2154">
        <v>152454000</v>
      </c>
    </row>
    <row r="2155" spans="5:11" x14ac:dyDescent="0.25">
      <c r="E2155" t="s">
        <v>4232</v>
      </c>
      <c r="F2155">
        <v>1334325</v>
      </c>
      <c r="G2155" s="1">
        <v>45412</v>
      </c>
      <c r="H2155" t="s">
        <v>4233</v>
      </c>
      <c r="I2155" t="s">
        <v>33</v>
      </c>
      <c r="J2155" s="1">
        <v>45323</v>
      </c>
      <c r="K2155">
        <v>1415238</v>
      </c>
    </row>
    <row r="2156" spans="5:11" x14ac:dyDescent="0.25">
      <c r="E2156" t="s">
        <v>4234</v>
      </c>
      <c r="F2156">
        <v>1334933</v>
      </c>
      <c r="G2156" s="1">
        <v>45412</v>
      </c>
      <c r="H2156" t="s">
        <v>4235</v>
      </c>
      <c r="I2156" t="s">
        <v>30</v>
      </c>
      <c r="J2156" s="1">
        <v>45323</v>
      </c>
      <c r="K2156">
        <v>-19677000</v>
      </c>
    </row>
    <row r="2157" spans="5:11" x14ac:dyDescent="0.25">
      <c r="E2157" t="s">
        <v>4236</v>
      </c>
      <c r="F2157">
        <v>1334978</v>
      </c>
      <c r="G2157" s="1">
        <v>45382</v>
      </c>
      <c r="H2157" t="s">
        <v>4237</v>
      </c>
      <c r="I2157" t="s">
        <v>30</v>
      </c>
      <c r="J2157" s="1">
        <v>45292</v>
      </c>
      <c r="K2157">
        <v>-89667000</v>
      </c>
    </row>
    <row r="2158" spans="5:11" x14ac:dyDescent="0.25">
      <c r="E2158" t="s">
        <v>4238</v>
      </c>
      <c r="F2158">
        <v>1335105</v>
      </c>
      <c r="G2158" s="1">
        <v>45382</v>
      </c>
      <c r="H2158" t="s">
        <v>4239</v>
      </c>
      <c r="I2158" t="s">
        <v>36</v>
      </c>
      <c r="J2158" s="1">
        <v>45292</v>
      </c>
      <c r="K2158">
        <v>-971322</v>
      </c>
    </row>
    <row r="2159" spans="5:11" x14ac:dyDescent="0.25">
      <c r="E2159" t="s">
        <v>4240</v>
      </c>
      <c r="F2159">
        <v>1335112</v>
      </c>
      <c r="G2159" s="1">
        <v>45382</v>
      </c>
      <c r="H2159" t="s">
        <v>4241</v>
      </c>
      <c r="I2159" t="s">
        <v>1245</v>
      </c>
      <c r="J2159" s="1">
        <v>45292</v>
      </c>
      <c r="K2159">
        <v>-665029</v>
      </c>
    </row>
    <row r="2160" spans="5:11" x14ac:dyDescent="0.25">
      <c r="E2160" t="s">
        <v>4242</v>
      </c>
      <c r="F2160">
        <v>1335258</v>
      </c>
      <c r="G2160" s="1">
        <v>45382</v>
      </c>
      <c r="H2160" t="s">
        <v>4243</v>
      </c>
      <c r="I2160" t="s">
        <v>36</v>
      </c>
      <c r="J2160" s="1">
        <v>45292</v>
      </c>
      <c r="K2160">
        <v>-46733000</v>
      </c>
    </row>
    <row r="2161" spans="5:11" x14ac:dyDescent="0.25">
      <c r="E2161" t="s">
        <v>4244</v>
      </c>
      <c r="F2161">
        <v>1336047</v>
      </c>
      <c r="G2161" s="1">
        <v>45382</v>
      </c>
      <c r="H2161" t="s">
        <v>4245</v>
      </c>
      <c r="I2161" t="s">
        <v>30</v>
      </c>
      <c r="J2161" s="1">
        <v>45292</v>
      </c>
      <c r="K2161">
        <v>164800000</v>
      </c>
    </row>
    <row r="2162" spans="5:11" x14ac:dyDescent="0.25">
      <c r="E2162" t="s">
        <v>4246</v>
      </c>
      <c r="F2162">
        <v>1336917</v>
      </c>
      <c r="G2162" s="1">
        <v>45382</v>
      </c>
      <c r="H2162" t="s">
        <v>4247</v>
      </c>
      <c r="I2162" t="s">
        <v>299</v>
      </c>
      <c r="J2162" s="1">
        <v>45292</v>
      </c>
      <c r="K2162">
        <v>6568000</v>
      </c>
    </row>
    <row r="2163" spans="5:11" x14ac:dyDescent="0.25">
      <c r="E2163" t="s">
        <v>4248</v>
      </c>
      <c r="F2163">
        <v>1336920</v>
      </c>
      <c r="G2163" s="1">
        <v>45380</v>
      </c>
      <c r="H2163" t="s">
        <v>4249</v>
      </c>
      <c r="I2163" t="s">
        <v>123</v>
      </c>
      <c r="J2163" s="1">
        <v>45290</v>
      </c>
      <c r="K2163">
        <v>284000000</v>
      </c>
    </row>
    <row r="2164" spans="5:11" x14ac:dyDescent="0.25">
      <c r="E2164" t="s">
        <v>4250</v>
      </c>
      <c r="F2164">
        <v>1337013</v>
      </c>
      <c r="G2164" s="1">
        <v>45382</v>
      </c>
      <c r="H2164" t="s">
        <v>4251</v>
      </c>
      <c r="I2164" t="s">
        <v>329</v>
      </c>
      <c r="J2164" s="1">
        <v>45292</v>
      </c>
      <c r="K2164">
        <v>-1112000</v>
      </c>
    </row>
    <row r="2165" spans="5:11" x14ac:dyDescent="0.25">
      <c r="E2165" t="s">
        <v>4252</v>
      </c>
      <c r="F2165">
        <v>1337068</v>
      </c>
      <c r="G2165" s="1">
        <v>45382</v>
      </c>
      <c r="H2165" t="s">
        <v>4253</v>
      </c>
      <c r="I2165" t="s">
        <v>46</v>
      </c>
      <c r="J2165" s="1">
        <v>45292</v>
      </c>
      <c r="K2165">
        <v>1897000</v>
      </c>
    </row>
    <row r="2166" spans="5:11" x14ac:dyDescent="0.25">
      <c r="E2166" t="s">
        <v>4254</v>
      </c>
      <c r="F2166">
        <v>1337298</v>
      </c>
      <c r="G2166" s="1">
        <v>45382</v>
      </c>
      <c r="H2166" t="s">
        <v>4255</v>
      </c>
      <c r="I2166" t="s">
        <v>137</v>
      </c>
      <c r="J2166" s="1">
        <v>45292</v>
      </c>
      <c r="K2166">
        <v>4330000</v>
      </c>
    </row>
    <row r="2167" spans="5:11" x14ac:dyDescent="0.25">
      <c r="E2167" t="s">
        <v>4256</v>
      </c>
      <c r="F2167">
        <v>1337619</v>
      </c>
      <c r="G2167" s="1">
        <v>45382</v>
      </c>
      <c r="H2167" t="s">
        <v>4257</v>
      </c>
      <c r="I2167" t="s">
        <v>39</v>
      </c>
      <c r="J2167" s="1">
        <v>45292</v>
      </c>
      <c r="K2167">
        <v>2513000</v>
      </c>
    </row>
    <row r="2168" spans="5:11" x14ac:dyDescent="0.25">
      <c r="E2168" t="s">
        <v>4258</v>
      </c>
      <c r="F2168">
        <v>1338474</v>
      </c>
      <c r="G2168" s="1">
        <v>45382</v>
      </c>
      <c r="H2168" t="s">
        <v>4259</v>
      </c>
      <c r="I2168" t="s">
        <v>46</v>
      </c>
      <c r="J2168" s="1">
        <v>45292</v>
      </c>
      <c r="K2168">
        <v>314000</v>
      </c>
    </row>
    <row r="2169" spans="5:11" x14ac:dyDescent="0.25">
      <c r="E2169" t="s">
        <v>4260</v>
      </c>
      <c r="F2169">
        <v>1338749</v>
      </c>
      <c r="G2169" s="1">
        <v>45382</v>
      </c>
      <c r="H2169" t="s">
        <v>4261</v>
      </c>
      <c r="I2169" t="s">
        <v>504</v>
      </c>
      <c r="J2169" s="1">
        <v>45292</v>
      </c>
      <c r="K2169">
        <v>-305000</v>
      </c>
    </row>
    <row r="2170" spans="5:11" x14ac:dyDescent="0.25">
      <c r="E2170" t="s">
        <v>4262</v>
      </c>
      <c r="F2170">
        <v>1338929</v>
      </c>
      <c r="G2170" s="1">
        <v>45382</v>
      </c>
      <c r="H2170" t="s">
        <v>4263</v>
      </c>
      <c r="I2170" t="s">
        <v>46</v>
      </c>
      <c r="J2170" s="1">
        <v>45292</v>
      </c>
      <c r="K2170">
        <v>-1071951</v>
      </c>
    </row>
    <row r="2171" spans="5:11" x14ac:dyDescent="0.25">
      <c r="E2171" t="s">
        <v>4264</v>
      </c>
      <c r="F2171">
        <v>1339005</v>
      </c>
      <c r="G2171" s="1">
        <v>45382</v>
      </c>
      <c r="H2171" t="s">
        <v>4265</v>
      </c>
      <c r="I2171" t="s">
        <v>64</v>
      </c>
      <c r="J2171" s="1">
        <v>45292</v>
      </c>
      <c r="K2171">
        <v>-3599510</v>
      </c>
    </row>
    <row r="2172" spans="5:11" x14ac:dyDescent="0.25">
      <c r="E2172" t="s">
        <v>10452</v>
      </c>
      <c r="F2172">
        <v>1339605</v>
      </c>
      <c r="G2172" s="1">
        <v>45382</v>
      </c>
      <c r="H2172" t="s">
        <v>4266</v>
      </c>
      <c r="I2172" t="s">
        <v>179</v>
      </c>
      <c r="J2172" s="1">
        <v>45292</v>
      </c>
      <c r="K2172">
        <v>25889000</v>
      </c>
    </row>
    <row r="2173" spans="5:11" x14ac:dyDescent="0.25">
      <c r="E2173" t="s">
        <v>4267</v>
      </c>
      <c r="F2173">
        <v>1339688</v>
      </c>
      <c r="G2173" s="1">
        <v>45382</v>
      </c>
      <c r="H2173" t="s">
        <v>4268</v>
      </c>
      <c r="I2173" t="s">
        <v>2552</v>
      </c>
      <c r="J2173" s="1">
        <v>45292</v>
      </c>
      <c r="K2173">
        <v>-2257000</v>
      </c>
    </row>
    <row r="2174" spans="5:11" x14ac:dyDescent="0.25">
      <c r="E2174" t="s">
        <v>4269</v>
      </c>
      <c r="F2174">
        <v>1339970</v>
      </c>
      <c r="G2174" s="1">
        <v>45382</v>
      </c>
      <c r="H2174" t="s">
        <v>4270</v>
      </c>
      <c r="I2174" t="s">
        <v>36</v>
      </c>
      <c r="J2174" s="1">
        <v>45292</v>
      </c>
      <c r="K2174">
        <v>-15491000</v>
      </c>
    </row>
    <row r="2175" spans="5:11" x14ac:dyDescent="0.25">
      <c r="E2175" t="s">
        <v>4271</v>
      </c>
      <c r="F2175">
        <v>1340122</v>
      </c>
      <c r="G2175" s="1">
        <v>45382</v>
      </c>
      <c r="H2175" t="s">
        <v>4272</v>
      </c>
      <c r="I2175" t="s">
        <v>288</v>
      </c>
      <c r="J2175" s="1">
        <v>45292</v>
      </c>
      <c r="K2175">
        <v>-41600000</v>
      </c>
    </row>
    <row r="2176" spans="5:11" x14ac:dyDescent="0.25">
      <c r="E2176" t="s">
        <v>4273</v>
      </c>
      <c r="F2176">
        <v>1340476</v>
      </c>
      <c r="G2176" s="1">
        <v>45382</v>
      </c>
      <c r="H2176" t="s">
        <v>4274</v>
      </c>
      <c r="I2176" t="s">
        <v>3087</v>
      </c>
      <c r="J2176" s="1">
        <v>45292</v>
      </c>
      <c r="K2176">
        <v>3045000</v>
      </c>
    </row>
    <row r="2177" spans="5:11" x14ac:dyDescent="0.25">
      <c r="E2177" t="s">
        <v>4275</v>
      </c>
      <c r="F2177">
        <v>1341235</v>
      </c>
      <c r="G2177" s="1">
        <v>45382</v>
      </c>
      <c r="H2177" t="s">
        <v>4276</v>
      </c>
      <c r="I2177" t="s">
        <v>24</v>
      </c>
      <c r="J2177" s="1">
        <v>45292</v>
      </c>
      <c r="K2177">
        <v>-8082122</v>
      </c>
    </row>
    <row r="2178" spans="5:11" x14ac:dyDescent="0.25">
      <c r="E2178" t="s">
        <v>4277</v>
      </c>
      <c r="F2178">
        <v>1341317</v>
      </c>
      <c r="G2178" s="1">
        <v>45382</v>
      </c>
      <c r="H2178" t="s">
        <v>4278</v>
      </c>
      <c r="I2178" t="s">
        <v>213</v>
      </c>
      <c r="J2178" s="1">
        <v>45292</v>
      </c>
      <c r="K2178">
        <v>7831000</v>
      </c>
    </row>
    <row r="2179" spans="5:11" x14ac:dyDescent="0.25">
      <c r="E2179" t="s">
        <v>4279</v>
      </c>
      <c r="F2179">
        <v>1341318</v>
      </c>
      <c r="G2179" s="1">
        <v>45382</v>
      </c>
      <c r="H2179" t="s">
        <v>4280</v>
      </c>
      <c r="I2179" t="s">
        <v>57</v>
      </c>
      <c r="J2179" s="1">
        <v>45292</v>
      </c>
      <c r="K2179">
        <v>1014000</v>
      </c>
    </row>
    <row r="2180" spans="5:11" x14ac:dyDescent="0.25">
      <c r="E2180" t="s">
        <v>4281</v>
      </c>
      <c r="F2180">
        <v>1341439</v>
      </c>
      <c r="G2180" s="1">
        <v>45351</v>
      </c>
      <c r="H2180" t="s">
        <v>4282</v>
      </c>
      <c r="I2180" t="s">
        <v>30</v>
      </c>
      <c r="J2180" s="1">
        <v>45261</v>
      </c>
      <c r="K2180">
        <v>2401000000</v>
      </c>
    </row>
    <row r="2181" spans="5:11" x14ac:dyDescent="0.25">
      <c r="E2181" t="s">
        <v>4283</v>
      </c>
      <c r="F2181">
        <v>1341766</v>
      </c>
      <c r="G2181" s="1">
        <v>45382</v>
      </c>
      <c r="H2181" t="s">
        <v>4284</v>
      </c>
      <c r="I2181" t="s">
        <v>33</v>
      </c>
      <c r="J2181" s="1">
        <v>45292</v>
      </c>
      <c r="K2181">
        <v>77811000</v>
      </c>
    </row>
    <row r="2182" spans="5:11" x14ac:dyDescent="0.25">
      <c r="E2182" t="s">
        <v>4285</v>
      </c>
      <c r="F2182">
        <v>1342219</v>
      </c>
      <c r="G2182" s="1">
        <v>45382</v>
      </c>
      <c r="H2182" t="s">
        <v>4286</v>
      </c>
      <c r="I2182" t="s">
        <v>4227</v>
      </c>
      <c r="J2182" s="1">
        <v>45292</v>
      </c>
      <c r="K2182">
        <v>-122027</v>
      </c>
    </row>
    <row r="2183" spans="5:11" x14ac:dyDescent="0.25">
      <c r="E2183" t="s">
        <v>4287</v>
      </c>
      <c r="F2183">
        <v>1342423</v>
      </c>
      <c r="G2183" s="1">
        <v>45412</v>
      </c>
      <c r="H2183" t="s">
        <v>4288</v>
      </c>
      <c r="I2183" t="s">
        <v>36</v>
      </c>
      <c r="J2183" s="1">
        <v>45323</v>
      </c>
      <c r="K2183">
        <v>6567000</v>
      </c>
    </row>
    <row r="2184" spans="5:11" x14ac:dyDescent="0.25">
      <c r="E2184" t="s">
        <v>4289</v>
      </c>
      <c r="F2184">
        <v>1342916</v>
      </c>
      <c r="G2184" s="1">
        <v>45412</v>
      </c>
      <c r="H2184" t="s">
        <v>4290</v>
      </c>
      <c r="I2184" t="s">
        <v>36</v>
      </c>
      <c r="J2184" s="1">
        <v>45323</v>
      </c>
      <c r="K2184">
        <v>-565033</v>
      </c>
    </row>
    <row r="2185" spans="5:11" x14ac:dyDescent="0.25">
      <c r="E2185" t="s">
        <v>4291</v>
      </c>
      <c r="F2185">
        <v>1342936</v>
      </c>
      <c r="G2185" s="1">
        <v>45382</v>
      </c>
      <c r="H2185" t="s">
        <v>4292</v>
      </c>
      <c r="I2185" t="s">
        <v>113</v>
      </c>
      <c r="J2185" s="1">
        <v>45292</v>
      </c>
      <c r="K2185">
        <v>29790</v>
      </c>
    </row>
    <row r="2186" spans="5:11" x14ac:dyDescent="0.25">
      <c r="E2186" t="s">
        <v>4293</v>
      </c>
      <c r="F2186">
        <v>1342958</v>
      </c>
      <c r="G2186" s="1">
        <v>45382</v>
      </c>
      <c r="H2186" t="s">
        <v>4294</v>
      </c>
      <c r="I2186" t="s">
        <v>106</v>
      </c>
      <c r="J2186" s="1">
        <v>45292</v>
      </c>
      <c r="K2186">
        <v>-3931020</v>
      </c>
    </row>
    <row r="2187" spans="5:11" x14ac:dyDescent="0.25">
      <c r="E2187" t="s">
        <v>4295</v>
      </c>
      <c r="F2187">
        <v>1343009</v>
      </c>
      <c r="G2187" s="1">
        <v>45351</v>
      </c>
      <c r="H2187" t="s">
        <v>4296</v>
      </c>
      <c r="I2187" t="s">
        <v>299</v>
      </c>
      <c r="J2187" s="1">
        <v>45261</v>
      </c>
      <c r="K2187">
        <v>-325459</v>
      </c>
    </row>
    <row r="2188" spans="5:11" x14ac:dyDescent="0.25">
      <c r="E2188" t="s">
        <v>4297</v>
      </c>
      <c r="F2188">
        <v>1345016</v>
      </c>
      <c r="G2188" s="1">
        <v>45382</v>
      </c>
      <c r="H2188" t="s">
        <v>4298</v>
      </c>
      <c r="I2188" t="s">
        <v>36</v>
      </c>
      <c r="J2188" s="1">
        <v>45292</v>
      </c>
      <c r="K2188">
        <v>14154000</v>
      </c>
    </row>
    <row r="2189" spans="5:11" x14ac:dyDescent="0.25">
      <c r="E2189" t="s">
        <v>4299</v>
      </c>
      <c r="F2189">
        <v>1345126</v>
      </c>
      <c r="G2189" s="1">
        <v>45382</v>
      </c>
      <c r="H2189" t="s">
        <v>4300</v>
      </c>
      <c r="I2189" t="s">
        <v>27</v>
      </c>
      <c r="J2189" s="1">
        <v>45292</v>
      </c>
      <c r="K2189">
        <v>-1648000</v>
      </c>
    </row>
    <row r="2190" spans="5:11" x14ac:dyDescent="0.25">
      <c r="E2190" t="s">
        <v>4301</v>
      </c>
      <c r="F2190">
        <v>1346022</v>
      </c>
      <c r="G2190" s="1">
        <v>45351</v>
      </c>
      <c r="H2190" t="s">
        <v>4302</v>
      </c>
      <c r="I2190" t="s">
        <v>2552</v>
      </c>
      <c r="J2190" s="1">
        <v>45261</v>
      </c>
      <c r="K2190">
        <v>-147368</v>
      </c>
    </row>
    <row r="2191" spans="5:11" x14ac:dyDescent="0.25">
      <c r="E2191" t="s">
        <v>4303</v>
      </c>
      <c r="F2191">
        <v>1346655</v>
      </c>
      <c r="G2191" s="1">
        <v>45382</v>
      </c>
      <c r="H2191" t="s">
        <v>4304</v>
      </c>
      <c r="I2191" t="s">
        <v>19</v>
      </c>
      <c r="J2191" s="1">
        <v>45292</v>
      </c>
      <c r="K2191">
        <v>-73613</v>
      </c>
    </row>
    <row r="2192" spans="5:11" x14ac:dyDescent="0.25">
      <c r="E2192" t="s">
        <v>4305</v>
      </c>
      <c r="F2192">
        <v>1346830</v>
      </c>
      <c r="G2192" s="1">
        <v>45382</v>
      </c>
      <c r="H2192" t="s">
        <v>4306</v>
      </c>
      <c r="I2192" t="s">
        <v>27</v>
      </c>
      <c r="J2192" s="1">
        <v>45292</v>
      </c>
      <c r="K2192">
        <v>-30696000</v>
      </c>
    </row>
    <row r="2193" spans="5:11" x14ac:dyDescent="0.25">
      <c r="E2193" t="s">
        <v>4307</v>
      </c>
      <c r="F2193">
        <v>1347178</v>
      </c>
      <c r="G2193" s="1">
        <v>45382</v>
      </c>
      <c r="H2193" t="s">
        <v>4308</v>
      </c>
      <c r="I2193" t="s">
        <v>899</v>
      </c>
      <c r="J2193" s="1">
        <v>45292</v>
      </c>
      <c r="K2193">
        <v>-4146000</v>
      </c>
    </row>
    <row r="2194" spans="5:11" x14ac:dyDescent="0.25">
      <c r="E2194" t="s">
        <v>4309</v>
      </c>
      <c r="F2194">
        <v>1347242</v>
      </c>
      <c r="G2194" s="1">
        <v>45382</v>
      </c>
      <c r="H2194" t="s">
        <v>4310</v>
      </c>
      <c r="I2194" t="s">
        <v>39</v>
      </c>
      <c r="J2194" s="1">
        <v>45292</v>
      </c>
      <c r="K2194">
        <v>-1191809</v>
      </c>
    </row>
    <row r="2195" spans="5:11" x14ac:dyDescent="0.25">
      <c r="E2195" t="s">
        <v>4311</v>
      </c>
      <c r="F2195">
        <v>1347858</v>
      </c>
      <c r="G2195" s="1">
        <v>45382</v>
      </c>
      <c r="H2195" t="s">
        <v>4312</v>
      </c>
      <c r="I2195" t="s">
        <v>172</v>
      </c>
      <c r="J2195" s="1">
        <v>45292</v>
      </c>
      <c r="K2195">
        <v>-5739000</v>
      </c>
    </row>
    <row r="2196" spans="5:11" x14ac:dyDescent="0.25">
      <c r="E2196" t="s">
        <v>4313</v>
      </c>
      <c r="F2196">
        <v>1348362</v>
      </c>
      <c r="G2196" s="1">
        <v>45351</v>
      </c>
      <c r="H2196" t="s">
        <v>4314</v>
      </c>
      <c r="I2196" t="s">
        <v>1716</v>
      </c>
      <c r="J2196" s="1">
        <v>45261</v>
      </c>
      <c r="K2196">
        <v>-649539</v>
      </c>
    </row>
    <row r="2197" spans="5:11" x14ac:dyDescent="0.25">
      <c r="E2197" t="s">
        <v>4315</v>
      </c>
      <c r="F2197">
        <v>1349436</v>
      </c>
      <c r="G2197" s="1">
        <v>45382</v>
      </c>
      <c r="H2197" t="s">
        <v>4316</v>
      </c>
      <c r="I2197" t="s">
        <v>277</v>
      </c>
      <c r="J2197" s="1">
        <v>45292</v>
      </c>
      <c r="K2197">
        <v>11125000</v>
      </c>
    </row>
    <row r="2198" spans="5:11" x14ac:dyDescent="0.25">
      <c r="E2198" t="s">
        <v>4317</v>
      </c>
      <c r="F2198">
        <v>1349706</v>
      </c>
      <c r="G2198" s="1">
        <v>45382</v>
      </c>
      <c r="H2198" t="s">
        <v>4318</v>
      </c>
      <c r="I2198" t="s">
        <v>36</v>
      </c>
      <c r="J2198" s="1">
        <v>45292</v>
      </c>
      <c r="K2198">
        <v>-735000</v>
      </c>
    </row>
    <row r="2199" spans="5:11" x14ac:dyDescent="0.25">
      <c r="E2199" t="s">
        <v>4319</v>
      </c>
      <c r="F2199">
        <v>1350102</v>
      </c>
      <c r="G2199" s="1">
        <v>45382</v>
      </c>
      <c r="H2199" t="s">
        <v>4320</v>
      </c>
      <c r="I2199" t="s">
        <v>92</v>
      </c>
      <c r="J2199" s="1">
        <v>45292</v>
      </c>
      <c r="K2199">
        <v>-2537742</v>
      </c>
    </row>
    <row r="2200" spans="5:11" x14ac:dyDescent="0.25">
      <c r="E2200" t="s">
        <v>4321</v>
      </c>
      <c r="F2200">
        <v>1350156</v>
      </c>
      <c r="G2200" s="1">
        <v>45351</v>
      </c>
      <c r="H2200" t="s">
        <v>4322</v>
      </c>
      <c r="I2200" t="s">
        <v>3087</v>
      </c>
      <c r="J2200" s="1">
        <v>45261</v>
      </c>
      <c r="K2200">
        <v>-8810</v>
      </c>
    </row>
    <row r="2201" spans="5:11" x14ac:dyDescent="0.25">
      <c r="E2201" t="s">
        <v>4323</v>
      </c>
      <c r="F2201">
        <v>1350593</v>
      </c>
      <c r="G2201" s="1">
        <v>45382</v>
      </c>
      <c r="H2201" t="s">
        <v>4324</v>
      </c>
      <c r="I2201" t="s">
        <v>64</v>
      </c>
      <c r="J2201" s="1">
        <v>45292</v>
      </c>
      <c r="K2201">
        <v>44300000</v>
      </c>
    </row>
    <row r="2202" spans="5:11" x14ac:dyDescent="0.25">
      <c r="E2202" t="s">
        <v>10453</v>
      </c>
      <c r="F2202">
        <v>1350653</v>
      </c>
      <c r="G2202" s="1">
        <v>45382</v>
      </c>
      <c r="H2202" t="s">
        <v>4325</v>
      </c>
      <c r="I2202" t="s">
        <v>36</v>
      </c>
      <c r="J2202" s="1">
        <v>45292</v>
      </c>
      <c r="K2202">
        <v>-48495000</v>
      </c>
    </row>
    <row r="2203" spans="5:11" x14ac:dyDescent="0.25">
      <c r="E2203" t="s">
        <v>4326</v>
      </c>
      <c r="F2203">
        <v>1351636</v>
      </c>
      <c r="G2203" s="1">
        <v>45382</v>
      </c>
      <c r="H2203" t="s">
        <v>4327</v>
      </c>
      <c r="I2203" t="s">
        <v>36</v>
      </c>
      <c r="J2203" s="1">
        <v>45292</v>
      </c>
      <c r="K2203">
        <v>-2909000</v>
      </c>
    </row>
    <row r="2204" spans="5:11" x14ac:dyDescent="0.25">
      <c r="E2204" t="s">
        <v>4328</v>
      </c>
      <c r="F2204">
        <v>1352010</v>
      </c>
      <c r="G2204" s="1">
        <v>45382</v>
      </c>
      <c r="H2204" t="s">
        <v>4329</v>
      </c>
      <c r="I2204" t="s">
        <v>39</v>
      </c>
      <c r="J2204" s="1">
        <v>45292</v>
      </c>
      <c r="K2204">
        <v>116243000</v>
      </c>
    </row>
    <row r="2205" spans="5:11" x14ac:dyDescent="0.25">
      <c r="E2205" t="s">
        <v>4330</v>
      </c>
      <c r="F2205">
        <v>1352081</v>
      </c>
      <c r="G2205" s="1">
        <v>45382</v>
      </c>
      <c r="H2205" t="s">
        <v>4331</v>
      </c>
      <c r="I2205" t="s">
        <v>288</v>
      </c>
      <c r="J2205" s="1">
        <v>45292</v>
      </c>
      <c r="K2205">
        <v>-1536379</v>
      </c>
    </row>
    <row r="2206" spans="5:11" x14ac:dyDescent="0.25">
      <c r="E2206" t="s">
        <v>4332</v>
      </c>
      <c r="F2206">
        <v>1352190</v>
      </c>
      <c r="G2206" s="1">
        <v>45382</v>
      </c>
      <c r="H2206" t="s">
        <v>4333</v>
      </c>
      <c r="I2206" t="s">
        <v>46</v>
      </c>
      <c r="J2206" s="1">
        <v>45292</v>
      </c>
      <c r="K2206">
        <v>198000</v>
      </c>
    </row>
    <row r="2207" spans="5:11" x14ac:dyDescent="0.25">
      <c r="E2207" t="s">
        <v>4334</v>
      </c>
      <c r="F2207">
        <v>1352952</v>
      </c>
      <c r="G2207" s="1">
        <v>45382</v>
      </c>
      <c r="H2207" t="s">
        <v>4335</v>
      </c>
      <c r="I2207" t="s">
        <v>4336</v>
      </c>
      <c r="J2207" s="1">
        <v>45292</v>
      </c>
      <c r="K2207">
        <v>-647571</v>
      </c>
    </row>
    <row r="2208" spans="5:11" x14ac:dyDescent="0.25">
      <c r="E2208" t="s">
        <v>4337</v>
      </c>
      <c r="F2208">
        <v>1353611</v>
      </c>
      <c r="G2208" s="1">
        <v>45382</v>
      </c>
      <c r="H2208" t="s">
        <v>4338</v>
      </c>
      <c r="I2208" t="s">
        <v>19</v>
      </c>
      <c r="J2208" s="1">
        <v>45292</v>
      </c>
      <c r="K2208">
        <v>631929</v>
      </c>
    </row>
    <row r="2209" spans="5:11" x14ac:dyDescent="0.25">
      <c r="E2209" t="s">
        <v>4339</v>
      </c>
      <c r="F2209">
        <v>1353612</v>
      </c>
      <c r="G2209" s="1">
        <v>45382</v>
      </c>
      <c r="H2209" t="s">
        <v>4340</v>
      </c>
      <c r="I2209" t="s">
        <v>19</v>
      </c>
      <c r="J2209" s="1">
        <v>45292</v>
      </c>
      <c r="K2209">
        <v>392900</v>
      </c>
    </row>
    <row r="2210" spans="5:11" x14ac:dyDescent="0.25">
      <c r="E2210" t="s">
        <v>4341</v>
      </c>
      <c r="F2210">
        <v>1353613</v>
      </c>
      <c r="G2210" s="1">
        <v>45382</v>
      </c>
      <c r="H2210" t="s">
        <v>4342</v>
      </c>
      <c r="I2210" t="s">
        <v>19</v>
      </c>
      <c r="J2210" s="1">
        <v>45292</v>
      </c>
      <c r="K2210">
        <v>-460972</v>
      </c>
    </row>
    <row r="2211" spans="5:11" x14ac:dyDescent="0.25">
      <c r="E2211" t="s">
        <v>4343</v>
      </c>
      <c r="F2211">
        <v>1353614</v>
      </c>
      <c r="G2211" s="1">
        <v>45382</v>
      </c>
      <c r="H2211" t="s">
        <v>4344</v>
      </c>
      <c r="I2211" t="s">
        <v>19</v>
      </c>
      <c r="J2211" s="1">
        <v>45292</v>
      </c>
      <c r="K2211">
        <v>294341</v>
      </c>
    </row>
    <row r="2212" spans="5:11" x14ac:dyDescent="0.25">
      <c r="E2212" t="s">
        <v>4345</v>
      </c>
      <c r="F2212">
        <v>1353615</v>
      </c>
      <c r="G2212" s="1">
        <v>45382</v>
      </c>
      <c r="H2212" t="s">
        <v>4346</v>
      </c>
      <c r="I2212" t="s">
        <v>19</v>
      </c>
      <c r="J2212" s="1">
        <v>45292</v>
      </c>
      <c r="K2212">
        <v>39206</v>
      </c>
    </row>
    <row r="2213" spans="5:11" x14ac:dyDescent="0.25">
      <c r="E2213" t="s">
        <v>4347</v>
      </c>
      <c r="F2213">
        <v>1354866</v>
      </c>
      <c r="G2213" s="1">
        <v>45351</v>
      </c>
      <c r="H2213" t="s">
        <v>4348</v>
      </c>
      <c r="I2213" t="s">
        <v>24</v>
      </c>
      <c r="J2213" s="1">
        <v>45261</v>
      </c>
      <c r="K2213">
        <v>17000</v>
      </c>
    </row>
    <row r="2214" spans="5:11" x14ac:dyDescent="0.25">
      <c r="E2214" t="s">
        <v>4349</v>
      </c>
      <c r="F2214">
        <v>1355096</v>
      </c>
      <c r="G2214" s="1">
        <v>45382</v>
      </c>
      <c r="H2214" t="s">
        <v>4350</v>
      </c>
      <c r="I2214" t="s">
        <v>92</v>
      </c>
      <c r="J2214" s="1">
        <v>45292</v>
      </c>
      <c r="K2214">
        <v>-1000000</v>
      </c>
    </row>
    <row r="2215" spans="5:11" x14ac:dyDescent="0.25">
      <c r="E2215" t="s">
        <v>4351</v>
      </c>
      <c r="F2215">
        <v>1355790</v>
      </c>
      <c r="G2215" s="1">
        <v>45382</v>
      </c>
      <c r="H2215" t="s">
        <v>4352</v>
      </c>
      <c r="I2215" t="s">
        <v>36</v>
      </c>
      <c r="J2215" s="1">
        <v>45292</v>
      </c>
      <c r="K2215">
        <v>-214000</v>
      </c>
    </row>
    <row r="2216" spans="5:11" x14ac:dyDescent="0.25">
      <c r="E2216" t="s">
        <v>4353</v>
      </c>
      <c r="F2216">
        <v>1355839</v>
      </c>
      <c r="G2216" s="1">
        <v>45382</v>
      </c>
      <c r="H2216" t="s">
        <v>4354</v>
      </c>
      <c r="I2216" t="s">
        <v>57</v>
      </c>
      <c r="J2216" s="1">
        <v>45292</v>
      </c>
      <c r="K2216">
        <v>-492307</v>
      </c>
    </row>
    <row r="2217" spans="5:11" x14ac:dyDescent="0.25">
      <c r="E2217" t="s">
        <v>4355</v>
      </c>
      <c r="F2217">
        <v>1355848</v>
      </c>
      <c r="G2217" s="1">
        <v>45382</v>
      </c>
      <c r="H2217" t="s">
        <v>4356</v>
      </c>
      <c r="I2217" t="s">
        <v>36</v>
      </c>
      <c r="J2217" s="1">
        <v>45292</v>
      </c>
      <c r="K2217">
        <v>-7045000</v>
      </c>
    </row>
    <row r="2218" spans="5:11" x14ac:dyDescent="0.25">
      <c r="E2218" t="s">
        <v>4357</v>
      </c>
      <c r="F2218">
        <v>1356090</v>
      </c>
      <c r="G2218" s="1">
        <v>45382</v>
      </c>
      <c r="H2218" t="s">
        <v>4358</v>
      </c>
      <c r="I2218" t="s">
        <v>299</v>
      </c>
      <c r="J2218" s="1">
        <v>45292</v>
      </c>
      <c r="K2218">
        <v>-23738000</v>
      </c>
    </row>
    <row r="2219" spans="5:11" x14ac:dyDescent="0.25">
      <c r="E2219" t="s">
        <v>4359</v>
      </c>
      <c r="F2219">
        <v>1356093</v>
      </c>
      <c r="G2219" s="1">
        <v>45382</v>
      </c>
      <c r="H2219" t="s">
        <v>4360</v>
      </c>
      <c r="I2219" t="s">
        <v>190</v>
      </c>
      <c r="J2219" s="1">
        <v>45292</v>
      </c>
      <c r="K2219">
        <v>-109000</v>
      </c>
    </row>
    <row r="2220" spans="5:11" x14ac:dyDescent="0.25">
      <c r="E2220" t="s">
        <v>4361</v>
      </c>
      <c r="F2220">
        <v>1356115</v>
      </c>
      <c r="G2220" s="1">
        <v>45382</v>
      </c>
      <c r="H2220" t="s">
        <v>4362</v>
      </c>
      <c r="I2220" t="s">
        <v>30</v>
      </c>
      <c r="J2220" s="1">
        <v>45292</v>
      </c>
      <c r="K2220">
        <v>-21548000</v>
      </c>
    </row>
    <row r="2221" spans="5:11" x14ac:dyDescent="0.25">
      <c r="E2221" t="s">
        <v>4363</v>
      </c>
      <c r="F2221">
        <v>1356576</v>
      </c>
      <c r="G2221" s="1">
        <v>45382</v>
      </c>
      <c r="H2221" t="s">
        <v>4364</v>
      </c>
      <c r="I2221" t="s">
        <v>299</v>
      </c>
      <c r="J2221" s="1">
        <v>45292</v>
      </c>
      <c r="K2221">
        <v>124000</v>
      </c>
    </row>
    <row r="2222" spans="5:11" x14ac:dyDescent="0.25">
      <c r="E2222" t="s">
        <v>4365</v>
      </c>
      <c r="F2222">
        <v>1357459</v>
      </c>
      <c r="G2222" s="1">
        <v>45382</v>
      </c>
      <c r="H2222" t="s">
        <v>4366</v>
      </c>
      <c r="I2222" t="s">
        <v>36</v>
      </c>
      <c r="J2222" s="1">
        <v>45292</v>
      </c>
      <c r="K2222">
        <v>-3527000</v>
      </c>
    </row>
    <row r="2223" spans="5:11" x14ac:dyDescent="0.25">
      <c r="E2223" t="s">
        <v>4367</v>
      </c>
      <c r="F2223">
        <v>1357615</v>
      </c>
      <c r="G2223" s="1">
        <v>45380</v>
      </c>
      <c r="H2223" t="s">
        <v>4368</v>
      </c>
      <c r="I2223" t="s">
        <v>30</v>
      </c>
      <c r="J2223" s="1">
        <v>45290</v>
      </c>
      <c r="K2223">
        <v>93000000</v>
      </c>
    </row>
    <row r="2224" spans="5:11" x14ac:dyDescent="0.25">
      <c r="E2224" t="s">
        <v>4369</v>
      </c>
      <c r="F2224">
        <v>1357874</v>
      </c>
      <c r="G2224" s="1">
        <v>45382</v>
      </c>
      <c r="H2224" t="s">
        <v>4370</v>
      </c>
      <c r="I2224" t="s">
        <v>172</v>
      </c>
      <c r="J2224" s="1">
        <v>45292</v>
      </c>
      <c r="K2224">
        <v>8588000</v>
      </c>
    </row>
    <row r="2225" spans="5:11" x14ac:dyDescent="0.25">
      <c r="E2225" t="s">
        <v>4371</v>
      </c>
      <c r="F2225">
        <v>1358190</v>
      </c>
      <c r="G2225" s="1">
        <v>45382</v>
      </c>
      <c r="H2225" t="s">
        <v>4372</v>
      </c>
      <c r="I2225" t="s">
        <v>1164</v>
      </c>
      <c r="J2225" s="1">
        <v>45292</v>
      </c>
      <c r="K2225">
        <v>-3746536</v>
      </c>
    </row>
    <row r="2226" spans="5:11" x14ac:dyDescent="0.25">
      <c r="E2226" t="s">
        <v>4373</v>
      </c>
      <c r="F2226">
        <v>1358633</v>
      </c>
      <c r="G2226" s="1">
        <v>45382</v>
      </c>
      <c r="H2226" t="s">
        <v>4374</v>
      </c>
      <c r="I2226" t="s">
        <v>57</v>
      </c>
      <c r="J2226" s="1">
        <v>45292</v>
      </c>
      <c r="K2226">
        <v>-416754</v>
      </c>
    </row>
    <row r="2227" spans="5:11" x14ac:dyDescent="0.25">
      <c r="E2227" t="s">
        <v>4375</v>
      </c>
      <c r="F2227">
        <v>1359687</v>
      </c>
      <c r="G2227" s="1">
        <v>45382</v>
      </c>
      <c r="H2227" t="s">
        <v>4376</v>
      </c>
      <c r="I2227" t="s">
        <v>518</v>
      </c>
      <c r="J2227" s="1">
        <v>45292</v>
      </c>
      <c r="K2227">
        <v>-6406145</v>
      </c>
    </row>
    <row r="2228" spans="5:11" x14ac:dyDescent="0.25">
      <c r="E2228" t="s">
        <v>4377</v>
      </c>
      <c r="F2228">
        <v>1359841</v>
      </c>
      <c r="G2228" s="1">
        <v>45381</v>
      </c>
      <c r="H2228" t="s">
        <v>4378</v>
      </c>
      <c r="I2228" t="s">
        <v>172</v>
      </c>
      <c r="J2228" s="1">
        <v>45291</v>
      </c>
      <c r="K2228">
        <v>-39122000</v>
      </c>
    </row>
    <row r="2229" spans="5:11" x14ac:dyDescent="0.25">
      <c r="E2229" t="s">
        <v>4379</v>
      </c>
      <c r="F2229">
        <v>1359931</v>
      </c>
      <c r="G2229" s="1">
        <v>45382</v>
      </c>
      <c r="H2229" t="s">
        <v>4380</v>
      </c>
      <c r="I2229" t="s">
        <v>57</v>
      </c>
      <c r="J2229" s="1">
        <v>45292</v>
      </c>
      <c r="K2229">
        <v>-11095000</v>
      </c>
    </row>
    <row r="2230" spans="5:11" x14ac:dyDescent="0.25">
      <c r="E2230" t="s">
        <v>4381</v>
      </c>
      <c r="F2230">
        <v>1360214</v>
      </c>
      <c r="G2230" s="1">
        <v>45382</v>
      </c>
      <c r="H2230" t="s">
        <v>4382</v>
      </c>
      <c r="I2230" t="s">
        <v>69</v>
      </c>
      <c r="J2230" s="1">
        <v>45292</v>
      </c>
      <c r="K2230">
        <v>-13565000</v>
      </c>
    </row>
    <row r="2231" spans="5:11" x14ac:dyDescent="0.25">
      <c r="E2231" t="s">
        <v>4383</v>
      </c>
      <c r="F2231">
        <v>1360442</v>
      </c>
      <c r="G2231" s="1">
        <v>45382</v>
      </c>
      <c r="H2231" t="s">
        <v>4384</v>
      </c>
      <c r="I2231" t="s">
        <v>142</v>
      </c>
      <c r="J2231" s="1">
        <v>45292</v>
      </c>
      <c r="K2231">
        <v>-222568</v>
      </c>
    </row>
    <row r="2232" spans="5:11" x14ac:dyDescent="0.25">
      <c r="E2232" t="s">
        <v>4385</v>
      </c>
      <c r="F2232">
        <v>1360565</v>
      </c>
      <c r="G2232" s="1">
        <v>45382</v>
      </c>
      <c r="H2232" t="s">
        <v>4386</v>
      </c>
      <c r="I2232" t="s">
        <v>92</v>
      </c>
      <c r="J2232" s="1">
        <v>45292</v>
      </c>
      <c r="K2232">
        <v>178000</v>
      </c>
    </row>
    <row r="2233" spans="5:11" x14ac:dyDescent="0.25">
      <c r="E2233" t="s">
        <v>4387</v>
      </c>
      <c r="F2233">
        <v>1360604</v>
      </c>
      <c r="G2233" s="1">
        <v>45382</v>
      </c>
      <c r="H2233" t="s">
        <v>4388</v>
      </c>
      <c r="I2233" t="s">
        <v>69</v>
      </c>
      <c r="J2233" s="1">
        <v>45292</v>
      </c>
      <c r="K2233">
        <v>-310836000</v>
      </c>
    </row>
    <row r="2234" spans="5:11" x14ac:dyDescent="0.25">
      <c r="E2234" t="s">
        <v>4389</v>
      </c>
      <c r="F2234">
        <v>1360901</v>
      </c>
      <c r="G2234" s="1">
        <v>45382</v>
      </c>
      <c r="H2234" t="s">
        <v>4390</v>
      </c>
      <c r="I2234" t="s">
        <v>57</v>
      </c>
      <c r="J2234" s="1">
        <v>45292</v>
      </c>
      <c r="K2234">
        <v>85693000</v>
      </c>
    </row>
    <row r="2235" spans="5:11" x14ac:dyDescent="0.25">
      <c r="E2235" t="s">
        <v>10454</v>
      </c>
      <c r="F2235">
        <v>1361113</v>
      </c>
      <c r="G2235" s="1">
        <v>45382</v>
      </c>
      <c r="H2235" t="s">
        <v>4391</v>
      </c>
      <c r="I2235" t="s">
        <v>57</v>
      </c>
      <c r="J2235" s="1">
        <v>45292</v>
      </c>
      <c r="K2235">
        <v>-40490000</v>
      </c>
    </row>
    <row r="2236" spans="5:11" x14ac:dyDescent="0.25">
      <c r="E2236" t="s">
        <v>4392</v>
      </c>
      <c r="F2236">
        <v>1361538</v>
      </c>
      <c r="G2236" s="1">
        <v>45382</v>
      </c>
      <c r="H2236" t="s">
        <v>4393</v>
      </c>
      <c r="I2236" t="s">
        <v>30</v>
      </c>
      <c r="J2236" s="1">
        <v>45292</v>
      </c>
      <c r="K2236">
        <v>18943000</v>
      </c>
    </row>
    <row r="2237" spans="5:11" x14ac:dyDescent="0.25">
      <c r="E2237" t="s">
        <v>4394</v>
      </c>
      <c r="F2237">
        <v>1361658</v>
      </c>
      <c r="G2237" s="1">
        <v>45382</v>
      </c>
      <c r="H2237" t="s">
        <v>4395</v>
      </c>
      <c r="I2237" t="s">
        <v>33</v>
      </c>
      <c r="J2237" s="1">
        <v>45292</v>
      </c>
      <c r="K2237">
        <v>66000000</v>
      </c>
    </row>
    <row r="2238" spans="5:11" x14ac:dyDescent="0.25">
      <c r="E2238" t="s">
        <v>10455</v>
      </c>
      <c r="F2238">
        <v>1362004</v>
      </c>
      <c r="G2238" s="1">
        <v>45382</v>
      </c>
      <c r="H2238" t="s">
        <v>4396</v>
      </c>
      <c r="I2238" t="s">
        <v>123</v>
      </c>
      <c r="J2238" s="1">
        <v>45292</v>
      </c>
      <c r="K2238">
        <v>27317000</v>
      </c>
    </row>
    <row r="2239" spans="5:11" x14ac:dyDescent="0.25">
      <c r="E2239" t="s">
        <v>4397</v>
      </c>
      <c r="F2239">
        <v>1362190</v>
      </c>
      <c r="G2239" s="1">
        <v>45382</v>
      </c>
      <c r="H2239" t="s">
        <v>4398</v>
      </c>
      <c r="I2239" t="s">
        <v>113</v>
      </c>
      <c r="J2239" s="1">
        <v>45292</v>
      </c>
      <c r="K2239">
        <v>-829000</v>
      </c>
    </row>
    <row r="2240" spans="5:11" x14ac:dyDescent="0.25">
      <c r="E2240" t="s">
        <v>4399</v>
      </c>
      <c r="F2240">
        <v>1362468</v>
      </c>
      <c r="G2240" s="1">
        <v>45382</v>
      </c>
      <c r="H2240" t="s">
        <v>4400</v>
      </c>
      <c r="I2240" t="s">
        <v>142</v>
      </c>
      <c r="J2240" s="1">
        <v>45292</v>
      </c>
      <c r="K2240">
        <v>-919000</v>
      </c>
    </row>
    <row r="2241" spans="5:11" x14ac:dyDescent="0.25">
      <c r="E2241" t="s">
        <v>4401</v>
      </c>
      <c r="F2241">
        <v>1363829</v>
      </c>
      <c r="G2241" s="1">
        <v>45382</v>
      </c>
      <c r="H2241" t="s">
        <v>4402</v>
      </c>
      <c r="I2241" t="s">
        <v>919</v>
      </c>
      <c r="J2241" s="1">
        <v>45292</v>
      </c>
      <c r="K2241">
        <v>128000000</v>
      </c>
    </row>
    <row r="2242" spans="5:11" x14ac:dyDescent="0.25">
      <c r="E2242" t="s">
        <v>4403</v>
      </c>
      <c r="F2242">
        <v>1364250</v>
      </c>
      <c r="G2242" s="1">
        <v>45382</v>
      </c>
      <c r="H2242" t="s">
        <v>4404</v>
      </c>
      <c r="I2242" t="s">
        <v>36</v>
      </c>
      <c r="J2242" s="1">
        <v>45292</v>
      </c>
      <c r="K2242">
        <v>8909000</v>
      </c>
    </row>
    <row r="2243" spans="5:11" x14ac:dyDescent="0.25">
      <c r="E2243" t="s">
        <v>4405</v>
      </c>
      <c r="F2243">
        <v>1364397</v>
      </c>
      <c r="G2243" s="1">
        <v>45382</v>
      </c>
      <c r="H2243" t="s">
        <v>4406</v>
      </c>
      <c r="I2243" t="s">
        <v>46</v>
      </c>
      <c r="J2243" s="1">
        <v>45292</v>
      </c>
      <c r="K2243">
        <v>180000</v>
      </c>
    </row>
    <row r="2244" spans="5:11" x14ac:dyDescent="0.25">
      <c r="E2244" t="s">
        <v>4407</v>
      </c>
      <c r="F2244">
        <v>1364479</v>
      </c>
      <c r="G2244" s="1">
        <v>45382</v>
      </c>
      <c r="H2244" t="s">
        <v>4408</v>
      </c>
      <c r="I2244" t="s">
        <v>33</v>
      </c>
      <c r="J2244" s="1">
        <v>45292</v>
      </c>
      <c r="K2244">
        <v>65000000</v>
      </c>
    </row>
    <row r="2245" spans="5:11" x14ac:dyDescent="0.25">
      <c r="E2245" t="s">
        <v>4409</v>
      </c>
      <c r="F2245">
        <v>1364742</v>
      </c>
      <c r="G2245" s="1">
        <v>45382</v>
      </c>
      <c r="H2245" t="s">
        <v>4410</v>
      </c>
      <c r="I2245" t="s">
        <v>57</v>
      </c>
      <c r="J2245" s="1">
        <v>45292</v>
      </c>
      <c r="K2245">
        <v>1573000000</v>
      </c>
    </row>
    <row r="2246" spans="5:11" x14ac:dyDescent="0.25">
      <c r="E2246" t="s">
        <v>4411</v>
      </c>
      <c r="F2246">
        <v>1364885</v>
      </c>
      <c r="G2246" s="1">
        <v>45379</v>
      </c>
      <c r="H2246" t="s">
        <v>4412</v>
      </c>
      <c r="I2246" t="s">
        <v>106</v>
      </c>
      <c r="J2246" s="1">
        <v>45292</v>
      </c>
      <c r="K2246">
        <v>-616700000</v>
      </c>
    </row>
    <row r="2247" spans="5:11" x14ac:dyDescent="0.25">
      <c r="E2247" t="s">
        <v>4413</v>
      </c>
      <c r="F2247">
        <v>1364954</v>
      </c>
      <c r="G2247" s="1">
        <v>45382</v>
      </c>
      <c r="H2247" t="s">
        <v>4414</v>
      </c>
      <c r="I2247" t="s">
        <v>36</v>
      </c>
      <c r="J2247" s="1">
        <v>45292</v>
      </c>
      <c r="K2247">
        <v>-1420000</v>
      </c>
    </row>
    <row r="2248" spans="5:11" x14ac:dyDescent="0.25">
      <c r="E2248" t="s">
        <v>4415</v>
      </c>
      <c r="F2248">
        <v>1365135</v>
      </c>
      <c r="G2248" s="1">
        <v>45382</v>
      </c>
      <c r="H2248" t="s">
        <v>4416</v>
      </c>
      <c r="I2248" t="s">
        <v>92</v>
      </c>
      <c r="J2248" s="1">
        <v>45292</v>
      </c>
      <c r="K2248">
        <v>142700000</v>
      </c>
    </row>
    <row r="2249" spans="5:11" x14ac:dyDescent="0.25">
      <c r="E2249" t="s">
        <v>4417</v>
      </c>
      <c r="F2249">
        <v>1366561</v>
      </c>
      <c r="G2249" s="1">
        <v>45412</v>
      </c>
      <c r="H2249" t="s">
        <v>4418</v>
      </c>
      <c r="I2249" t="s">
        <v>504</v>
      </c>
      <c r="J2249" s="1">
        <v>45323</v>
      </c>
      <c r="K2249">
        <v>-8858000</v>
      </c>
    </row>
    <row r="2250" spans="5:11" x14ac:dyDescent="0.25">
      <c r="E2250" t="s">
        <v>4419</v>
      </c>
      <c r="F2250">
        <v>1366868</v>
      </c>
      <c r="G2250" s="1">
        <v>45382</v>
      </c>
      <c r="H2250" t="s">
        <v>4420</v>
      </c>
      <c r="I2250" t="s">
        <v>179</v>
      </c>
      <c r="J2250" s="1">
        <v>45292</v>
      </c>
      <c r="K2250">
        <v>-13196000</v>
      </c>
    </row>
    <row r="2251" spans="5:11" x14ac:dyDescent="0.25">
      <c r="E2251" t="s">
        <v>4421</v>
      </c>
      <c r="F2251">
        <v>1367644</v>
      </c>
      <c r="G2251" s="1">
        <v>45382</v>
      </c>
      <c r="H2251" t="s">
        <v>4422</v>
      </c>
      <c r="I2251" t="s">
        <v>299</v>
      </c>
      <c r="J2251" s="1">
        <v>45292</v>
      </c>
      <c r="K2251">
        <v>9000000</v>
      </c>
    </row>
    <row r="2252" spans="5:11" x14ac:dyDescent="0.25">
      <c r="E2252" t="s">
        <v>4423</v>
      </c>
      <c r="F2252">
        <v>1367859</v>
      </c>
      <c r="G2252" s="1">
        <v>45382</v>
      </c>
      <c r="H2252" t="s">
        <v>4424</v>
      </c>
      <c r="I2252" t="s">
        <v>83</v>
      </c>
      <c r="J2252" s="1">
        <v>45292</v>
      </c>
      <c r="K2252">
        <v>4088000</v>
      </c>
    </row>
    <row r="2253" spans="5:11" x14ac:dyDescent="0.25">
      <c r="E2253" t="s">
        <v>4425</v>
      </c>
      <c r="F2253">
        <v>1368265</v>
      </c>
      <c r="G2253" s="1">
        <v>45382</v>
      </c>
      <c r="H2253" t="s">
        <v>4426</v>
      </c>
      <c r="I2253" t="s">
        <v>36</v>
      </c>
      <c r="J2253" s="1">
        <v>45292</v>
      </c>
      <c r="K2253">
        <v>-18443000</v>
      </c>
    </row>
    <row r="2254" spans="5:11" x14ac:dyDescent="0.25">
      <c r="E2254" t="s">
        <v>4427</v>
      </c>
      <c r="F2254">
        <v>1368365</v>
      </c>
      <c r="G2254" s="1">
        <v>45382</v>
      </c>
      <c r="H2254" t="s">
        <v>4428</v>
      </c>
      <c r="I2254" t="s">
        <v>142</v>
      </c>
      <c r="J2254" s="1">
        <v>45292</v>
      </c>
      <c r="K2254">
        <v>-13791000</v>
      </c>
    </row>
    <row r="2255" spans="5:11" x14ac:dyDescent="0.25">
      <c r="E2255" t="s">
        <v>4429</v>
      </c>
      <c r="F2255">
        <v>1368458</v>
      </c>
      <c r="G2255" s="1">
        <v>45382</v>
      </c>
      <c r="H2255" t="s">
        <v>4430</v>
      </c>
      <c r="I2255" t="s">
        <v>30</v>
      </c>
      <c r="J2255" s="1">
        <v>45292</v>
      </c>
      <c r="K2255">
        <v>29244000</v>
      </c>
    </row>
    <row r="2256" spans="5:11" x14ac:dyDescent="0.25">
      <c r="E2256" t="s">
        <v>4431</v>
      </c>
      <c r="F2256">
        <v>1368514</v>
      </c>
      <c r="G2256" s="1">
        <v>45382</v>
      </c>
      <c r="H2256" t="s">
        <v>4432</v>
      </c>
      <c r="I2256" t="s">
        <v>46</v>
      </c>
      <c r="J2256" s="1">
        <v>45292</v>
      </c>
      <c r="K2256">
        <v>17806000</v>
      </c>
    </row>
    <row r="2257" spans="5:11" x14ac:dyDescent="0.25">
      <c r="E2257" t="s">
        <v>4433</v>
      </c>
      <c r="F2257">
        <v>1368757</v>
      </c>
      <c r="G2257" s="1">
        <v>45382</v>
      </c>
      <c r="H2257" t="s">
        <v>4434</v>
      </c>
      <c r="I2257" t="s">
        <v>57</v>
      </c>
      <c r="J2257" s="1">
        <v>45292</v>
      </c>
      <c r="K2257">
        <v>2980000</v>
      </c>
    </row>
    <row r="2258" spans="5:11" x14ac:dyDescent="0.25">
      <c r="E2258" t="s">
        <v>4435</v>
      </c>
      <c r="F2258">
        <v>1369241</v>
      </c>
      <c r="G2258" s="1">
        <v>45382</v>
      </c>
      <c r="H2258" t="s">
        <v>4436</v>
      </c>
      <c r="I2258" t="s">
        <v>3015</v>
      </c>
      <c r="J2258" s="1">
        <v>45292</v>
      </c>
      <c r="K2258">
        <v>150498000</v>
      </c>
    </row>
    <row r="2259" spans="5:11" x14ac:dyDescent="0.25">
      <c r="E2259" t="s">
        <v>4437</v>
      </c>
      <c r="F2259">
        <v>1369290</v>
      </c>
      <c r="G2259" s="1">
        <v>45382</v>
      </c>
      <c r="H2259" t="s">
        <v>4438</v>
      </c>
      <c r="I2259" t="s">
        <v>24</v>
      </c>
      <c r="J2259" s="1">
        <v>45292</v>
      </c>
      <c r="K2259">
        <v>-3835632</v>
      </c>
    </row>
    <row r="2260" spans="5:11" x14ac:dyDescent="0.25">
      <c r="E2260" t="s">
        <v>4439</v>
      </c>
      <c r="F2260">
        <v>1369568</v>
      </c>
      <c r="G2260" s="1">
        <v>45382</v>
      </c>
      <c r="H2260" t="s">
        <v>4440</v>
      </c>
      <c r="I2260" t="s">
        <v>33</v>
      </c>
      <c r="J2260" s="1">
        <v>45292</v>
      </c>
      <c r="K2260">
        <v>23275000</v>
      </c>
    </row>
    <row r="2261" spans="5:11" x14ac:dyDescent="0.25">
      <c r="E2261" t="s">
        <v>4441</v>
      </c>
      <c r="F2261">
        <v>1370053</v>
      </c>
      <c r="G2261" s="1">
        <v>45382</v>
      </c>
      <c r="H2261" t="s">
        <v>4442</v>
      </c>
      <c r="I2261" t="s">
        <v>36</v>
      </c>
      <c r="J2261" s="1">
        <v>45292</v>
      </c>
      <c r="K2261">
        <v>-43936000</v>
      </c>
    </row>
    <row r="2262" spans="5:11" x14ac:dyDescent="0.25">
      <c r="E2262" t="s">
        <v>10456</v>
      </c>
      <c r="F2262">
        <v>1370450</v>
      </c>
      <c r="G2262" s="1">
        <v>45380</v>
      </c>
      <c r="H2262" t="s">
        <v>4443</v>
      </c>
      <c r="I2262" t="s">
        <v>36</v>
      </c>
      <c r="J2262" s="1">
        <v>45290</v>
      </c>
      <c r="K2262">
        <v>2942000</v>
      </c>
    </row>
    <row r="2263" spans="5:11" x14ac:dyDescent="0.25">
      <c r="E2263" t="s">
        <v>4444</v>
      </c>
      <c r="F2263">
        <v>1370637</v>
      </c>
      <c r="G2263" s="1">
        <v>45382</v>
      </c>
      <c r="H2263" t="s">
        <v>4445</v>
      </c>
      <c r="I2263" t="s">
        <v>57</v>
      </c>
      <c r="J2263" s="1">
        <v>45292</v>
      </c>
      <c r="K2263">
        <v>63004000</v>
      </c>
    </row>
    <row r="2264" spans="5:11" x14ac:dyDescent="0.25">
      <c r="E2264" t="s">
        <v>4446</v>
      </c>
      <c r="F2264">
        <v>1370755</v>
      </c>
      <c r="G2264" s="1">
        <v>45382</v>
      </c>
      <c r="H2264" t="s">
        <v>4447</v>
      </c>
      <c r="I2264" t="s">
        <v>36</v>
      </c>
      <c r="J2264" s="1">
        <v>45292</v>
      </c>
      <c r="K2264">
        <v>5057141</v>
      </c>
    </row>
    <row r="2265" spans="5:11" x14ac:dyDescent="0.25">
      <c r="E2265" t="s">
        <v>4448</v>
      </c>
      <c r="F2265">
        <v>1370946</v>
      </c>
      <c r="G2265" s="1">
        <v>45382</v>
      </c>
      <c r="H2265" t="s">
        <v>4449</v>
      </c>
      <c r="I2265" t="s">
        <v>60</v>
      </c>
      <c r="J2265" s="1">
        <v>45292</v>
      </c>
      <c r="K2265">
        <v>299000000</v>
      </c>
    </row>
    <row r="2266" spans="5:11" x14ac:dyDescent="0.25">
      <c r="E2266" t="s">
        <v>4450</v>
      </c>
      <c r="F2266">
        <v>1371128</v>
      </c>
      <c r="G2266" s="1">
        <v>45382</v>
      </c>
      <c r="H2266" t="s">
        <v>4451</v>
      </c>
      <c r="I2266" t="s">
        <v>36</v>
      </c>
      <c r="J2266" s="1">
        <v>45292</v>
      </c>
      <c r="K2266">
        <v>-471004</v>
      </c>
    </row>
    <row r="2267" spans="5:11" x14ac:dyDescent="0.25">
      <c r="E2267" t="s">
        <v>4452</v>
      </c>
      <c r="F2267">
        <v>1371451</v>
      </c>
      <c r="G2267" s="1">
        <v>45412</v>
      </c>
      <c r="H2267" t="s">
        <v>4453</v>
      </c>
      <c r="I2267" t="s">
        <v>213</v>
      </c>
      <c r="J2267" s="1">
        <v>45323</v>
      </c>
      <c r="K2267">
        <v>-1599187</v>
      </c>
    </row>
    <row r="2268" spans="5:11" x14ac:dyDescent="0.25">
      <c r="E2268" t="s">
        <v>4454</v>
      </c>
      <c r="F2268">
        <v>1371489</v>
      </c>
      <c r="G2268" s="1">
        <v>45382</v>
      </c>
      <c r="H2268" t="s">
        <v>4455</v>
      </c>
      <c r="I2268" t="s">
        <v>27</v>
      </c>
      <c r="J2268" s="1">
        <v>45292</v>
      </c>
      <c r="K2268">
        <v>-3389000</v>
      </c>
    </row>
    <row r="2269" spans="5:11" x14ac:dyDescent="0.25">
      <c r="E2269" t="s">
        <v>4456</v>
      </c>
      <c r="F2269">
        <v>1372020</v>
      </c>
      <c r="G2269" s="1">
        <v>45382</v>
      </c>
      <c r="H2269" t="s">
        <v>4457</v>
      </c>
      <c r="I2269" t="s">
        <v>30</v>
      </c>
      <c r="J2269" s="1">
        <v>45292</v>
      </c>
      <c r="K2269">
        <v>21024000</v>
      </c>
    </row>
    <row r="2270" spans="5:11" x14ac:dyDescent="0.25">
      <c r="E2270" t="s">
        <v>4458</v>
      </c>
      <c r="F2270">
        <v>1372299</v>
      </c>
      <c r="G2270" s="1">
        <v>45382</v>
      </c>
      <c r="H2270" t="s">
        <v>4459</v>
      </c>
      <c r="I2270" t="s">
        <v>39</v>
      </c>
      <c r="J2270" s="1">
        <v>45292</v>
      </c>
      <c r="K2270">
        <v>-11924000</v>
      </c>
    </row>
    <row r="2271" spans="5:11" x14ac:dyDescent="0.25">
      <c r="E2271" t="s">
        <v>4460</v>
      </c>
      <c r="F2271">
        <v>1372514</v>
      </c>
      <c r="G2271" s="1">
        <v>45382</v>
      </c>
      <c r="H2271" t="s">
        <v>4461</v>
      </c>
      <c r="I2271" t="s">
        <v>36</v>
      </c>
      <c r="J2271" s="1">
        <v>45292</v>
      </c>
      <c r="K2271">
        <v>13453207</v>
      </c>
    </row>
    <row r="2272" spans="5:11" x14ac:dyDescent="0.25">
      <c r="E2272" t="s">
        <v>4462</v>
      </c>
      <c r="F2272">
        <v>1372612</v>
      </c>
      <c r="G2272" s="1">
        <v>45412</v>
      </c>
      <c r="H2272" t="s">
        <v>4463</v>
      </c>
      <c r="I2272" t="s">
        <v>36</v>
      </c>
      <c r="J2272" s="1">
        <v>45323</v>
      </c>
      <c r="K2272">
        <v>17222000</v>
      </c>
    </row>
    <row r="2273" spans="5:11" x14ac:dyDescent="0.25">
      <c r="E2273" t="s">
        <v>4464</v>
      </c>
      <c r="F2273">
        <v>1372807</v>
      </c>
      <c r="G2273" s="1">
        <v>45382</v>
      </c>
      <c r="H2273" t="s">
        <v>4465</v>
      </c>
      <c r="I2273" t="s">
        <v>57</v>
      </c>
      <c r="J2273" s="1">
        <v>45292</v>
      </c>
      <c r="K2273">
        <v>4486000</v>
      </c>
    </row>
    <row r="2274" spans="5:11" x14ac:dyDescent="0.25">
      <c r="E2274" t="s">
        <v>4466</v>
      </c>
      <c r="F2274">
        <v>1373670</v>
      </c>
      <c r="G2274" s="1">
        <v>45382</v>
      </c>
      <c r="H2274" t="s">
        <v>4467</v>
      </c>
      <c r="I2274" t="s">
        <v>30</v>
      </c>
      <c r="J2274" s="1">
        <v>45292</v>
      </c>
      <c r="K2274">
        <v>83301000</v>
      </c>
    </row>
    <row r="2275" spans="5:11" x14ac:dyDescent="0.25">
      <c r="E2275" t="s">
        <v>4468</v>
      </c>
      <c r="F2275">
        <v>1373715</v>
      </c>
      <c r="G2275" s="1">
        <v>45382</v>
      </c>
      <c r="H2275" t="s">
        <v>4469</v>
      </c>
      <c r="I2275" t="s">
        <v>36</v>
      </c>
      <c r="J2275" s="1">
        <v>45292</v>
      </c>
      <c r="K2275">
        <v>347000000</v>
      </c>
    </row>
    <row r="2276" spans="5:11" x14ac:dyDescent="0.25">
      <c r="E2276" t="s">
        <v>4470</v>
      </c>
      <c r="F2276">
        <v>1374328</v>
      </c>
      <c r="G2276" s="1">
        <v>45382</v>
      </c>
      <c r="H2276" t="s">
        <v>4471</v>
      </c>
      <c r="I2276" t="s">
        <v>763</v>
      </c>
      <c r="J2276" s="1">
        <v>45292</v>
      </c>
      <c r="K2276">
        <v>2160000</v>
      </c>
    </row>
    <row r="2277" spans="5:11" x14ac:dyDescent="0.25">
      <c r="E2277" t="s">
        <v>4472</v>
      </c>
      <c r="F2277">
        <v>1374339</v>
      </c>
      <c r="G2277" s="1">
        <v>45382</v>
      </c>
      <c r="H2277" t="s">
        <v>4473</v>
      </c>
      <c r="I2277" t="s">
        <v>912</v>
      </c>
      <c r="J2277" s="1">
        <v>45292</v>
      </c>
      <c r="K2277">
        <v>-3635088</v>
      </c>
    </row>
    <row r="2278" spans="5:11" x14ac:dyDescent="0.25">
      <c r="E2278" t="s">
        <v>4474</v>
      </c>
      <c r="F2278">
        <v>1374567</v>
      </c>
      <c r="G2278" s="1">
        <v>45382</v>
      </c>
      <c r="H2278" t="s">
        <v>4475</v>
      </c>
      <c r="I2278" t="s">
        <v>64</v>
      </c>
      <c r="J2278" s="1">
        <v>45292</v>
      </c>
      <c r="K2278">
        <v>-94000</v>
      </c>
    </row>
    <row r="2279" spans="5:11" x14ac:dyDescent="0.25">
      <c r="E2279" t="s">
        <v>10457</v>
      </c>
      <c r="F2279">
        <v>1374690</v>
      </c>
      <c r="G2279" s="1">
        <v>45382</v>
      </c>
      <c r="H2279" t="s">
        <v>4476</v>
      </c>
      <c r="I2279" t="s">
        <v>39</v>
      </c>
      <c r="J2279" s="1">
        <v>45292</v>
      </c>
      <c r="K2279">
        <v>-14654000</v>
      </c>
    </row>
    <row r="2280" spans="5:11" x14ac:dyDescent="0.25">
      <c r="E2280" t="s">
        <v>4477</v>
      </c>
      <c r="F2280">
        <v>1374881</v>
      </c>
      <c r="G2280" s="1">
        <v>45382</v>
      </c>
      <c r="H2280" t="s">
        <v>4478</v>
      </c>
      <c r="I2280" t="s">
        <v>33</v>
      </c>
      <c r="J2280" s="1">
        <v>45292</v>
      </c>
      <c r="K2280">
        <v>-41439</v>
      </c>
    </row>
    <row r="2281" spans="5:11" x14ac:dyDescent="0.25">
      <c r="E2281" t="s">
        <v>4479</v>
      </c>
      <c r="F2281">
        <v>1375195</v>
      </c>
      <c r="G2281" s="1">
        <v>45382</v>
      </c>
      <c r="H2281" t="s">
        <v>4480</v>
      </c>
      <c r="I2281" t="s">
        <v>329</v>
      </c>
      <c r="J2281" s="1">
        <v>45292</v>
      </c>
      <c r="K2281">
        <v>-524223</v>
      </c>
    </row>
    <row r="2282" spans="5:11" x14ac:dyDescent="0.25">
      <c r="E2282" t="s">
        <v>4481</v>
      </c>
      <c r="F2282">
        <v>1375205</v>
      </c>
      <c r="G2282" s="1">
        <v>45382</v>
      </c>
      <c r="H2282" t="s">
        <v>4482</v>
      </c>
      <c r="I2282" t="s">
        <v>92</v>
      </c>
      <c r="J2282" s="1">
        <v>45292</v>
      </c>
      <c r="K2282">
        <v>-18541000</v>
      </c>
    </row>
    <row r="2283" spans="5:11" x14ac:dyDescent="0.25">
      <c r="E2283" t="s">
        <v>4483</v>
      </c>
      <c r="F2283">
        <v>1375348</v>
      </c>
      <c r="G2283" s="1">
        <v>45382</v>
      </c>
      <c r="H2283" t="s">
        <v>4484</v>
      </c>
      <c r="I2283" t="s">
        <v>142</v>
      </c>
      <c r="J2283" s="1">
        <v>45292</v>
      </c>
      <c r="K2283">
        <v>-10002</v>
      </c>
    </row>
    <row r="2284" spans="5:11" x14ac:dyDescent="0.25">
      <c r="E2284" t="s">
        <v>4485</v>
      </c>
      <c r="F2284">
        <v>1375365</v>
      </c>
      <c r="G2284" s="1">
        <v>45382</v>
      </c>
      <c r="H2284" t="s">
        <v>4486</v>
      </c>
      <c r="I2284" t="s">
        <v>36</v>
      </c>
      <c r="J2284" s="1">
        <v>45292</v>
      </c>
      <c r="K2284">
        <v>402459000</v>
      </c>
    </row>
    <row r="2285" spans="5:11" x14ac:dyDescent="0.25">
      <c r="E2285" t="s">
        <v>4487</v>
      </c>
      <c r="F2285">
        <v>1375793</v>
      </c>
      <c r="G2285" s="1">
        <v>45382</v>
      </c>
      <c r="H2285" t="s">
        <v>4488</v>
      </c>
      <c r="I2285" t="s">
        <v>36</v>
      </c>
      <c r="J2285" s="1">
        <v>45292</v>
      </c>
      <c r="K2285">
        <v>-251145</v>
      </c>
    </row>
    <row r="2286" spans="5:11" x14ac:dyDescent="0.25">
      <c r="E2286" t="s">
        <v>4489</v>
      </c>
      <c r="F2286">
        <v>1376139</v>
      </c>
      <c r="G2286" s="1">
        <v>45382</v>
      </c>
      <c r="H2286" t="s">
        <v>4490</v>
      </c>
      <c r="I2286" t="s">
        <v>30</v>
      </c>
      <c r="J2286" s="1">
        <v>45292</v>
      </c>
      <c r="K2286">
        <v>82000000</v>
      </c>
    </row>
    <row r="2287" spans="5:11" x14ac:dyDescent="0.25">
      <c r="E2287" t="s">
        <v>4491</v>
      </c>
      <c r="F2287">
        <v>1376227</v>
      </c>
      <c r="G2287" s="1">
        <v>45382</v>
      </c>
      <c r="H2287" t="s">
        <v>4492</v>
      </c>
      <c r="I2287" t="s">
        <v>36</v>
      </c>
      <c r="J2287" s="1">
        <v>45292</v>
      </c>
      <c r="K2287">
        <v>-164571369</v>
      </c>
    </row>
    <row r="2288" spans="5:11" x14ac:dyDescent="0.25">
      <c r="E2288" t="s">
        <v>4493</v>
      </c>
      <c r="F2288">
        <v>1376231</v>
      </c>
      <c r="G2288" s="1">
        <v>45382</v>
      </c>
      <c r="H2288" t="s">
        <v>4494</v>
      </c>
      <c r="I2288" t="s">
        <v>33</v>
      </c>
      <c r="J2288" s="1">
        <v>45292</v>
      </c>
      <c r="K2288">
        <v>203059</v>
      </c>
    </row>
    <row r="2289" spans="5:11" x14ac:dyDescent="0.25">
      <c r="E2289" t="s">
        <v>4495</v>
      </c>
      <c r="F2289">
        <v>1376339</v>
      </c>
      <c r="G2289" s="1">
        <v>45382</v>
      </c>
      <c r="H2289" t="s">
        <v>4496</v>
      </c>
      <c r="I2289" t="s">
        <v>64</v>
      </c>
      <c r="J2289" s="1">
        <v>45292</v>
      </c>
      <c r="K2289">
        <v>9261000</v>
      </c>
    </row>
    <row r="2290" spans="5:11" x14ac:dyDescent="0.25">
      <c r="E2290" t="s">
        <v>4497</v>
      </c>
      <c r="F2290">
        <v>1376793</v>
      </c>
      <c r="G2290" s="1">
        <v>45382</v>
      </c>
      <c r="H2290" t="s">
        <v>4498</v>
      </c>
      <c r="I2290" t="s">
        <v>36</v>
      </c>
      <c r="J2290" s="1">
        <v>45292</v>
      </c>
      <c r="K2290">
        <v>331000</v>
      </c>
    </row>
    <row r="2291" spans="5:11" x14ac:dyDescent="0.25">
      <c r="E2291" t="s">
        <v>4499</v>
      </c>
      <c r="F2291">
        <v>1376804</v>
      </c>
      <c r="G2291" s="1">
        <v>45382</v>
      </c>
      <c r="H2291" t="s">
        <v>4500</v>
      </c>
      <c r="I2291" t="s">
        <v>57</v>
      </c>
      <c r="J2291" s="1">
        <v>45292</v>
      </c>
      <c r="K2291">
        <v>-181190</v>
      </c>
    </row>
    <row r="2292" spans="5:11" x14ac:dyDescent="0.25">
      <c r="E2292" t="s">
        <v>4501</v>
      </c>
      <c r="F2292">
        <v>1376986</v>
      </c>
      <c r="G2292" s="1">
        <v>45382</v>
      </c>
      <c r="H2292" t="s">
        <v>4502</v>
      </c>
      <c r="I2292" t="s">
        <v>69</v>
      </c>
      <c r="J2292" s="1">
        <v>45292</v>
      </c>
      <c r="K2292">
        <v>307000000</v>
      </c>
    </row>
    <row r="2293" spans="5:11" x14ac:dyDescent="0.25">
      <c r="E2293" t="s">
        <v>4503</v>
      </c>
      <c r="F2293">
        <v>1377121</v>
      </c>
      <c r="G2293" s="1">
        <v>45382</v>
      </c>
      <c r="H2293" t="s">
        <v>4504</v>
      </c>
      <c r="I2293" t="s">
        <v>36</v>
      </c>
      <c r="J2293" s="1">
        <v>45292</v>
      </c>
      <c r="K2293">
        <v>207340000</v>
      </c>
    </row>
    <row r="2294" spans="5:11" x14ac:dyDescent="0.25">
      <c r="E2294" t="s">
        <v>4505</v>
      </c>
      <c r="F2294">
        <v>1377149</v>
      </c>
      <c r="G2294" s="1">
        <v>45382</v>
      </c>
      <c r="H2294" t="s">
        <v>4506</v>
      </c>
      <c r="I2294" t="s">
        <v>30</v>
      </c>
      <c r="J2294" s="1">
        <v>45292</v>
      </c>
      <c r="K2294">
        <v>-1022226</v>
      </c>
    </row>
    <row r="2295" spans="5:11" x14ac:dyDescent="0.25">
      <c r="E2295" t="s">
        <v>4507</v>
      </c>
      <c r="F2295">
        <v>1377178</v>
      </c>
      <c r="G2295" s="1">
        <v>45382</v>
      </c>
      <c r="H2295" t="s">
        <v>4508</v>
      </c>
      <c r="I2295" t="s">
        <v>46</v>
      </c>
      <c r="J2295" s="1">
        <v>45292</v>
      </c>
      <c r="K2295">
        <v>405000</v>
      </c>
    </row>
    <row r="2296" spans="5:11" x14ac:dyDescent="0.25">
      <c r="E2296" t="s">
        <v>4509</v>
      </c>
      <c r="F2296">
        <v>1377630</v>
      </c>
      <c r="G2296" s="1">
        <v>45379</v>
      </c>
      <c r="H2296" t="s">
        <v>4510</v>
      </c>
      <c r="I2296" t="s">
        <v>92</v>
      </c>
      <c r="J2296" s="1">
        <v>45289</v>
      </c>
      <c r="K2296">
        <v>-34700000</v>
      </c>
    </row>
    <row r="2297" spans="5:11" x14ac:dyDescent="0.25">
      <c r="E2297" t="s">
        <v>4511</v>
      </c>
      <c r="F2297">
        <v>1377789</v>
      </c>
      <c r="G2297" s="1">
        <v>45380</v>
      </c>
      <c r="H2297" t="s">
        <v>4512</v>
      </c>
      <c r="I2297" t="s">
        <v>30</v>
      </c>
      <c r="J2297" s="1">
        <v>45290</v>
      </c>
      <c r="K2297">
        <v>3418000</v>
      </c>
    </row>
    <row r="2298" spans="5:11" x14ac:dyDescent="0.25">
      <c r="E2298" t="s">
        <v>4513</v>
      </c>
      <c r="F2298">
        <v>1378590</v>
      </c>
      <c r="G2298" s="1">
        <v>45382</v>
      </c>
      <c r="H2298" t="s">
        <v>4514</v>
      </c>
      <c r="I2298" t="s">
        <v>24</v>
      </c>
      <c r="J2298" s="1">
        <v>45292</v>
      </c>
      <c r="K2298">
        <v>-602000</v>
      </c>
    </row>
    <row r="2299" spans="5:11" x14ac:dyDescent="0.25">
      <c r="E2299" t="s">
        <v>10458</v>
      </c>
      <c r="F2299">
        <v>1378950</v>
      </c>
      <c r="G2299" s="1">
        <v>45381</v>
      </c>
      <c r="H2299" t="s">
        <v>4515</v>
      </c>
      <c r="I2299" t="s">
        <v>36</v>
      </c>
      <c r="J2299" s="1">
        <v>45291</v>
      </c>
      <c r="K2299">
        <v>-6478000</v>
      </c>
    </row>
    <row r="2300" spans="5:11" x14ac:dyDescent="0.25">
      <c r="E2300" t="s">
        <v>4516</v>
      </c>
      <c r="F2300">
        <v>1378992</v>
      </c>
      <c r="G2300" s="1">
        <v>45381</v>
      </c>
      <c r="H2300" t="s">
        <v>4517</v>
      </c>
      <c r="I2300" t="s">
        <v>288</v>
      </c>
      <c r="J2300" s="1">
        <v>45291</v>
      </c>
      <c r="K2300">
        <v>116000000</v>
      </c>
    </row>
    <row r="2301" spans="5:11" x14ac:dyDescent="0.25">
      <c r="E2301" t="s">
        <v>4518</v>
      </c>
      <c r="F2301">
        <v>1379006</v>
      </c>
      <c r="G2301" s="1">
        <v>45382</v>
      </c>
      <c r="H2301" t="s">
        <v>4519</v>
      </c>
      <c r="I2301" t="s">
        <v>27</v>
      </c>
      <c r="J2301" s="1">
        <v>45292</v>
      </c>
      <c r="K2301">
        <v>-1854476</v>
      </c>
    </row>
    <row r="2302" spans="5:11" x14ac:dyDescent="0.25">
      <c r="E2302" t="s">
        <v>4520</v>
      </c>
      <c r="F2302">
        <v>1379041</v>
      </c>
      <c r="G2302" s="1">
        <v>45382</v>
      </c>
      <c r="H2302" t="s">
        <v>4521</v>
      </c>
      <c r="I2302" t="s">
        <v>142</v>
      </c>
      <c r="J2302" s="1">
        <v>45292</v>
      </c>
      <c r="K2302">
        <v>28300000</v>
      </c>
    </row>
    <row r="2303" spans="5:11" x14ac:dyDescent="0.25">
      <c r="E2303" t="s">
        <v>4522</v>
      </c>
      <c r="F2303">
        <v>1379785</v>
      </c>
      <c r="G2303" s="1">
        <v>45382</v>
      </c>
      <c r="H2303" t="s">
        <v>4523</v>
      </c>
      <c r="I2303" t="s">
        <v>172</v>
      </c>
      <c r="J2303" s="1">
        <v>45292</v>
      </c>
      <c r="K2303">
        <v>44001000</v>
      </c>
    </row>
    <row r="2304" spans="5:11" x14ac:dyDescent="0.25">
      <c r="E2304" t="s">
        <v>4524</v>
      </c>
      <c r="F2304">
        <v>1380106</v>
      </c>
      <c r="G2304" s="1">
        <v>45382</v>
      </c>
      <c r="H2304" t="s">
        <v>4525</v>
      </c>
      <c r="I2304" t="s">
        <v>24</v>
      </c>
      <c r="J2304" s="1">
        <v>45292</v>
      </c>
      <c r="K2304">
        <v>-13322000</v>
      </c>
    </row>
    <row r="2305" spans="5:11" x14ac:dyDescent="0.25">
      <c r="E2305" t="s">
        <v>4526</v>
      </c>
      <c r="F2305">
        <v>1381531</v>
      </c>
      <c r="G2305" s="1">
        <v>45382</v>
      </c>
      <c r="H2305" t="s">
        <v>4527</v>
      </c>
      <c r="I2305" t="s">
        <v>686</v>
      </c>
      <c r="J2305" s="1">
        <v>45292</v>
      </c>
      <c r="K2305">
        <v>0</v>
      </c>
    </row>
    <row r="2306" spans="5:11" x14ac:dyDescent="0.25">
      <c r="E2306" t="s">
        <v>4528</v>
      </c>
      <c r="F2306">
        <v>1381668</v>
      </c>
      <c r="G2306" s="1">
        <v>45382</v>
      </c>
      <c r="H2306" t="s">
        <v>4529</v>
      </c>
      <c r="I2306" t="s">
        <v>60</v>
      </c>
      <c r="J2306" s="1">
        <v>45292</v>
      </c>
      <c r="K2306">
        <v>20713000</v>
      </c>
    </row>
    <row r="2307" spans="5:11" x14ac:dyDescent="0.25">
      <c r="E2307" t="s">
        <v>10459</v>
      </c>
      <c r="F2307">
        <v>1381871</v>
      </c>
      <c r="G2307" s="1">
        <v>45382</v>
      </c>
      <c r="H2307" t="s">
        <v>10460</v>
      </c>
      <c r="I2307" t="s">
        <v>57</v>
      </c>
      <c r="J2307" s="1">
        <v>45292</v>
      </c>
      <c r="K2307">
        <v>-551875</v>
      </c>
    </row>
    <row r="2308" spans="5:11" x14ac:dyDescent="0.25">
      <c r="E2308" t="s">
        <v>4530</v>
      </c>
      <c r="F2308">
        <v>1382101</v>
      </c>
      <c r="G2308" s="1">
        <v>45382</v>
      </c>
      <c r="H2308" t="s">
        <v>4531</v>
      </c>
      <c r="I2308" t="s">
        <v>36</v>
      </c>
      <c r="J2308" s="1">
        <v>45292</v>
      </c>
      <c r="K2308">
        <v>-58213000</v>
      </c>
    </row>
    <row r="2309" spans="5:11" x14ac:dyDescent="0.25">
      <c r="E2309" t="s">
        <v>4532</v>
      </c>
      <c r="F2309">
        <v>1382230</v>
      </c>
      <c r="G2309" s="1">
        <v>45382</v>
      </c>
      <c r="H2309" t="s">
        <v>4533</v>
      </c>
      <c r="I2309" t="s">
        <v>39</v>
      </c>
      <c r="J2309" s="1">
        <v>45292</v>
      </c>
      <c r="K2309">
        <v>4562000</v>
      </c>
    </row>
    <row r="2310" spans="5:11" x14ac:dyDescent="0.25">
      <c r="E2310" t="s">
        <v>4534</v>
      </c>
      <c r="F2310">
        <v>1382574</v>
      </c>
      <c r="G2310" s="1">
        <v>45382</v>
      </c>
      <c r="H2310" t="s">
        <v>4535</v>
      </c>
      <c r="I2310" t="s">
        <v>33</v>
      </c>
      <c r="J2310" s="1">
        <v>45292</v>
      </c>
      <c r="K2310">
        <v>21246033</v>
      </c>
    </row>
    <row r="2311" spans="5:11" x14ac:dyDescent="0.25">
      <c r="E2311" t="s">
        <v>4536</v>
      </c>
      <c r="F2311">
        <v>1382821</v>
      </c>
      <c r="G2311" s="1">
        <v>45382</v>
      </c>
      <c r="H2311" t="s">
        <v>4537</v>
      </c>
      <c r="I2311" t="s">
        <v>504</v>
      </c>
      <c r="J2311" s="1">
        <v>45292</v>
      </c>
      <c r="K2311">
        <v>-66774000</v>
      </c>
    </row>
    <row r="2312" spans="5:11" x14ac:dyDescent="0.25">
      <c r="E2312" t="s">
        <v>4538</v>
      </c>
      <c r="F2312">
        <v>1383057</v>
      </c>
      <c r="G2312" s="1">
        <v>45382</v>
      </c>
      <c r="H2312" t="s">
        <v>4539</v>
      </c>
      <c r="I2312" t="s">
        <v>19</v>
      </c>
      <c r="J2312" s="1">
        <v>45292</v>
      </c>
      <c r="K2312">
        <v>9084388</v>
      </c>
    </row>
    <row r="2313" spans="5:11" x14ac:dyDescent="0.25">
      <c r="E2313" t="s">
        <v>4540</v>
      </c>
      <c r="F2313">
        <v>1383058</v>
      </c>
      <c r="G2313" s="1">
        <v>45382</v>
      </c>
      <c r="H2313" t="s">
        <v>4541</v>
      </c>
      <c r="I2313" t="s">
        <v>19</v>
      </c>
      <c r="J2313" s="1">
        <v>45292</v>
      </c>
      <c r="K2313">
        <v>26823426</v>
      </c>
    </row>
    <row r="2314" spans="5:11" x14ac:dyDescent="0.25">
      <c r="E2314" t="s">
        <v>4542</v>
      </c>
      <c r="F2314">
        <v>1383062</v>
      </c>
      <c r="G2314" s="1">
        <v>45382</v>
      </c>
      <c r="H2314" t="s">
        <v>4543</v>
      </c>
      <c r="I2314" t="s">
        <v>19</v>
      </c>
      <c r="J2314" s="1">
        <v>45292</v>
      </c>
      <c r="K2314">
        <v>6733618</v>
      </c>
    </row>
    <row r="2315" spans="5:11" x14ac:dyDescent="0.25">
      <c r="E2315" t="s">
        <v>4544</v>
      </c>
      <c r="F2315">
        <v>1383082</v>
      </c>
      <c r="G2315" s="1">
        <v>45382</v>
      </c>
      <c r="H2315" t="s">
        <v>4545</v>
      </c>
      <c r="I2315" t="s">
        <v>19</v>
      </c>
      <c r="J2315" s="1">
        <v>45292</v>
      </c>
      <c r="K2315">
        <v>129013749</v>
      </c>
    </row>
    <row r="2316" spans="5:11" x14ac:dyDescent="0.25">
      <c r="E2316" t="s">
        <v>4546</v>
      </c>
      <c r="F2316">
        <v>1383084</v>
      </c>
      <c r="G2316" s="1">
        <v>45382</v>
      </c>
      <c r="H2316" t="s">
        <v>4547</v>
      </c>
      <c r="I2316" t="s">
        <v>19</v>
      </c>
      <c r="J2316" s="1">
        <v>45292</v>
      </c>
      <c r="K2316">
        <v>-2247127</v>
      </c>
    </row>
    <row r="2317" spans="5:11" x14ac:dyDescent="0.25">
      <c r="E2317" t="s">
        <v>4548</v>
      </c>
      <c r="F2317">
        <v>1383088</v>
      </c>
      <c r="G2317" s="1">
        <v>45382</v>
      </c>
      <c r="H2317" t="s">
        <v>4549</v>
      </c>
      <c r="I2317" t="s">
        <v>142</v>
      </c>
      <c r="J2317" s="1">
        <v>45292</v>
      </c>
      <c r="K2317">
        <v>-988541</v>
      </c>
    </row>
    <row r="2318" spans="5:11" x14ac:dyDescent="0.25">
      <c r="E2318" t="s">
        <v>4550</v>
      </c>
      <c r="F2318">
        <v>1383149</v>
      </c>
      <c r="G2318" s="1">
        <v>45382</v>
      </c>
      <c r="H2318" t="s">
        <v>4551</v>
      </c>
      <c r="I2318" t="s">
        <v>19</v>
      </c>
      <c r="J2318" s="1">
        <v>45292</v>
      </c>
      <c r="K2318">
        <v>-1540016</v>
      </c>
    </row>
    <row r="2319" spans="5:11" x14ac:dyDescent="0.25">
      <c r="E2319" t="s">
        <v>4552</v>
      </c>
      <c r="F2319">
        <v>1383151</v>
      </c>
      <c r="G2319" s="1">
        <v>45382</v>
      </c>
      <c r="H2319" t="s">
        <v>4553</v>
      </c>
      <c r="I2319" t="s">
        <v>19</v>
      </c>
      <c r="J2319" s="1">
        <v>45292</v>
      </c>
      <c r="K2319">
        <v>16545439</v>
      </c>
    </row>
    <row r="2320" spans="5:11" x14ac:dyDescent="0.25">
      <c r="E2320" t="s">
        <v>4554</v>
      </c>
      <c r="F2320">
        <v>1383312</v>
      </c>
      <c r="G2320" s="1">
        <v>45382</v>
      </c>
      <c r="H2320" t="s">
        <v>4555</v>
      </c>
      <c r="I2320" t="s">
        <v>57</v>
      </c>
      <c r="J2320" s="1">
        <v>45292</v>
      </c>
      <c r="K2320">
        <v>213700000</v>
      </c>
    </row>
    <row r="2321" spans="5:11" x14ac:dyDescent="0.25">
      <c r="E2321" t="s">
        <v>4556</v>
      </c>
      <c r="F2321">
        <v>1383414</v>
      </c>
      <c r="G2321" s="1">
        <v>45382</v>
      </c>
      <c r="H2321" t="s">
        <v>4557</v>
      </c>
      <c r="I2321" t="s">
        <v>33</v>
      </c>
      <c r="J2321" s="1">
        <v>45292</v>
      </c>
      <c r="K2321">
        <v>16085000</v>
      </c>
    </row>
    <row r="2322" spans="5:11" x14ac:dyDescent="0.25">
      <c r="E2322" t="s">
        <v>10461</v>
      </c>
      <c r="F2322">
        <v>1383650</v>
      </c>
      <c r="G2322" s="1">
        <v>45382</v>
      </c>
      <c r="H2322" t="s">
        <v>4558</v>
      </c>
      <c r="I2322" t="s">
        <v>30</v>
      </c>
      <c r="J2322" s="1">
        <v>45292</v>
      </c>
      <c r="K2322">
        <v>682000000</v>
      </c>
    </row>
    <row r="2323" spans="5:11" x14ac:dyDescent="0.25">
      <c r="E2323" t="s">
        <v>4559</v>
      </c>
      <c r="F2323">
        <v>1384101</v>
      </c>
      <c r="G2323" s="1">
        <v>45382</v>
      </c>
      <c r="H2323" t="s">
        <v>4560</v>
      </c>
      <c r="I2323" t="s">
        <v>36</v>
      </c>
      <c r="J2323" s="1">
        <v>45292</v>
      </c>
      <c r="K2323">
        <v>-1864000</v>
      </c>
    </row>
    <row r="2324" spans="5:11" x14ac:dyDescent="0.25">
      <c r="E2324" t="s">
        <v>4561</v>
      </c>
      <c r="F2324">
        <v>1384195</v>
      </c>
      <c r="G2324" s="1">
        <v>45382</v>
      </c>
      <c r="H2324" t="s">
        <v>4562</v>
      </c>
      <c r="I2324" t="s">
        <v>30</v>
      </c>
      <c r="J2324" s="1">
        <v>45292</v>
      </c>
      <c r="K2324">
        <v>5515377</v>
      </c>
    </row>
    <row r="2325" spans="5:11" x14ac:dyDescent="0.25">
      <c r="E2325" t="s">
        <v>4563</v>
      </c>
      <c r="F2325">
        <v>1384905</v>
      </c>
      <c r="G2325" s="1">
        <v>45382</v>
      </c>
      <c r="H2325" t="s">
        <v>4564</v>
      </c>
      <c r="I2325" t="s">
        <v>36</v>
      </c>
      <c r="J2325" s="1">
        <v>45292</v>
      </c>
      <c r="K2325">
        <v>-28494000</v>
      </c>
    </row>
    <row r="2326" spans="5:11" x14ac:dyDescent="0.25">
      <c r="E2326" t="s">
        <v>4565</v>
      </c>
      <c r="F2326">
        <v>1385157</v>
      </c>
      <c r="G2326" s="1">
        <v>45380</v>
      </c>
      <c r="H2326" t="s">
        <v>4566</v>
      </c>
      <c r="I2326" t="s">
        <v>2162</v>
      </c>
      <c r="J2326" s="1">
        <v>45290</v>
      </c>
      <c r="K2326">
        <v>541000000</v>
      </c>
    </row>
    <row r="2327" spans="5:11" x14ac:dyDescent="0.25">
      <c r="E2327" t="s">
        <v>4567</v>
      </c>
      <c r="F2327">
        <v>1385280</v>
      </c>
      <c r="G2327" s="1">
        <v>45382</v>
      </c>
      <c r="H2327" t="s">
        <v>4568</v>
      </c>
      <c r="I2327" t="s">
        <v>30</v>
      </c>
      <c r="J2327" s="1">
        <v>45292</v>
      </c>
      <c r="K2327">
        <v>24800000</v>
      </c>
    </row>
    <row r="2328" spans="5:11" x14ac:dyDescent="0.25">
      <c r="E2328" t="s">
        <v>4569</v>
      </c>
      <c r="F2328">
        <v>1385613</v>
      </c>
      <c r="G2328" s="1">
        <v>45382</v>
      </c>
      <c r="H2328" t="s">
        <v>4570</v>
      </c>
      <c r="I2328" t="s">
        <v>2436</v>
      </c>
      <c r="J2328" s="1">
        <v>45292</v>
      </c>
      <c r="K2328">
        <v>27019000</v>
      </c>
    </row>
    <row r="2329" spans="5:11" x14ac:dyDescent="0.25">
      <c r="E2329" t="s">
        <v>4571</v>
      </c>
      <c r="F2329">
        <v>1385662</v>
      </c>
      <c r="G2329" s="1">
        <v>45382</v>
      </c>
      <c r="H2329" t="s">
        <v>4572</v>
      </c>
      <c r="I2329" t="s">
        <v>46</v>
      </c>
      <c r="J2329" s="1">
        <v>45292</v>
      </c>
      <c r="K2329">
        <v>221000</v>
      </c>
    </row>
    <row r="2330" spans="5:11" x14ac:dyDescent="0.25">
      <c r="E2330" t="s">
        <v>4573</v>
      </c>
      <c r="F2330">
        <v>1385818</v>
      </c>
      <c r="G2330" s="1">
        <v>45382</v>
      </c>
      <c r="H2330" t="s">
        <v>4574</v>
      </c>
      <c r="I2330" t="s">
        <v>92</v>
      </c>
      <c r="J2330" s="1">
        <v>45292</v>
      </c>
      <c r="K2330">
        <v>-2887000</v>
      </c>
    </row>
    <row r="2331" spans="5:11" x14ac:dyDescent="0.25">
      <c r="E2331" t="s">
        <v>10462</v>
      </c>
      <c r="F2331">
        <v>1385849</v>
      </c>
      <c r="G2331" s="1">
        <v>45382</v>
      </c>
      <c r="H2331" t="s">
        <v>4575</v>
      </c>
      <c r="I2331" t="s">
        <v>92</v>
      </c>
      <c r="J2331" s="1">
        <v>45292</v>
      </c>
      <c r="K2331">
        <v>3638000</v>
      </c>
    </row>
    <row r="2332" spans="5:11" x14ac:dyDescent="0.25">
      <c r="E2332" t="s">
        <v>4576</v>
      </c>
      <c r="F2332">
        <v>1386044</v>
      </c>
      <c r="G2332" s="1">
        <v>45382</v>
      </c>
      <c r="H2332" t="s">
        <v>4577</v>
      </c>
      <c r="I2332" t="s">
        <v>36</v>
      </c>
      <c r="J2332" s="1">
        <v>45292</v>
      </c>
      <c r="K2332">
        <v>-17435</v>
      </c>
    </row>
    <row r="2333" spans="5:11" x14ac:dyDescent="0.25">
      <c r="E2333" t="s">
        <v>4578</v>
      </c>
      <c r="F2333">
        <v>1386278</v>
      </c>
      <c r="G2333" s="1">
        <v>45382</v>
      </c>
      <c r="H2333" t="s">
        <v>4579</v>
      </c>
      <c r="I2333" t="s">
        <v>30</v>
      </c>
      <c r="J2333" s="1">
        <v>45292</v>
      </c>
      <c r="K2333">
        <v>4750000</v>
      </c>
    </row>
    <row r="2334" spans="5:11" x14ac:dyDescent="0.25">
      <c r="E2334" t="s">
        <v>4580</v>
      </c>
      <c r="F2334">
        <v>1386301</v>
      </c>
      <c r="G2334" s="1">
        <v>45382</v>
      </c>
      <c r="H2334" t="s">
        <v>4581</v>
      </c>
      <c r="I2334" t="s">
        <v>142</v>
      </c>
      <c r="J2334" s="1">
        <v>45292</v>
      </c>
      <c r="K2334">
        <v>76301</v>
      </c>
    </row>
    <row r="2335" spans="5:11" x14ac:dyDescent="0.25">
      <c r="E2335" t="s">
        <v>4582</v>
      </c>
      <c r="F2335">
        <v>1386570</v>
      </c>
      <c r="G2335" s="1">
        <v>45382</v>
      </c>
      <c r="H2335" t="s">
        <v>4583</v>
      </c>
      <c r="I2335" t="s">
        <v>36</v>
      </c>
      <c r="J2335" s="1">
        <v>45292</v>
      </c>
      <c r="K2335">
        <v>-492000</v>
      </c>
    </row>
    <row r="2336" spans="5:11" x14ac:dyDescent="0.25">
      <c r="E2336" t="s">
        <v>4584</v>
      </c>
      <c r="F2336">
        <v>1387467</v>
      </c>
      <c r="G2336" s="1">
        <v>45382</v>
      </c>
      <c r="H2336" t="s">
        <v>4585</v>
      </c>
      <c r="I2336" t="s">
        <v>919</v>
      </c>
      <c r="J2336" s="1">
        <v>45292</v>
      </c>
      <c r="K2336">
        <v>-11212000</v>
      </c>
    </row>
    <row r="2337" spans="5:11" x14ac:dyDescent="0.25">
      <c r="E2337" t="s">
        <v>4586</v>
      </c>
      <c r="F2337">
        <v>1388295</v>
      </c>
      <c r="G2337" s="1">
        <v>45382</v>
      </c>
      <c r="H2337" t="s">
        <v>4587</v>
      </c>
      <c r="I2337" t="s">
        <v>406</v>
      </c>
      <c r="J2337" s="1">
        <v>45292</v>
      </c>
      <c r="K2337">
        <v>-937097</v>
      </c>
    </row>
    <row r="2338" spans="5:11" x14ac:dyDescent="0.25">
      <c r="E2338" t="s">
        <v>4588</v>
      </c>
      <c r="F2338">
        <v>1388320</v>
      </c>
      <c r="G2338" s="1">
        <v>45382</v>
      </c>
      <c r="H2338" t="s">
        <v>4589</v>
      </c>
      <c r="I2338" t="s">
        <v>57</v>
      </c>
      <c r="J2338" s="1">
        <v>45292</v>
      </c>
      <c r="K2338">
        <v>-8670000</v>
      </c>
    </row>
    <row r="2339" spans="5:11" x14ac:dyDescent="0.25">
      <c r="E2339" t="s">
        <v>10463</v>
      </c>
      <c r="F2339">
        <v>1388658</v>
      </c>
      <c r="G2339" s="1">
        <v>45382</v>
      </c>
      <c r="H2339" t="s">
        <v>4590</v>
      </c>
      <c r="I2339" t="s">
        <v>36</v>
      </c>
      <c r="J2339" s="1">
        <v>45292</v>
      </c>
      <c r="K2339">
        <v>-45667000</v>
      </c>
    </row>
    <row r="2340" spans="5:11" x14ac:dyDescent="0.25">
      <c r="E2340" t="s">
        <v>4591</v>
      </c>
      <c r="F2340">
        <v>1389002</v>
      </c>
      <c r="G2340" s="1">
        <v>45382</v>
      </c>
      <c r="H2340" t="s">
        <v>4592</v>
      </c>
      <c r="I2340" t="s">
        <v>36</v>
      </c>
      <c r="J2340" s="1">
        <v>45292</v>
      </c>
      <c r="K2340">
        <v>-2411000</v>
      </c>
    </row>
    <row r="2341" spans="5:11" x14ac:dyDescent="0.25">
      <c r="E2341" t="s">
        <v>4593</v>
      </c>
      <c r="F2341">
        <v>1389050</v>
      </c>
      <c r="G2341" s="1">
        <v>45382</v>
      </c>
      <c r="H2341" t="s">
        <v>4594</v>
      </c>
      <c r="I2341" t="s">
        <v>30</v>
      </c>
      <c r="J2341" s="1">
        <v>45292</v>
      </c>
      <c r="K2341">
        <v>40532000</v>
      </c>
    </row>
    <row r="2342" spans="5:11" x14ac:dyDescent="0.25">
      <c r="E2342" t="s">
        <v>4595</v>
      </c>
      <c r="F2342">
        <v>1389170</v>
      </c>
      <c r="G2342" s="1">
        <v>45382</v>
      </c>
      <c r="H2342" t="s">
        <v>4596</v>
      </c>
      <c r="I2342" t="s">
        <v>30</v>
      </c>
      <c r="J2342" s="1">
        <v>45292</v>
      </c>
      <c r="K2342">
        <v>275200000</v>
      </c>
    </row>
    <row r="2343" spans="5:11" x14ac:dyDescent="0.25">
      <c r="E2343" t="s">
        <v>4597</v>
      </c>
      <c r="F2343">
        <v>1389518</v>
      </c>
      <c r="G2343" s="1">
        <v>45382</v>
      </c>
      <c r="H2343" t="s">
        <v>4598</v>
      </c>
      <c r="I2343" t="s">
        <v>142</v>
      </c>
      <c r="J2343" s="1">
        <v>45292</v>
      </c>
      <c r="K2343">
        <v>-1759343</v>
      </c>
    </row>
    <row r="2344" spans="5:11" x14ac:dyDescent="0.25">
      <c r="E2344" t="s">
        <v>4599</v>
      </c>
      <c r="F2344">
        <v>1389545</v>
      </c>
      <c r="G2344" s="1">
        <v>45382</v>
      </c>
      <c r="H2344" t="s">
        <v>4600</v>
      </c>
      <c r="I2344" t="s">
        <v>36</v>
      </c>
      <c r="J2344" s="1">
        <v>45292</v>
      </c>
      <c r="K2344">
        <v>-3214000</v>
      </c>
    </row>
    <row r="2345" spans="5:11" x14ac:dyDescent="0.25">
      <c r="E2345" t="s">
        <v>4601</v>
      </c>
      <c r="F2345">
        <v>1390478</v>
      </c>
      <c r="G2345" s="1">
        <v>45382</v>
      </c>
      <c r="H2345" t="s">
        <v>4602</v>
      </c>
      <c r="I2345" t="s">
        <v>57</v>
      </c>
      <c r="J2345" s="1">
        <v>45292</v>
      </c>
      <c r="K2345">
        <v>-9566000</v>
      </c>
    </row>
    <row r="2346" spans="5:11" x14ac:dyDescent="0.25">
      <c r="E2346" t="s">
        <v>4603</v>
      </c>
      <c r="F2346">
        <v>1390777</v>
      </c>
      <c r="G2346" s="1">
        <v>45382</v>
      </c>
      <c r="H2346" t="s">
        <v>4604</v>
      </c>
      <c r="I2346" t="s">
        <v>57</v>
      </c>
      <c r="J2346" s="1">
        <v>45292</v>
      </c>
      <c r="K2346">
        <v>1025000000</v>
      </c>
    </row>
    <row r="2347" spans="5:11" x14ac:dyDescent="0.25">
      <c r="E2347" t="s">
        <v>4605</v>
      </c>
      <c r="F2347">
        <v>1391135</v>
      </c>
      <c r="G2347" s="1">
        <v>45382</v>
      </c>
      <c r="H2347" t="s">
        <v>4606</v>
      </c>
      <c r="I2347" t="s">
        <v>33</v>
      </c>
      <c r="J2347" s="1">
        <v>45292</v>
      </c>
      <c r="K2347">
        <v>-1141004</v>
      </c>
    </row>
    <row r="2348" spans="5:11" x14ac:dyDescent="0.25">
      <c r="E2348" t="s">
        <v>4607</v>
      </c>
      <c r="F2348">
        <v>1391426</v>
      </c>
      <c r="G2348" s="1">
        <v>45382</v>
      </c>
      <c r="H2348" t="s">
        <v>4608</v>
      </c>
      <c r="I2348" t="s">
        <v>36</v>
      </c>
      <c r="J2348" s="1">
        <v>45292</v>
      </c>
      <c r="K2348">
        <v>-2202490</v>
      </c>
    </row>
    <row r="2349" spans="5:11" x14ac:dyDescent="0.25">
      <c r="E2349" t="s">
        <v>4609</v>
      </c>
      <c r="F2349">
        <v>1391933</v>
      </c>
      <c r="G2349" s="1">
        <v>45382</v>
      </c>
      <c r="H2349" t="s">
        <v>4610</v>
      </c>
      <c r="I2349" t="s">
        <v>39</v>
      </c>
      <c r="J2349" s="1">
        <v>45292</v>
      </c>
      <c r="K2349">
        <v>873000</v>
      </c>
    </row>
    <row r="2350" spans="5:11" x14ac:dyDescent="0.25">
      <c r="E2350" t="s">
        <v>4611</v>
      </c>
      <c r="F2350">
        <v>1392380</v>
      </c>
      <c r="G2350" s="1">
        <v>45382</v>
      </c>
      <c r="H2350" t="s">
        <v>4612</v>
      </c>
      <c r="I2350" t="s">
        <v>92</v>
      </c>
      <c r="J2350" s="1">
        <v>45292</v>
      </c>
      <c r="K2350">
        <v>-18875000</v>
      </c>
    </row>
    <row r="2351" spans="5:11" x14ac:dyDescent="0.25">
      <c r="E2351" t="s">
        <v>4613</v>
      </c>
      <c r="F2351">
        <v>1392449</v>
      </c>
      <c r="G2351" s="1">
        <v>45382</v>
      </c>
      <c r="H2351" t="s">
        <v>4614</v>
      </c>
      <c r="I2351" t="s">
        <v>33</v>
      </c>
      <c r="J2351" s="1">
        <v>45292</v>
      </c>
      <c r="K2351">
        <v>-6465</v>
      </c>
    </row>
    <row r="2352" spans="5:11" x14ac:dyDescent="0.25">
      <c r="E2352" t="s">
        <v>4615</v>
      </c>
      <c r="F2352">
        <v>1392545</v>
      </c>
      <c r="G2352" s="1">
        <v>45382</v>
      </c>
      <c r="H2352" t="s">
        <v>4616</v>
      </c>
      <c r="I2352" t="s">
        <v>3015</v>
      </c>
      <c r="J2352" s="1">
        <v>45292</v>
      </c>
      <c r="K2352">
        <v>-244668</v>
      </c>
    </row>
    <row r="2353" spans="5:11" x14ac:dyDescent="0.25">
      <c r="E2353" t="s">
        <v>4617</v>
      </c>
      <c r="F2353">
        <v>1392694</v>
      </c>
      <c r="G2353" s="1">
        <v>45382</v>
      </c>
      <c r="H2353" t="s">
        <v>4618</v>
      </c>
      <c r="I2353" t="s">
        <v>69</v>
      </c>
      <c r="J2353" s="1">
        <v>45292</v>
      </c>
      <c r="K2353">
        <v>1224595</v>
      </c>
    </row>
    <row r="2354" spans="5:11" x14ac:dyDescent="0.25">
      <c r="E2354" t="s">
        <v>4619</v>
      </c>
      <c r="F2354">
        <v>1392972</v>
      </c>
      <c r="G2354" s="1">
        <v>45382</v>
      </c>
      <c r="H2354" t="s">
        <v>4620</v>
      </c>
      <c r="I2354" t="s">
        <v>30</v>
      </c>
      <c r="J2354" s="1">
        <v>45292</v>
      </c>
      <c r="K2354">
        <v>-11357000</v>
      </c>
    </row>
    <row r="2355" spans="5:11" x14ac:dyDescent="0.25">
      <c r="E2355" t="s">
        <v>4621</v>
      </c>
      <c r="F2355">
        <v>1393052</v>
      </c>
      <c r="G2355" s="1">
        <v>45412</v>
      </c>
      <c r="H2355" t="s">
        <v>4622</v>
      </c>
      <c r="I2355" t="s">
        <v>36</v>
      </c>
      <c r="J2355" s="1">
        <v>45323</v>
      </c>
      <c r="K2355">
        <v>161664000</v>
      </c>
    </row>
    <row r="2356" spans="5:11" x14ac:dyDescent="0.25">
      <c r="E2356" t="s">
        <v>4623</v>
      </c>
      <c r="F2356">
        <v>1393311</v>
      </c>
      <c r="G2356" s="1">
        <v>45382</v>
      </c>
      <c r="H2356" t="s">
        <v>4624</v>
      </c>
      <c r="I2356" t="s">
        <v>36</v>
      </c>
      <c r="J2356" s="1">
        <v>45292</v>
      </c>
      <c r="K2356">
        <v>508948000</v>
      </c>
    </row>
    <row r="2357" spans="5:11" x14ac:dyDescent="0.25">
      <c r="E2357" t="s">
        <v>4625</v>
      </c>
      <c r="F2357">
        <v>1393434</v>
      </c>
      <c r="G2357" s="1">
        <v>45382</v>
      </c>
      <c r="H2357" t="s">
        <v>4626</v>
      </c>
      <c r="I2357" t="s">
        <v>24</v>
      </c>
      <c r="J2357" s="1">
        <v>45292</v>
      </c>
      <c r="K2357">
        <v>-64848000</v>
      </c>
    </row>
    <row r="2358" spans="5:11" x14ac:dyDescent="0.25">
      <c r="E2358" t="s">
        <v>4627</v>
      </c>
      <c r="F2358">
        <v>1393584</v>
      </c>
      <c r="G2358" s="1">
        <v>45382</v>
      </c>
      <c r="H2358" t="s">
        <v>4628</v>
      </c>
      <c r="I2358" t="s">
        <v>24</v>
      </c>
      <c r="J2358" s="1">
        <v>45292</v>
      </c>
      <c r="K2358">
        <v>-72105000</v>
      </c>
    </row>
    <row r="2359" spans="5:11" x14ac:dyDescent="0.25">
      <c r="E2359" t="s">
        <v>4629</v>
      </c>
      <c r="F2359">
        <v>1393612</v>
      </c>
      <c r="G2359" s="1">
        <v>45382</v>
      </c>
      <c r="H2359" t="s">
        <v>4630</v>
      </c>
      <c r="I2359" t="s">
        <v>19</v>
      </c>
      <c r="J2359" s="1">
        <v>45292</v>
      </c>
      <c r="K2359">
        <v>308000000</v>
      </c>
    </row>
    <row r="2360" spans="5:11" x14ac:dyDescent="0.25">
      <c r="E2360" t="s">
        <v>4631</v>
      </c>
      <c r="F2360">
        <v>1393726</v>
      </c>
      <c r="G2360" s="1">
        <v>45382</v>
      </c>
      <c r="H2360" t="s">
        <v>4632</v>
      </c>
      <c r="I2360" t="s">
        <v>27</v>
      </c>
      <c r="J2360" s="1">
        <v>45292</v>
      </c>
      <c r="K2360">
        <v>9050000</v>
      </c>
    </row>
    <row r="2361" spans="5:11" x14ac:dyDescent="0.25">
      <c r="E2361" t="s">
        <v>4633</v>
      </c>
      <c r="F2361">
        <v>1393772</v>
      </c>
      <c r="G2361" s="1">
        <v>45382</v>
      </c>
      <c r="H2361" t="s">
        <v>4634</v>
      </c>
      <c r="I2361" t="s">
        <v>113</v>
      </c>
      <c r="J2361" s="1">
        <v>45292</v>
      </c>
      <c r="K2361">
        <v>-170652</v>
      </c>
    </row>
    <row r="2362" spans="5:11" x14ac:dyDescent="0.25">
      <c r="E2362" t="s">
        <v>4635</v>
      </c>
      <c r="F2362">
        <v>1393781</v>
      </c>
      <c r="G2362" s="1">
        <v>45382</v>
      </c>
      <c r="H2362" t="s">
        <v>4636</v>
      </c>
      <c r="I2362" t="s">
        <v>36</v>
      </c>
      <c r="J2362" s="1">
        <v>45292</v>
      </c>
      <c r="K2362">
        <v>206690</v>
      </c>
    </row>
    <row r="2363" spans="5:11" x14ac:dyDescent="0.25">
      <c r="E2363" t="s">
        <v>4637</v>
      </c>
      <c r="F2363">
        <v>1393818</v>
      </c>
      <c r="G2363" s="1">
        <v>45382</v>
      </c>
      <c r="H2363" t="s">
        <v>4638</v>
      </c>
      <c r="I2363" t="s">
        <v>57</v>
      </c>
      <c r="J2363" s="1">
        <v>45292</v>
      </c>
      <c r="K2363">
        <v>847386000</v>
      </c>
    </row>
    <row r="2364" spans="5:11" x14ac:dyDescent="0.25">
      <c r="E2364" t="s">
        <v>4639</v>
      </c>
      <c r="F2364">
        <v>1393883</v>
      </c>
      <c r="G2364" s="1">
        <v>45382</v>
      </c>
      <c r="H2364" t="s">
        <v>4640</v>
      </c>
      <c r="I2364" t="s">
        <v>92</v>
      </c>
      <c r="J2364" s="1">
        <v>45292</v>
      </c>
      <c r="K2364">
        <v>-1512000</v>
      </c>
    </row>
    <row r="2365" spans="5:11" x14ac:dyDescent="0.25">
      <c r="E2365" t="s">
        <v>4641</v>
      </c>
      <c r="F2365">
        <v>1394056</v>
      </c>
      <c r="G2365" s="1">
        <v>45382</v>
      </c>
      <c r="H2365" t="s">
        <v>4642</v>
      </c>
      <c r="I2365" t="s">
        <v>36</v>
      </c>
      <c r="J2365" s="1">
        <v>45292</v>
      </c>
      <c r="K2365">
        <v>-1339622</v>
      </c>
    </row>
    <row r="2366" spans="5:11" x14ac:dyDescent="0.25">
      <c r="E2366" t="s">
        <v>4643</v>
      </c>
      <c r="F2366">
        <v>1394108</v>
      </c>
      <c r="G2366" s="1">
        <v>45382</v>
      </c>
      <c r="H2366" t="s">
        <v>4644</v>
      </c>
      <c r="I2366" t="s">
        <v>57</v>
      </c>
      <c r="J2366" s="1">
        <v>45292</v>
      </c>
      <c r="K2366">
        <v>9761</v>
      </c>
    </row>
    <row r="2367" spans="5:11" x14ac:dyDescent="0.25">
      <c r="E2367" t="s">
        <v>4645</v>
      </c>
      <c r="F2367">
        <v>1394319</v>
      </c>
      <c r="G2367" s="1">
        <v>45382</v>
      </c>
      <c r="H2367" t="s">
        <v>4646</v>
      </c>
      <c r="I2367" t="s">
        <v>36</v>
      </c>
      <c r="J2367" s="1">
        <v>45292</v>
      </c>
      <c r="K2367">
        <v>-3168000</v>
      </c>
    </row>
    <row r="2368" spans="5:11" x14ac:dyDescent="0.25">
      <c r="E2368" t="s">
        <v>10464</v>
      </c>
      <c r="F2368">
        <v>1394638</v>
      </c>
      <c r="G2368" s="1">
        <v>45382</v>
      </c>
      <c r="H2368" t="s">
        <v>4647</v>
      </c>
      <c r="I2368" t="s">
        <v>39</v>
      </c>
      <c r="J2368" s="1">
        <v>45292</v>
      </c>
      <c r="K2368">
        <v>-476215</v>
      </c>
    </row>
    <row r="2369" spans="5:11" x14ac:dyDescent="0.25">
      <c r="E2369" t="s">
        <v>4648</v>
      </c>
      <c r="F2369">
        <v>1395585</v>
      </c>
      <c r="G2369" s="1">
        <v>45382</v>
      </c>
      <c r="H2369" t="s">
        <v>4649</v>
      </c>
      <c r="I2369" t="s">
        <v>277</v>
      </c>
      <c r="J2369" s="1">
        <v>45292</v>
      </c>
      <c r="K2369">
        <v>1794153</v>
      </c>
    </row>
    <row r="2370" spans="5:11" x14ac:dyDescent="0.25">
      <c r="E2370" t="s">
        <v>4650</v>
      </c>
      <c r="F2370">
        <v>1395937</v>
      </c>
      <c r="G2370" s="1">
        <v>45382</v>
      </c>
      <c r="H2370" t="s">
        <v>4651</v>
      </c>
      <c r="I2370" t="s">
        <v>24</v>
      </c>
      <c r="J2370" s="1">
        <v>45292</v>
      </c>
      <c r="K2370">
        <v>-72400000</v>
      </c>
    </row>
    <row r="2371" spans="5:11" x14ac:dyDescent="0.25">
      <c r="E2371" t="s">
        <v>4652</v>
      </c>
      <c r="F2371">
        <v>1395942</v>
      </c>
      <c r="G2371" s="1">
        <v>45382</v>
      </c>
      <c r="H2371" t="s">
        <v>4653</v>
      </c>
      <c r="I2371" t="s">
        <v>288</v>
      </c>
      <c r="J2371" s="1">
        <v>45292</v>
      </c>
      <c r="K2371">
        <v>18500000</v>
      </c>
    </row>
    <row r="2372" spans="5:11" x14ac:dyDescent="0.25">
      <c r="E2372" t="s">
        <v>4654</v>
      </c>
      <c r="F2372">
        <v>1396009</v>
      </c>
      <c r="G2372" s="1">
        <v>45382</v>
      </c>
      <c r="H2372" t="s">
        <v>4655</v>
      </c>
      <c r="I2372" t="s">
        <v>1123</v>
      </c>
      <c r="J2372" s="1">
        <v>45292</v>
      </c>
      <c r="K2372">
        <v>102700000</v>
      </c>
    </row>
    <row r="2373" spans="5:11" x14ac:dyDescent="0.25">
      <c r="E2373" t="s">
        <v>4656</v>
      </c>
      <c r="F2373">
        <v>1396033</v>
      </c>
      <c r="G2373" s="1">
        <v>45382</v>
      </c>
      <c r="H2373" t="s">
        <v>4657</v>
      </c>
      <c r="I2373" t="s">
        <v>123</v>
      </c>
      <c r="J2373" s="1">
        <v>45292</v>
      </c>
      <c r="K2373">
        <v>-28970000</v>
      </c>
    </row>
    <row r="2374" spans="5:11" x14ac:dyDescent="0.25">
      <c r="E2374" t="s">
        <v>4658</v>
      </c>
      <c r="F2374">
        <v>1396440</v>
      </c>
      <c r="G2374" s="1">
        <v>45382</v>
      </c>
      <c r="H2374" t="s">
        <v>4659</v>
      </c>
      <c r="I2374" t="s">
        <v>30</v>
      </c>
      <c r="J2374" s="1">
        <v>45292</v>
      </c>
      <c r="K2374">
        <v>107147000</v>
      </c>
    </row>
    <row r="2375" spans="5:11" x14ac:dyDescent="0.25">
      <c r="E2375" t="s">
        <v>4660</v>
      </c>
      <c r="F2375">
        <v>1396536</v>
      </c>
      <c r="G2375" s="1">
        <v>45382</v>
      </c>
      <c r="H2375" t="s">
        <v>4661</v>
      </c>
      <c r="I2375" t="s">
        <v>33</v>
      </c>
      <c r="J2375" s="1">
        <v>45292</v>
      </c>
      <c r="K2375">
        <v>-2752309</v>
      </c>
    </row>
    <row r="2376" spans="5:11" x14ac:dyDescent="0.25">
      <c r="E2376" t="s">
        <v>4662</v>
      </c>
      <c r="F2376">
        <v>1396814</v>
      </c>
      <c r="G2376" s="1">
        <v>45382</v>
      </c>
      <c r="H2376" t="s">
        <v>4663</v>
      </c>
      <c r="I2376" t="s">
        <v>33</v>
      </c>
      <c r="J2376" s="1">
        <v>45292</v>
      </c>
      <c r="K2376">
        <v>8979000</v>
      </c>
    </row>
    <row r="2377" spans="5:11" x14ac:dyDescent="0.25">
      <c r="E2377" t="s">
        <v>4664</v>
      </c>
      <c r="F2377">
        <v>1396878</v>
      </c>
      <c r="G2377" s="1">
        <v>45382</v>
      </c>
      <c r="H2377" t="s">
        <v>4665</v>
      </c>
      <c r="I2377" t="s">
        <v>36</v>
      </c>
      <c r="J2377" s="1">
        <v>45292</v>
      </c>
      <c r="K2377">
        <v>15923170</v>
      </c>
    </row>
    <row r="2378" spans="5:11" x14ac:dyDescent="0.25">
      <c r="E2378" t="s">
        <v>4666</v>
      </c>
      <c r="F2378">
        <v>1397016</v>
      </c>
      <c r="G2378" s="1">
        <v>45382</v>
      </c>
      <c r="H2378" t="s">
        <v>4667</v>
      </c>
      <c r="I2378" t="s">
        <v>30</v>
      </c>
      <c r="J2378" s="1">
        <v>45292</v>
      </c>
      <c r="K2378">
        <v>1062000</v>
      </c>
    </row>
    <row r="2379" spans="5:11" x14ac:dyDescent="0.25">
      <c r="E2379" t="s">
        <v>4668</v>
      </c>
      <c r="F2379">
        <v>1397047</v>
      </c>
      <c r="G2379" s="1">
        <v>45382</v>
      </c>
      <c r="H2379" t="s">
        <v>4669</v>
      </c>
      <c r="I2379" t="s">
        <v>33</v>
      </c>
      <c r="J2379" s="1">
        <v>45292</v>
      </c>
      <c r="K2379">
        <v>-214179</v>
      </c>
    </row>
    <row r="2380" spans="5:11" x14ac:dyDescent="0.25">
      <c r="E2380" t="s">
        <v>4670</v>
      </c>
      <c r="F2380">
        <v>1397183</v>
      </c>
      <c r="G2380" s="1">
        <v>45382</v>
      </c>
      <c r="H2380" t="s">
        <v>4671</v>
      </c>
      <c r="I2380" t="s">
        <v>113</v>
      </c>
      <c r="J2380" s="1">
        <v>45292</v>
      </c>
      <c r="K2380">
        <v>-1108198</v>
      </c>
    </row>
    <row r="2381" spans="5:11" x14ac:dyDescent="0.25">
      <c r="E2381" t="s">
        <v>4672</v>
      </c>
      <c r="F2381">
        <v>1397187</v>
      </c>
      <c r="G2381" s="1">
        <v>45410</v>
      </c>
      <c r="H2381" t="s">
        <v>4673</v>
      </c>
      <c r="I2381" t="s">
        <v>2552</v>
      </c>
      <c r="J2381" s="1">
        <v>45320</v>
      </c>
      <c r="K2381">
        <v>321421000</v>
      </c>
    </row>
    <row r="2382" spans="5:11" x14ac:dyDescent="0.25">
      <c r="E2382" t="s">
        <v>4674</v>
      </c>
      <c r="F2382">
        <v>1397702</v>
      </c>
      <c r="G2382" s="1">
        <v>45382</v>
      </c>
      <c r="H2382" t="s">
        <v>4675</v>
      </c>
      <c r="I2382" t="s">
        <v>36</v>
      </c>
      <c r="J2382" s="1">
        <v>45292</v>
      </c>
      <c r="K2382">
        <v>-14136000</v>
      </c>
    </row>
    <row r="2383" spans="5:11" x14ac:dyDescent="0.25">
      <c r="E2383" t="s">
        <v>4676</v>
      </c>
      <c r="F2383">
        <v>1397911</v>
      </c>
      <c r="G2383" s="1">
        <v>45382</v>
      </c>
      <c r="H2383" t="s">
        <v>4677</v>
      </c>
      <c r="I2383" t="s">
        <v>36</v>
      </c>
      <c r="J2383" s="1">
        <v>45292</v>
      </c>
      <c r="K2383">
        <v>288764000</v>
      </c>
    </row>
    <row r="2384" spans="5:11" x14ac:dyDescent="0.25">
      <c r="E2384" t="s">
        <v>4678</v>
      </c>
      <c r="F2384">
        <v>1398659</v>
      </c>
      <c r="G2384" s="1">
        <v>45382</v>
      </c>
      <c r="H2384" t="s">
        <v>4679</v>
      </c>
      <c r="I2384" t="s">
        <v>919</v>
      </c>
      <c r="J2384" s="1">
        <v>45292</v>
      </c>
      <c r="K2384">
        <v>116947000</v>
      </c>
    </row>
    <row r="2385" spans="5:11" x14ac:dyDescent="0.25">
      <c r="E2385" t="s">
        <v>4680</v>
      </c>
      <c r="F2385">
        <v>1398733</v>
      </c>
      <c r="G2385" s="1">
        <v>45382</v>
      </c>
      <c r="H2385" t="s">
        <v>4681</v>
      </c>
      <c r="I2385" t="s">
        <v>46</v>
      </c>
      <c r="J2385" s="1">
        <v>45292</v>
      </c>
      <c r="K2385">
        <v>-12828000</v>
      </c>
    </row>
    <row r="2386" spans="5:11" x14ac:dyDescent="0.25">
      <c r="E2386" t="s">
        <v>4682</v>
      </c>
      <c r="F2386">
        <v>1398805</v>
      </c>
      <c r="G2386" s="1">
        <v>45382</v>
      </c>
      <c r="H2386" t="s">
        <v>4683</v>
      </c>
      <c r="I2386" t="s">
        <v>36</v>
      </c>
      <c r="J2386" s="1">
        <v>45292</v>
      </c>
      <c r="K2386">
        <v>-3037000</v>
      </c>
    </row>
    <row r="2387" spans="5:11" x14ac:dyDescent="0.25">
      <c r="E2387" t="s">
        <v>4684</v>
      </c>
      <c r="F2387">
        <v>1398987</v>
      </c>
      <c r="G2387" s="1">
        <v>45382</v>
      </c>
      <c r="H2387" t="s">
        <v>4685</v>
      </c>
      <c r="I2387" t="s">
        <v>46</v>
      </c>
      <c r="J2387" s="1">
        <v>45292</v>
      </c>
      <c r="K2387">
        <v>-101000000</v>
      </c>
    </row>
    <row r="2388" spans="5:11" x14ac:dyDescent="0.25">
      <c r="E2388" t="s">
        <v>4686</v>
      </c>
      <c r="F2388">
        <v>1399306</v>
      </c>
      <c r="G2388" s="1">
        <v>45382</v>
      </c>
      <c r="H2388" t="s">
        <v>4687</v>
      </c>
      <c r="I2388" t="s">
        <v>36</v>
      </c>
      <c r="J2388" s="1">
        <v>45292</v>
      </c>
      <c r="K2388">
        <v>63887</v>
      </c>
    </row>
    <row r="2389" spans="5:11" x14ac:dyDescent="0.25">
      <c r="E2389" t="s">
        <v>4688</v>
      </c>
      <c r="F2389">
        <v>1399520</v>
      </c>
      <c r="G2389" s="1">
        <v>45382</v>
      </c>
      <c r="H2389" t="s">
        <v>4689</v>
      </c>
      <c r="I2389" t="s">
        <v>92</v>
      </c>
      <c r="J2389" s="1">
        <v>45292</v>
      </c>
      <c r="K2389">
        <v>-2069000</v>
      </c>
    </row>
    <row r="2390" spans="5:11" x14ac:dyDescent="0.25">
      <c r="E2390" t="s">
        <v>4690</v>
      </c>
      <c r="F2390">
        <v>1400118</v>
      </c>
      <c r="G2390" s="1">
        <v>45382</v>
      </c>
      <c r="H2390" t="s">
        <v>4691</v>
      </c>
      <c r="I2390" t="s">
        <v>36</v>
      </c>
      <c r="J2390" s="1">
        <v>45292</v>
      </c>
      <c r="K2390">
        <v>-6629000</v>
      </c>
    </row>
    <row r="2391" spans="5:11" x14ac:dyDescent="0.25">
      <c r="E2391" t="s">
        <v>4692</v>
      </c>
      <c r="F2391">
        <v>1400810</v>
      </c>
      <c r="G2391" s="1">
        <v>45382</v>
      </c>
      <c r="H2391" t="s">
        <v>4693</v>
      </c>
      <c r="I2391" t="s">
        <v>33</v>
      </c>
      <c r="J2391" s="1">
        <v>45292</v>
      </c>
      <c r="K2391">
        <v>47611000</v>
      </c>
    </row>
    <row r="2392" spans="5:11" x14ac:dyDescent="0.25">
      <c r="E2392" t="s">
        <v>4694</v>
      </c>
      <c r="F2392">
        <v>1400891</v>
      </c>
      <c r="G2392" s="1">
        <v>45382</v>
      </c>
      <c r="H2392" t="s">
        <v>4695</v>
      </c>
      <c r="I2392" t="s">
        <v>30</v>
      </c>
      <c r="J2392" s="1">
        <v>45292</v>
      </c>
      <c r="K2392">
        <v>-18508000</v>
      </c>
    </row>
    <row r="2393" spans="5:11" x14ac:dyDescent="0.25">
      <c r="E2393" t="s">
        <v>4696</v>
      </c>
      <c r="F2393">
        <v>1401040</v>
      </c>
      <c r="G2393" s="1">
        <v>45382</v>
      </c>
      <c r="H2393" t="s">
        <v>4697</v>
      </c>
      <c r="I2393" t="s">
        <v>213</v>
      </c>
      <c r="J2393" s="1">
        <v>45292</v>
      </c>
      <c r="K2393">
        <v>-5151000</v>
      </c>
    </row>
    <row r="2394" spans="5:11" x14ac:dyDescent="0.25">
      <c r="E2394" t="s">
        <v>4698</v>
      </c>
      <c r="F2394">
        <v>1401257</v>
      </c>
      <c r="G2394" s="1">
        <v>45382</v>
      </c>
      <c r="H2394" t="s">
        <v>4699</v>
      </c>
      <c r="I2394" t="s">
        <v>30</v>
      </c>
      <c r="J2394" s="1">
        <v>45292</v>
      </c>
      <c r="K2394">
        <v>-10315000</v>
      </c>
    </row>
    <row r="2395" spans="5:11" x14ac:dyDescent="0.25">
      <c r="E2395" t="s">
        <v>4700</v>
      </c>
      <c r="F2395">
        <v>1401521</v>
      </c>
      <c r="G2395" s="1">
        <v>45382</v>
      </c>
      <c r="H2395" t="s">
        <v>4701</v>
      </c>
      <c r="I2395" t="s">
        <v>33</v>
      </c>
      <c r="J2395" s="1">
        <v>45292</v>
      </c>
      <c r="K2395">
        <v>23599000</v>
      </c>
    </row>
    <row r="2396" spans="5:11" x14ac:dyDescent="0.25">
      <c r="E2396" t="s">
        <v>4702</v>
      </c>
      <c r="F2396">
        <v>1401564</v>
      </c>
      <c r="G2396" s="1">
        <v>45382</v>
      </c>
      <c r="H2396" t="s">
        <v>4703</v>
      </c>
      <c r="I2396" t="s">
        <v>504</v>
      </c>
      <c r="J2396" s="1">
        <v>45292</v>
      </c>
      <c r="K2396">
        <v>-1076000</v>
      </c>
    </row>
    <row r="2397" spans="5:11" x14ac:dyDescent="0.25">
      <c r="E2397" t="s">
        <v>4704</v>
      </c>
      <c r="F2397">
        <v>1401667</v>
      </c>
      <c r="G2397" s="1">
        <v>45382</v>
      </c>
      <c r="H2397" t="s">
        <v>4705</v>
      </c>
      <c r="I2397" t="s">
        <v>36</v>
      </c>
      <c r="J2397" s="1">
        <v>45292</v>
      </c>
      <c r="K2397">
        <v>-4815000</v>
      </c>
    </row>
    <row r="2398" spans="5:11" x14ac:dyDescent="0.25">
      <c r="E2398" t="s">
        <v>4706</v>
      </c>
      <c r="F2398">
        <v>1401914</v>
      </c>
      <c r="G2398" s="1">
        <v>45382</v>
      </c>
      <c r="H2398" t="s">
        <v>4707</v>
      </c>
      <c r="I2398" t="s">
        <v>36</v>
      </c>
      <c r="J2398" s="1">
        <v>45292</v>
      </c>
      <c r="K2398">
        <v>-6755356</v>
      </c>
    </row>
    <row r="2399" spans="5:11" x14ac:dyDescent="0.25">
      <c r="E2399" t="s">
        <v>4708</v>
      </c>
      <c r="F2399">
        <v>1402057</v>
      </c>
      <c r="G2399" s="1">
        <v>45382</v>
      </c>
      <c r="H2399" t="s">
        <v>4709</v>
      </c>
      <c r="I2399" t="s">
        <v>19</v>
      </c>
      <c r="J2399" s="1">
        <v>45292</v>
      </c>
      <c r="K2399">
        <v>216100000</v>
      </c>
    </row>
    <row r="2400" spans="5:11" x14ac:dyDescent="0.25">
      <c r="E2400" t="s">
        <v>4710</v>
      </c>
      <c r="F2400">
        <v>1402328</v>
      </c>
      <c r="G2400" s="1">
        <v>45382</v>
      </c>
      <c r="H2400" t="s">
        <v>4711</v>
      </c>
      <c r="I2400" t="s">
        <v>57</v>
      </c>
      <c r="J2400" s="1">
        <v>45292</v>
      </c>
      <c r="K2400">
        <v>-1283801</v>
      </c>
    </row>
    <row r="2401" spans="5:11" x14ac:dyDescent="0.25">
      <c r="E2401" t="s">
        <v>4712</v>
      </c>
      <c r="F2401">
        <v>1402436</v>
      </c>
      <c r="G2401" s="1">
        <v>45382</v>
      </c>
      <c r="H2401" t="s">
        <v>4713</v>
      </c>
      <c r="I2401" t="s">
        <v>27</v>
      </c>
      <c r="J2401" s="1">
        <v>45292</v>
      </c>
      <c r="K2401">
        <v>157600000</v>
      </c>
    </row>
    <row r="2402" spans="5:11" x14ac:dyDescent="0.25">
      <c r="E2402" t="s">
        <v>10465</v>
      </c>
      <c r="F2402">
        <v>1402829</v>
      </c>
      <c r="G2402" s="1">
        <v>45382</v>
      </c>
      <c r="H2402" t="s">
        <v>4714</v>
      </c>
      <c r="I2402" t="s">
        <v>30</v>
      </c>
      <c r="J2402" s="1">
        <v>45292</v>
      </c>
      <c r="K2402">
        <v>-6057000</v>
      </c>
    </row>
    <row r="2403" spans="5:11" x14ac:dyDescent="0.25">
      <c r="E2403" t="s">
        <v>4715</v>
      </c>
      <c r="F2403">
        <v>1402945</v>
      </c>
      <c r="G2403" s="1">
        <v>45382</v>
      </c>
      <c r="H2403" t="s">
        <v>4716</v>
      </c>
      <c r="I2403" t="s">
        <v>33</v>
      </c>
      <c r="J2403" s="1">
        <v>45292</v>
      </c>
      <c r="K2403">
        <v>-372000</v>
      </c>
    </row>
    <row r="2404" spans="5:11" x14ac:dyDescent="0.25">
      <c r="E2404" t="s">
        <v>4717</v>
      </c>
      <c r="F2404">
        <v>1403161</v>
      </c>
      <c r="G2404" s="1">
        <v>45382</v>
      </c>
      <c r="H2404" t="s">
        <v>4718</v>
      </c>
      <c r="I2404" t="s">
        <v>36</v>
      </c>
      <c r="J2404" s="1">
        <v>45292</v>
      </c>
      <c r="K2404">
        <v>4663000000</v>
      </c>
    </row>
    <row r="2405" spans="5:11" x14ac:dyDescent="0.25">
      <c r="E2405" t="s">
        <v>4719</v>
      </c>
      <c r="F2405">
        <v>1403475</v>
      </c>
      <c r="G2405" s="1">
        <v>45382</v>
      </c>
      <c r="H2405" t="s">
        <v>4720</v>
      </c>
      <c r="I2405" t="s">
        <v>36</v>
      </c>
      <c r="J2405" s="1">
        <v>45292</v>
      </c>
      <c r="K2405">
        <v>2922000</v>
      </c>
    </row>
    <row r="2406" spans="5:11" x14ac:dyDescent="0.25">
      <c r="E2406" t="s">
        <v>4721</v>
      </c>
      <c r="F2406">
        <v>1403528</v>
      </c>
      <c r="G2406" s="1">
        <v>45382</v>
      </c>
      <c r="H2406" t="s">
        <v>4722</v>
      </c>
      <c r="I2406" t="s">
        <v>36</v>
      </c>
      <c r="J2406" s="1">
        <v>45292</v>
      </c>
      <c r="K2406">
        <v>83615000</v>
      </c>
    </row>
    <row r="2407" spans="5:11" x14ac:dyDescent="0.25">
      <c r="E2407" t="s">
        <v>4723</v>
      </c>
      <c r="F2407">
        <v>1403568</v>
      </c>
      <c r="G2407" s="1">
        <v>45416</v>
      </c>
      <c r="H2407" t="s">
        <v>4724</v>
      </c>
      <c r="I2407" t="s">
        <v>19</v>
      </c>
      <c r="J2407" s="1">
        <v>45326</v>
      </c>
      <c r="K2407">
        <v>313113000</v>
      </c>
    </row>
    <row r="2408" spans="5:11" x14ac:dyDescent="0.25">
      <c r="E2408" t="s">
        <v>4725</v>
      </c>
      <c r="F2408">
        <v>1403708</v>
      </c>
      <c r="G2408" s="1">
        <v>45382</v>
      </c>
      <c r="H2408" t="s">
        <v>4726</v>
      </c>
      <c r="I2408" t="s">
        <v>36</v>
      </c>
      <c r="J2408" s="1">
        <v>45292</v>
      </c>
      <c r="K2408">
        <v>-1579820</v>
      </c>
    </row>
    <row r="2409" spans="5:11" x14ac:dyDescent="0.25">
      <c r="E2409" t="s">
        <v>4727</v>
      </c>
      <c r="F2409">
        <v>1404281</v>
      </c>
      <c r="G2409" s="1">
        <v>45382</v>
      </c>
      <c r="H2409" t="s">
        <v>4728</v>
      </c>
      <c r="I2409" t="s">
        <v>36</v>
      </c>
      <c r="J2409" s="1">
        <v>45292</v>
      </c>
      <c r="K2409">
        <v>-23631000</v>
      </c>
    </row>
    <row r="2410" spans="5:11" x14ac:dyDescent="0.25">
      <c r="E2410" t="s">
        <v>4729</v>
      </c>
      <c r="F2410">
        <v>1404644</v>
      </c>
      <c r="G2410" s="1">
        <v>45382</v>
      </c>
      <c r="H2410" t="s">
        <v>4730</v>
      </c>
      <c r="I2410" t="s">
        <v>57</v>
      </c>
      <c r="J2410" s="1">
        <v>45292</v>
      </c>
      <c r="K2410">
        <v>-16921000</v>
      </c>
    </row>
    <row r="2411" spans="5:11" x14ac:dyDescent="0.25">
      <c r="E2411" t="s">
        <v>4731</v>
      </c>
      <c r="F2411">
        <v>1404655</v>
      </c>
      <c r="G2411" s="1">
        <v>45382</v>
      </c>
      <c r="H2411" t="s">
        <v>4732</v>
      </c>
      <c r="I2411" t="s">
        <v>24</v>
      </c>
      <c r="J2411" s="1">
        <v>45292</v>
      </c>
      <c r="K2411">
        <v>5934000</v>
      </c>
    </row>
    <row r="2412" spans="5:11" x14ac:dyDescent="0.25">
      <c r="E2412" t="s">
        <v>4733</v>
      </c>
      <c r="F2412">
        <v>1404804</v>
      </c>
      <c r="G2412" s="1">
        <v>45382</v>
      </c>
      <c r="H2412" t="s">
        <v>4734</v>
      </c>
      <c r="I2412" t="s">
        <v>36</v>
      </c>
      <c r="J2412" s="1">
        <v>45292</v>
      </c>
      <c r="K2412">
        <v>-66458</v>
      </c>
    </row>
    <row r="2413" spans="5:11" x14ac:dyDescent="0.25">
      <c r="E2413" t="s">
        <v>4735</v>
      </c>
      <c r="F2413">
        <v>1404912</v>
      </c>
      <c r="G2413" s="1">
        <v>45382</v>
      </c>
      <c r="H2413" t="s">
        <v>4736</v>
      </c>
      <c r="I2413" t="s">
        <v>57</v>
      </c>
      <c r="J2413" s="1">
        <v>45292</v>
      </c>
      <c r="K2413">
        <v>682214000</v>
      </c>
    </row>
    <row r="2414" spans="5:11" x14ac:dyDescent="0.25">
      <c r="E2414" t="s">
        <v>10466</v>
      </c>
      <c r="F2414">
        <v>1405495</v>
      </c>
      <c r="G2414" s="1">
        <v>45382</v>
      </c>
      <c r="H2414" t="s">
        <v>4737</v>
      </c>
      <c r="I2414" t="s">
        <v>186</v>
      </c>
      <c r="J2414" s="1">
        <v>45292</v>
      </c>
      <c r="K2414">
        <v>81652000</v>
      </c>
    </row>
    <row r="2415" spans="5:11" x14ac:dyDescent="0.25">
      <c r="E2415" t="s">
        <v>4738</v>
      </c>
      <c r="F2415">
        <v>1405513</v>
      </c>
      <c r="G2415" s="1">
        <v>45382</v>
      </c>
      <c r="H2415" t="s">
        <v>4739</v>
      </c>
      <c r="I2415" t="s">
        <v>36</v>
      </c>
      <c r="J2415" s="1">
        <v>45292</v>
      </c>
      <c r="K2415">
        <v>-2278270</v>
      </c>
    </row>
    <row r="2416" spans="5:11" x14ac:dyDescent="0.25">
      <c r="E2416" t="s">
        <v>4740</v>
      </c>
      <c r="F2416">
        <v>1405528</v>
      </c>
      <c r="G2416" s="1">
        <v>45382</v>
      </c>
      <c r="H2416" t="s">
        <v>4741</v>
      </c>
      <c r="I2416" t="s">
        <v>36</v>
      </c>
      <c r="J2416" s="1">
        <v>45292</v>
      </c>
      <c r="K2416">
        <v>8273478</v>
      </c>
    </row>
    <row r="2417" spans="5:11" x14ac:dyDescent="0.25">
      <c r="E2417" t="s">
        <v>4742</v>
      </c>
      <c r="F2417">
        <v>1406587</v>
      </c>
      <c r="G2417" s="1">
        <v>45382</v>
      </c>
      <c r="H2417" t="s">
        <v>4743</v>
      </c>
      <c r="I2417" t="s">
        <v>30</v>
      </c>
      <c r="J2417" s="1">
        <v>45292</v>
      </c>
      <c r="K2417">
        <v>45000000</v>
      </c>
    </row>
    <row r="2418" spans="5:11" x14ac:dyDescent="0.25">
      <c r="E2418" t="s">
        <v>4744</v>
      </c>
      <c r="F2418">
        <v>1406666</v>
      </c>
      <c r="G2418" s="1">
        <v>45381</v>
      </c>
      <c r="H2418" t="s">
        <v>4745</v>
      </c>
      <c r="I2418" t="s">
        <v>36</v>
      </c>
      <c r="J2418" s="1">
        <v>45292</v>
      </c>
      <c r="K2418">
        <v>103000</v>
      </c>
    </row>
    <row r="2419" spans="5:11" x14ac:dyDescent="0.25">
      <c r="E2419" t="s">
        <v>4746</v>
      </c>
      <c r="F2419">
        <v>1407583</v>
      </c>
      <c r="G2419" s="1">
        <v>45382</v>
      </c>
      <c r="H2419" t="s">
        <v>4747</v>
      </c>
      <c r="I2419" t="s">
        <v>912</v>
      </c>
      <c r="J2419" s="1">
        <v>45292</v>
      </c>
      <c r="K2419">
        <v>-5582036</v>
      </c>
    </row>
    <row r="2420" spans="5:11" x14ac:dyDescent="0.25">
      <c r="E2420" t="s">
        <v>10467</v>
      </c>
      <c r="F2420">
        <v>1407623</v>
      </c>
      <c r="G2420" s="1">
        <v>45382</v>
      </c>
      <c r="H2420" t="s">
        <v>4748</v>
      </c>
      <c r="I2420" t="s">
        <v>36</v>
      </c>
      <c r="J2420" s="1">
        <v>45292</v>
      </c>
      <c r="K2420">
        <v>11018000</v>
      </c>
    </row>
    <row r="2421" spans="5:11" x14ac:dyDescent="0.25">
      <c r="E2421" t="s">
        <v>4749</v>
      </c>
      <c r="F2421">
        <v>1407704</v>
      </c>
      <c r="G2421" s="1">
        <v>45382</v>
      </c>
      <c r="H2421" t="s">
        <v>4750</v>
      </c>
      <c r="I2421" t="s">
        <v>142</v>
      </c>
      <c r="J2421" s="1">
        <v>45292</v>
      </c>
      <c r="K2421">
        <v>-2229800</v>
      </c>
    </row>
    <row r="2422" spans="5:11" x14ac:dyDescent="0.25">
      <c r="E2422" t="s">
        <v>4751</v>
      </c>
      <c r="F2422">
        <v>1407878</v>
      </c>
      <c r="G2422" s="1">
        <v>45382</v>
      </c>
      <c r="H2422" t="s">
        <v>4752</v>
      </c>
      <c r="I2422" t="s">
        <v>36</v>
      </c>
      <c r="J2422" s="1">
        <v>45292</v>
      </c>
      <c r="K2422">
        <v>-6755499</v>
      </c>
    </row>
    <row r="2423" spans="5:11" x14ac:dyDescent="0.25">
      <c r="E2423" t="s">
        <v>4753</v>
      </c>
      <c r="F2423">
        <v>1407973</v>
      </c>
      <c r="G2423" s="1">
        <v>45382</v>
      </c>
      <c r="H2423" t="s">
        <v>4754</v>
      </c>
      <c r="I2423" t="s">
        <v>36</v>
      </c>
      <c r="J2423" s="1">
        <v>45292</v>
      </c>
      <c r="K2423">
        <v>-6762000</v>
      </c>
    </row>
    <row r="2424" spans="5:11" x14ac:dyDescent="0.25">
      <c r="E2424" t="s">
        <v>4755</v>
      </c>
      <c r="F2424">
        <v>1408075</v>
      </c>
      <c r="G2424" s="1">
        <v>45382</v>
      </c>
      <c r="H2424" t="s">
        <v>4756</v>
      </c>
      <c r="I2424" t="s">
        <v>64</v>
      </c>
      <c r="J2424" s="1">
        <v>45292</v>
      </c>
      <c r="K2424">
        <v>165000000</v>
      </c>
    </row>
    <row r="2425" spans="5:11" x14ac:dyDescent="0.25">
      <c r="E2425" t="s">
        <v>4757</v>
      </c>
      <c r="F2425">
        <v>1408146</v>
      </c>
      <c r="G2425" s="1">
        <v>45382</v>
      </c>
      <c r="H2425" t="s">
        <v>4758</v>
      </c>
      <c r="I2425" t="s">
        <v>142</v>
      </c>
      <c r="J2425" s="1">
        <v>45292</v>
      </c>
      <c r="K2425">
        <v>-151196</v>
      </c>
    </row>
    <row r="2426" spans="5:11" x14ac:dyDescent="0.25">
      <c r="E2426" t="s">
        <v>10468</v>
      </c>
      <c r="F2426">
        <v>1408198</v>
      </c>
      <c r="G2426" s="1">
        <v>45382</v>
      </c>
      <c r="H2426" t="s">
        <v>4759</v>
      </c>
      <c r="I2426" t="s">
        <v>57</v>
      </c>
      <c r="J2426" s="1">
        <v>45292</v>
      </c>
      <c r="K2426">
        <v>255954000</v>
      </c>
    </row>
    <row r="2427" spans="5:11" x14ac:dyDescent="0.25">
      <c r="E2427" t="s">
        <v>4760</v>
      </c>
      <c r="F2427">
        <v>1408443</v>
      </c>
      <c r="G2427" s="1">
        <v>45382</v>
      </c>
      <c r="H2427" t="s">
        <v>4761</v>
      </c>
      <c r="I2427" t="s">
        <v>2052</v>
      </c>
      <c r="J2427" s="1">
        <v>45292</v>
      </c>
      <c r="K2427">
        <v>-10354000</v>
      </c>
    </row>
    <row r="2428" spans="5:11" x14ac:dyDescent="0.25">
      <c r="E2428" t="s">
        <v>4762</v>
      </c>
      <c r="F2428">
        <v>1408534</v>
      </c>
      <c r="G2428" s="1">
        <v>45382</v>
      </c>
      <c r="H2428" t="s">
        <v>4763</v>
      </c>
      <c r="I2428" t="s">
        <v>179</v>
      </c>
      <c r="J2428" s="1">
        <v>45292</v>
      </c>
      <c r="K2428">
        <v>2310000</v>
      </c>
    </row>
    <row r="2429" spans="5:11" x14ac:dyDescent="0.25">
      <c r="E2429" t="s">
        <v>4764</v>
      </c>
      <c r="F2429">
        <v>1408710</v>
      </c>
      <c r="G2429" s="1">
        <v>45380</v>
      </c>
      <c r="H2429" t="s">
        <v>4765</v>
      </c>
      <c r="I2429" t="s">
        <v>2436</v>
      </c>
      <c r="J2429" s="1">
        <v>45290</v>
      </c>
      <c r="K2429">
        <v>80916000</v>
      </c>
    </row>
    <row r="2430" spans="5:11" x14ac:dyDescent="0.25">
      <c r="E2430" t="s">
        <v>4766</v>
      </c>
      <c r="F2430">
        <v>1409171</v>
      </c>
      <c r="G2430" s="1">
        <v>45412</v>
      </c>
      <c r="H2430" t="s">
        <v>4767</v>
      </c>
      <c r="I2430" t="s">
        <v>518</v>
      </c>
      <c r="J2430" s="1">
        <v>45323</v>
      </c>
      <c r="K2430">
        <v>9441000</v>
      </c>
    </row>
    <row r="2431" spans="5:11" x14ac:dyDescent="0.25">
      <c r="E2431" t="s">
        <v>4768</v>
      </c>
      <c r="F2431">
        <v>1409197</v>
      </c>
      <c r="G2431" s="1">
        <v>45382</v>
      </c>
      <c r="H2431" t="s">
        <v>4769</v>
      </c>
      <c r="I2431" t="s">
        <v>1792</v>
      </c>
      <c r="J2431" s="1">
        <v>45292</v>
      </c>
      <c r="K2431">
        <v>-314118</v>
      </c>
    </row>
    <row r="2432" spans="5:11" x14ac:dyDescent="0.25">
      <c r="E2432" t="s">
        <v>4770</v>
      </c>
      <c r="F2432">
        <v>1409269</v>
      </c>
      <c r="G2432" s="1">
        <v>45382</v>
      </c>
      <c r="H2432" t="s">
        <v>4771</v>
      </c>
      <c r="I2432" t="s">
        <v>912</v>
      </c>
      <c r="J2432" s="1">
        <v>45292</v>
      </c>
      <c r="K2432">
        <v>-9794000</v>
      </c>
    </row>
    <row r="2433" spans="5:11" x14ac:dyDescent="0.25">
      <c r="E2433" t="s">
        <v>4772</v>
      </c>
      <c r="F2433">
        <v>1409375</v>
      </c>
      <c r="G2433" s="1">
        <v>45382</v>
      </c>
      <c r="H2433" t="s">
        <v>4773</v>
      </c>
      <c r="I2433" t="s">
        <v>83</v>
      </c>
      <c r="J2433" s="1">
        <v>45292</v>
      </c>
      <c r="K2433">
        <v>1610000</v>
      </c>
    </row>
    <row r="2434" spans="5:11" x14ac:dyDescent="0.25">
      <c r="E2434" t="s">
        <v>4774</v>
      </c>
      <c r="F2434">
        <v>1409493</v>
      </c>
      <c r="G2434" s="1">
        <v>45382</v>
      </c>
      <c r="H2434" t="s">
        <v>4775</v>
      </c>
      <c r="I2434" t="s">
        <v>57</v>
      </c>
      <c r="J2434" s="1">
        <v>45292</v>
      </c>
      <c r="K2434">
        <v>129454000</v>
      </c>
    </row>
    <row r="2435" spans="5:11" x14ac:dyDescent="0.25">
      <c r="E2435" t="s">
        <v>4776</v>
      </c>
      <c r="F2435">
        <v>1409624</v>
      </c>
      <c r="G2435" s="1">
        <v>45412</v>
      </c>
      <c r="H2435" t="s">
        <v>4777</v>
      </c>
      <c r="I2435" t="s">
        <v>39</v>
      </c>
      <c r="J2435" s="1">
        <v>45323</v>
      </c>
      <c r="K2435">
        <v>-483314</v>
      </c>
    </row>
    <row r="2436" spans="5:11" x14ac:dyDescent="0.25">
      <c r="E2436" t="s">
        <v>4778</v>
      </c>
      <c r="F2436">
        <v>1409947</v>
      </c>
      <c r="G2436" s="1">
        <v>45382</v>
      </c>
      <c r="H2436" t="s">
        <v>4779</v>
      </c>
      <c r="I2436" t="s">
        <v>46</v>
      </c>
      <c r="J2436" s="1">
        <v>45292</v>
      </c>
      <c r="K2436">
        <v>296000</v>
      </c>
    </row>
    <row r="2437" spans="5:11" x14ac:dyDescent="0.25">
      <c r="E2437" t="s">
        <v>4780</v>
      </c>
      <c r="F2437">
        <v>1409970</v>
      </c>
      <c r="G2437" s="1">
        <v>45382</v>
      </c>
      <c r="H2437" t="s">
        <v>4781</v>
      </c>
      <c r="I2437" t="s">
        <v>36</v>
      </c>
      <c r="J2437" s="1">
        <v>45292</v>
      </c>
      <c r="K2437">
        <v>12250000</v>
      </c>
    </row>
    <row r="2438" spans="5:11" x14ac:dyDescent="0.25">
      <c r="E2438" t="s">
        <v>4782</v>
      </c>
      <c r="F2438">
        <v>1410098</v>
      </c>
      <c r="G2438" s="1">
        <v>45382</v>
      </c>
      <c r="H2438" t="s">
        <v>4783</v>
      </c>
      <c r="I2438" t="s">
        <v>46</v>
      </c>
      <c r="J2438" s="1">
        <v>45292</v>
      </c>
      <c r="K2438">
        <v>-14466123</v>
      </c>
    </row>
    <row r="2439" spans="5:11" x14ac:dyDescent="0.25">
      <c r="E2439" t="s">
        <v>4784</v>
      </c>
      <c r="F2439">
        <v>1410384</v>
      </c>
      <c r="G2439" s="1">
        <v>45382</v>
      </c>
      <c r="H2439" t="s">
        <v>4785</v>
      </c>
      <c r="I2439" t="s">
        <v>30</v>
      </c>
      <c r="J2439" s="1">
        <v>45292</v>
      </c>
      <c r="K2439">
        <v>-13843000</v>
      </c>
    </row>
    <row r="2440" spans="5:11" x14ac:dyDescent="0.25">
      <c r="E2440" t="s">
        <v>4786</v>
      </c>
      <c r="F2440">
        <v>1410428</v>
      </c>
      <c r="G2440" s="1">
        <v>45382</v>
      </c>
      <c r="H2440" t="s">
        <v>4787</v>
      </c>
      <c r="I2440" t="s">
        <v>57</v>
      </c>
      <c r="J2440" s="1">
        <v>45292</v>
      </c>
      <c r="K2440">
        <v>-2512000</v>
      </c>
    </row>
    <row r="2441" spans="5:11" x14ac:dyDescent="0.25">
      <c r="E2441" t="s">
        <v>10469</v>
      </c>
      <c r="F2441">
        <v>1410636</v>
      </c>
      <c r="G2441" s="1">
        <v>45382</v>
      </c>
      <c r="H2441" t="s">
        <v>4788</v>
      </c>
      <c r="I2441" t="s">
        <v>46</v>
      </c>
      <c r="J2441" s="1">
        <v>45292</v>
      </c>
      <c r="K2441">
        <v>185000000</v>
      </c>
    </row>
    <row r="2442" spans="5:11" x14ac:dyDescent="0.25">
      <c r="E2442" t="s">
        <v>4789</v>
      </c>
      <c r="F2442">
        <v>1410738</v>
      </c>
      <c r="G2442" s="1">
        <v>45382</v>
      </c>
      <c r="H2442" t="s">
        <v>4790</v>
      </c>
      <c r="I2442" t="s">
        <v>30</v>
      </c>
      <c r="J2442" s="1">
        <v>45292</v>
      </c>
      <c r="K2442">
        <v>-2666104</v>
      </c>
    </row>
    <row r="2443" spans="5:11" x14ac:dyDescent="0.25">
      <c r="E2443" t="s">
        <v>4791</v>
      </c>
      <c r="F2443">
        <v>1411057</v>
      </c>
      <c r="G2443" s="1">
        <v>45351</v>
      </c>
      <c r="H2443" t="s">
        <v>4792</v>
      </c>
      <c r="I2443" t="s">
        <v>30</v>
      </c>
      <c r="J2443" s="1">
        <v>45261</v>
      </c>
      <c r="K2443">
        <v>-209192</v>
      </c>
    </row>
    <row r="2444" spans="5:11" x14ac:dyDescent="0.25">
      <c r="E2444" t="s">
        <v>4793</v>
      </c>
      <c r="F2444">
        <v>1411168</v>
      </c>
      <c r="G2444" s="1">
        <v>45382</v>
      </c>
      <c r="H2444" t="s">
        <v>4794</v>
      </c>
      <c r="I2444" t="s">
        <v>2552</v>
      </c>
      <c r="J2444" s="1">
        <v>45292</v>
      </c>
      <c r="K2444">
        <v>0</v>
      </c>
    </row>
    <row r="2445" spans="5:11" x14ac:dyDescent="0.25">
      <c r="E2445" t="s">
        <v>4795</v>
      </c>
      <c r="F2445">
        <v>1411207</v>
      </c>
      <c r="G2445" s="1">
        <v>45382</v>
      </c>
      <c r="H2445" t="s">
        <v>4796</v>
      </c>
      <c r="I2445" t="s">
        <v>288</v>
      </c>
      <c r="J2445" s="1">
        <v>45292</v>
      </c>
      <c r="K2445">
        <v>169000000</v>
      </c>
    </row>
    <row r="2446" spans="5:11" x14ac:dyDescent="0.25">
      <c r="E2446" t="s">
        <v>4797</v>
      </c>
      <c r="F2446">
        <v>1411342</v>
      </c>
      <c r="G2446" s="1">
        <v>45382</v>
      </c>
      <c r="H2446" t="s">
        <v>4798</v>
      </c>
      <c r="I2446" t="s">
        <v>27</v>
      </c>
      <c r="J2446" s="1">
        <v>45292</v>
      </c>
      <c r="K2446">
        <v>26915000</v>
      </c>
    </row>
    <row r="2447" spans="5:11" x14ac:dyDescent="0.25">
      <c r="E2447" t="s">
        <v>4799</v>
      </c>
      <c r="F2447">
        <v>1411579</v>
      </c>
      <c r="G2447" s="1">
        <v>45382</v>
      </c>
      <c r="H2447" t="s">
        <v>4800</v>
      </c>
      <c r="I2447" t="s">
        <v>106</v>
      </c>
      <c r="J2447" s="1">
        <v>45292</v>
      </c>
      <c r="K2447">
        <v>-163500000</v>
      </c>
    </row>
    <row r="2448" spans="5:11" x14ac:dyDescent="0.25">
      <c r="E2448" t="s">
        <v>4801</v>
      </c>
      <c r="F2448">
        <v>1411690</v>
      </c>
      <c r="G2448" s="1">
        <v>45382</v>
      </c>
      <c r="H2448" t="s">
        <v>4802</v>
      </c>
      <c r="I2448" t="s">
        <v>36</v>
      </c>
      <c r="J2448" s="1">
        <v>45292</v>
      </c>
      <c r="K2448">
        <v>-31422000</v>
      </c>
    </row>
    <row r="2449" spans="5:11" x14ac:dyDescent="0.25">
      <c r="E2449" t="s">
        <v>4803</v>
      </c>
      <c r="F2449">
        <v>1412100</v>
      </c>
      <c r="G2449" s="1">
        <v>45382</v>
      </c>
      <c r="H2449" t="s">
        <v>4804</v>
      </c>
      <c r="I2449" t="s">
        <v>919</v>
      </c>
      <c r="J2449" s="1">
        <v>45292</v>
      </c>
      <c r="K2449">
        <v>1459000</v>
      </c>
    </row>
    <row r="2450" spans="5:11" x14ac:dyDescent="0.25">
      <c r="E2450" t="s">
        <v>4805</v>
      </c>
      <c r="F2450">
        <v>1412126</v>
      </c>
      <c r="G2450" s="1">
        <v>45382</v>
      </c>
      <c r="H2450" t="s">
        <v>4806</v>
      </c>
      <c r="I2450" t="s">
        <v>33</v>
      </c>
      <c r="J2450" s="1">
        <v>45292</v>
      </c>
      <c r="K2450">
        <v>-252580</v>
      </c>
    </row>
    <row r="2451" spans="5:11" x14ac:dyDescent="0.25">
      <c r="E2451" t="s">
        <v>10470</v>
      </c>
      <c r="F2451">
        <v>1412408</v>
      </c>
      <c r="G2451" s="1">
        <v>45412</v>
      </c>
      <c r="H2451" t="s">
        <v>4807</v>
      </c>
      <c r="I2451" t="s">
        <v>186</v>
      </c>
      <c r="J2451" s="1">
        <v>45323</v>
      </c>
      <c r="K2451">
        <v>-19722000</v>
      </c>
    </row>
    <row r="2452" spans="5:11" x14ac:dyDescent="0.25">
      <c r="E2452" t="s">
        <v>4808</v>
      </c>
      <c r="F2452">
        <v>1412486</v>
      </c>
      <c r="G2452" s="1">
        <v>45382</v>
      </c>
      <c r="H2452" t="s">
        <v>4809</v>
      </c>
      <c r="I2452" t="s">
        <v>504</v>
      </c>
      <c r="J2452" s="1">
        <v>45292</v>
      </c>
      <c r="K2452">
        <v>-3956000</v>
      </c>
    </row>
    <row r="2453" spans="5:11" x14ac:dyDescent="0.25">
      <c r="E2453" t="s">
        <v>4810</v>
      </c>
      <c r="F2453">
        <v>1412502</v>
      </c>
      <c r="G2453" s="1">
        <v>45382</v>
      </c>
      <c r="H2453" t="s">
        <v>4811</v>
      </c>
      <c r="I2453" t="s">
        <v>518</v>
      </c>
      <c r="J2453" s="1">
        <v>45292</v>
      </c>
      <c r="K2453">
        <v>1741000</v>
      </c>
    </row>
    <row r="2454" spans="5:11" x14ac:dyDescent="0.25">
      <c r="E2454" t="s">
        <v>4812</v>
      </c>
      <c r="F2454">
        <v>1412665</v>
      </c>
      <c r="G2454" s="1">
        <v>45382</v>
      </c>
      <c r="H2454" t="s">
        <v>4813</v>
      </c>
      <c r="I2454" t="s">
        <v>95</v>
      </c>
      <c r="J2454" s="1">
        <v>45292</v>
      </c>
      <c r="K2454">
        <v>3269000</v>
      </c>
    </row>
    <row r="2455" spans="5:11" x14ac:dyDescent="0.25">
      <c r="E2455" t="s">
        <v>4814</v>
      </c>
      <c r="F2455">
        <v>1413119</v>
      </c>
      <c r="G2455" s="1">
        <v>45382</v>
      </c>
      <c r="H2455" t="s">
        <v>4815</v>
      </c>
      <c r="I2455" t="s">
        <v>329</v>
      </c>
      <c r="J2455" s="1">
        <v>45292</v>
      </c>
      <c r="K2455">
        <v>-507875</v>
      </c>
    </row>
    <row r="2456" spans="5:11" x14ac:dyDescent="0.25">
      <c r="E2456" t="s">
        <v>4816</v>
      </c>
      <c r="F2456">
        <v>1413329</v>
      </c>
      <c r="G2456" s="1">
        <v>45382</v>
      </c>
      <c r="H2456" t="s">
        <v>4817</v>
      </c>
      <c r="I2456" t="s">
        <v>27</v>
      </c>
      <c r="J2456" s="1">
        <v>45292</v>
      </c>
      <c r="K2456">
        <v>2148000000</v>
      </c>
    </row>
    <row r="2457" spans="5:11" x14ac:dyDescent="0.25">
      <c r="E2457" t="s">
        <v>4818</v>
      </c>
      <c r="F2457">
        <v>1413447</v>
      </c>
      <c r="G2457" s="1">
        <v>45382</v>
      </c>
      <c r="H2457" t="s">
        <v>4819</v>
      </c>
      <c r="I2457" t="s">
        <v>4820</v>
      </c>
      <c r="J2457" s="1">
        <v>45292</v>
      </c>
      <c r="K2457">
        <v>639000000</v>
      </c>
    </row>
    <row r="2458" spans="5:11" x14ac:dyDescent="0.25">
      <c r="E2458" t="s">
        <v>4821</v>
      </c>
      <c r="F2458">
        <v>1413754</v>
      </c>
      <c r="G2458" s="1">
        <v>45382</v>
      </c>
      <c r="H2458" t="s">
        <v>4822</v>
      </c>
      <c r="I2458" t="s">
        <v>33</v>
      </c>
      <c r="J2458" s="1">
        <v>45292</v>
      </c>
      <c r="K2458">
        <v>-6226292</v>
      </c>
    </row>
    <row r="2459" spans="5:11" x14ac:dyDescent="0.25">
      <c r="E2459" t="s">
        <v>4823</v>
      </c>
      <c r="F2459">
        <v>1413837</v>
      </c>
      <c r="G2459" s="1">
        <v>45382</v>
      </c>
      <c r="H2459" t="s">
        <v>4824</v>
      </c>
      <c r="I2459" t="s">
        <v>30</v>
      </c>
      <c r="J2459" s="1">
        <v>45292</v>
      </c>
      <c r="K2459">
        <v>793000</v>
      </c>
    </row>
    <row r="2460" spans="5:11" x14ac:dyDescent="0.25">
      <c r="E2460" t="s">
        <v>4825</v>
      </c>
      <c r="F2460">
        <v>1413891</v>
      </c>
      <c r="G2460" s="1">
        <v>45382</v>
      </c>
      <c r="H2460" t="s">
        <v>4826</v>
      </c>
      <c r="I2460" t="s">
        <v>19</v>
      </c>
      <c r="J2460" s="1">
        <v>45292</v>
      </c>
      <c r="K2460">
        <v>-414438</v>
      </c>
    </row>
    <row r="2461" spans="5:11" x14ac:dyDescent="0.25">
      <c r="E2461" t="s">
        <v>4827</v>
      </c>
      <c r="F2461">
        <v>1413898</v>
      </c>
      <c r="G2461" s="1">
        <v>45382</v>
      </c>
      <c r="H2461" t="s">
        <v>4828</v>
      </c>
      <c r="I2461" t="s">
        <v>30</v>
      </c>
      <c r="J2461" s="1">
        <v>45292</v>
      </c>
      <c r="K2461">
        <v>-1363000</v>
      </c>
    </row>
    <row r="2462" spans="5:11" x14ac:dyDescent="0.25">
      <c r="E2462" t="s">
        <v>4829</v>
      </c>
      <c r="F2462">
        <v>1414382</v>
      </c>
      <c r="G2462" s="1">
        <v>45412</v>
      </c>
      <c r="H2462" t="s">
        <v>4830</v>
      </c>
      <c r="I2462" t="s">
        <v>60</v>
      </c>
      <c r="J2462" s="1">
        <v>45323</v>
      </c>
      <c r="K2462">
        <v>-10640</v>
      </c>
    </row>
    <row r="2463" spans="5:11" x14ac:dyDescent="0.25">
      <c r="E2463" t="s">
        <v>4831</v>
      </c>
      <c r="F2463">
        <v>1414767</v>
      </c>
      <c r="G2463" s="1">
        <v>45412</v>
      </c>
      <c r="H2463" t="s">
        <v>4832</v>
      </c>
      <c r="I2463" t="s">
        <v>24</v>
      </c>
      <c r="J2463" s="1">
        <v>45323</v>
      </c>
      <c r="K2463">
        <v>-2606736</v>
      </c>
    </row>
    <row r="2464" spans="5:11" x14ac:dyDescent="0.25">
      <c r="E2464" t="s">
        <v>4833</v>
      </c>
      <c r="F2464">
        <v>1414932</v>
      </c>
      <c r="G2464" s="1">
        <v>45382</v>
      </c>
      <c r="H2464" t="s">
        <v>4834</v>
      </c>
      <c r="I2464" t="s">
        <v>36</v>
      </c>
      <c r="J2464" s="1">
        <v>45292</v>
      </c>
      <c r="K2464">
        <v>9337000</v>
      </c>
    </row>
    <row r="2465" spans="5:11" x14ac:dyDescent="0.25">
      <c r="E2465" t="s">
        <v>10471</v>
      </c>
      <c r="F2465">
        <v>1414953</v>
      </c>
      <c r="G2465" s="1">
        <v>45382</v>
      </c>
      <c r="H2465" t="s">
        <v>4835</v>
      </c>
      <c r="I2465" t="s">
        <v>46</v>
      </c>
      <c r="J2465" s="1">
        <v>45292</v>
      </c>
      <c r="K2465">
        <v>-103020</v>
      </c>
    </row>
    <row r="2466" spans="5:11" x14ac:dyDescent="0.25">
      <c r="E2466" t="s">
        <v>4836</v>
      </c>
      <c r="F2466">
        <v>1415311</v>
      </c>
      <c r="G2466" s="1">
        <v>45382</v>
      </c>
      <c r="H2466" t="s">
        <v>4837</v>
      </c>
      <c r="I2466" t="s">
        <v>299</v>
      </c>
      <c r="J2466" s="1">
        <v>45292</v>
      </c>
      <c r="K2466">
        <v>-231588146</v>
      </c>
    </row>
    <row r="2467" spans="5:11" x14ac:dyDescent="0.25">
      <c r="E2467" t="s">
        <v>4838</v>
      </c>
      <c r="F2467">
        <v>1415332</v>
      </c>
      <c r="G2467" s="1">
        <v>45382</v>
      </c>
      <c r="H2467" t="s">
        <v>4839</v>
      </c>
      <c r="I2467" t="s">
        <v>142</v>
      </c>
      <c r="J2467" s="1">
        <v>45292</v>
      </c>
      <c r="K2467">
        <v>-322684</v>
      </c>
    </row>
    <row r="2468" spans="5:11" x14ac:dyDescent="0.25">
      <c r="E2468" t="s">
        <v>4840</v>
      </c>
      <c r="F2468">
        <v>1415397</v>
      </c>
      <c r="G2468" s="1">
        <v>45382</v>
      </c>
      <c r="H2468" t="s">
        <v>4841</v>
      </c>
      <c r="I2468" t="s">
        <v>1511</v>
      </c>
      <c r="J2468" s="1">
        <v>45292</v>
      </c>
      <c r="K2468">
        <v>-550000</v>
      </c>
    </row>
    <row r="2469" spans="5:11" x14ac:dyDescent="0.25">
      <c r="E2469" t="s">
        <v>4842</v>
      </c>
      <c r="F2469">
        <v>1415744</v>
      </c>
      <c r="G2469" s="1">
        <v>45412</v>
      </c>
      <c r="H2469" t="s">
        <v>4843</v>
      </c>
      <c r="I2469" t="s">
        <v>406</v>
      </c>
      <c r="J2469" s="1">
        <v>45323</v>
      </c>
      <c r="K2469">
        <v>-39154</v>
      </c>
    </row>
    <row r="2470" spans="5:11" x14ac:dyDescent="0.25">
      <c r="E2470" t="s">
        <v>4844</v>
      </c>
      <c r="F2470">
        <v>1415813</v>
      </c>
      <c r="G2470" s="1">
        <v>45382</v>
      </c>
      <c r="H2470" t="s">
        <v>4845</v>
      </c>
      <c r="I2470" t="s">
        <v>912</v>
      </c>
      <c r="J2470" s="1">
        <v>45292</v>
      </c>
      <c r="K2470">
        <v>-24721</v>
      </c>
    </row>
    <row r="2471" spans="5:11" x14ac:dyDescent="0.25">
      <c r="E2471" t="s">
        <v>4846</v>
      </c>
      <c r="F2471">
        <v>1416090</v>
      </c>
      <c r="G2471" s="1">
        <v>45382</v>
      </c>
      <c r="H2471" t="s">
        <v>4847</v>
      </c>
      <c r="I2471" t="s">
        <v>406</v>
      </c>
      <c r="J2471" s="1">
        <v>45292</v>
      </c>
      <c r="K2471">
        <v>-256980</v>
      </c>
    </row>
    <row r="2472" spans="5:11" x14ac:dyDescent="0.25">
      <c r="E2472" t="s">
        <v>4848</v>
      </c>
      <c r="F2472">
        <v>1416265</v>
      </c>
      <c r="G2472" s="1">
        <v>45382</v>
      </c>
      <c r="H2472" t="s">
        <v>4849</v>
      </c>
      <c r="I2472" t="s">
        <v>36</v>
      </c>
      <c r="J2472" s="1">
        <v>45292</v>
      </c>
      <c r="K2472">
        <v>22295000</v>
      </c>
    </row>
    <row r="2473" spans="5:11" x14ac:dyDescent="0.25">
      <c r="E2473" t="s">
        <v>4850</v>
      </c>
      <c r="F2473">
        <v>1416697</v>
      </c>
      <c r="G2473" s="1">
        <v>45382</v>
      </c>
      <c r="H2473" t="s">
        <v>4851</v>
      </c>
      <c r="I2473" t="s">
        <v>92</v>
      </c>
      <c r="J2473" s="1">
        <v>45292</v>
      </c>
      <c r="K2473">
        <v>157309</v>
      </c>
    </row>
    <row r="2474" spans="5:11" x14ac:dyDescent="0.25">
      <c r="E2474" t="s">
        <v>4852</v>
      </c>
      <c r="F2474">
        <v>1416876</v>
      </c>
      <c r="G2474" s="1">
        <v>45382</v>
      </c>
      <c r="H2474" t="s">
        <v>4853</v>
      </c>
      <c r="I2474" t="s">
        <v>33</v>
      </c>
      <c r="J2474" s="1">
        <v>45292</v>
      </c>
      <c r="K2474">
        <v>-1205343</v>
      </c>
    </row>
    <row r="2475" spans="5:11" x14ac:dyDescent="0.25">
      <c r="E2475" t="s">
        <v>4854</v>
      </c>
      <c r="F2475">
        <v>1417398</v>
      </c>
      <c r="G2475" s="1">
        <v>45382</v>
      </c>
      <c r="H2475" t="s">
        <v>4855</v>
      </c>
      <c r="I2475" t="s">
        <v>288</v>
      </c>
      <c r="J2475" s="1">
        <v>45292</v>
      </c>
      <c r="K2475">
        <v>6100000</v>
      </c>
    </row>
    <row r="2476" spans="5:11" x14ac:dyDescent="0.25">
      <c r="E2476" t="s">
        <v>4856</v>
      </c>
      <c r="F2476">
        <v>1417663</v>
      </c>
      <c r="G2476" s="1">
        <v>45382</v>
      </c>
      <c r="H2476" t="s">
        <v>4857</v>
      </c>
      <c r="I2476" t="s">
        <v>213</v>
      </c>
      <c r="J2476" s="1">
        <v>45292</v>
      </c>
      <c r="K2476">
        <v>-4528000</v>
      </c>
    </row>
    <row r="2477" spans="5:11" x14ac:dyDescent="0.25">
      <c r="E2477" t="s">
        <v>4858</v>
      </c>
      <c r="F2477">
        <v>1417664</v>
      </c>
      <c r="G2477" s="1">
        <v>45382</v>
      </c>
      <c r="H2477" t="s">
        <v>4859</v>
      </c>
      <c r="I2477" t="s">
        <v>2273</v>
      </c>
      <c r="J2477" s="1">
        <v>45292</v>
      </c>
      <c r="K2477">
        <v>374430</v>
      </c>
    </row>
    <row r="2478" spans="5:11" x14ac:dyDescent="0.25">
      <c r="E2478" t="s">
        <v>4860</v>
      </c>
      <c r="F2478">
        <v>1417892</v>
      </c>
      <c r="G2478" s="1">
        <v>45382</v>
      </c>
      <c r="H2478" t="s">
        <v>4861</v>
      </c>
      <c r="I2478" t="s">
        <v>27</v>
      </c>
      <c r="J2478" s="1">
        <v>45292</v>
      </c>
      <c r="K2478">
        <v>-5925000</v>
      </c>
    </row>
    <row r="2479" spans="5:11" x14ac:dyDescent="0.25">
      <c r="E2479" t="s">
        <v>4862</v>
      </c>
      <c r="F2479">
        <v>1417926</v>
      </c>
      <c r="G2479" s="1">
        <v>45382</v>
      </c>
      <c r="H2479" t="s">
        <v>4863</v>
      </c>
      <c r="I2479" t="s">
        <v>33</v>
      </c>
      <c r="J2479" s="1">
        <v>45292</v>
      </c>
      <c r="K2479">
        <v>-1596513</v>
      </c>
    </row>
    <row r="2480" spans="5:11" x14ac:dyDescent="0.25">
      <c r="E2480" t="s">
        <v>4864</v>
      </c>
      <c r="F2480">
        <v>1418076</v>
      </c>
      <c r="G2480" s="1">
        <v>45382</v>
      </c>
      <c r="H2480" t="s">
        <v>4865</v>
      </c>
      <c r="I2480" t="s">
        <v>57</v>
      </c>
      <c r="J2480" s="1">
        <v>45292</v>
      </c>
      <c r="K2480">
        <v>27871000</v>
      </c>
    </row>
    <row r="2481" spans="5:11" x14ac:dyDescent="0.25">
      <c r="E2481" t="s">
        <v>4866</v>
      </c>
      <c r="F2481">
        <v>1418121</v>
      </c>
      <c r="G2481" s="1">
        <v>45382</v>
      </c>
      <c r="H2481" t="s">
        <v>4867</v>
      </c>
      <c r="I2481" t="s">
        <v>123</v>
      </c>
      <c r="J2481" s="1">
        <v>45292</v>
      </c>
      <c r="K2481">
        <v>54050000</v>
      </c>
    </row>
    <row r="2482" spans="5:11" x14ac:dyDescent="0.25">
      <c r="E2482" t="s">
        <v>10472</v>
      </c>
      <c r="F2482">
        <v>1418135</v>
      </c>
      <c r="G2482" s="1">
        <v>45382</v>
      </c>
      <c r="H2482" t="s">
        <v>4868</v>
      </c>
      <c r="I2482" t="s">
        <v>24</v>
      </c>
      <c r="J2482" s="1">
        <v>45292</v>
      </c>
      <c r="K2482">
        <v>454000000</v>
      </c>
    </row>
    <row r="2483" spans="5:11" x14ac:dyDescent="0.25">
      <c r="E2483" t="s">
        <v>4869</v>
      </c>
      <c r="F2483">
        <v>1418302</v>
      </c>
      <c r="G2483" s="1">
        <v>45382</v>
      </c>
      <c r="H2483" t="s">
        <v>4870</v>
      </c>
      <c r="I2483" t="s">
        <v>213</v>
      </c>
      <c r="J2483" s="1">
        <v>45292</v>
      </c>
      <c r="K2483">
        <v>-1075</v>
      </c>
    </row>
    <row r="2484" spans="5:11" x14ac:dyDescent="0.25">
      <c r="E2484" t="s">
        <v>4871</v>
      </c>
      <c r="F2484">
        <v>1418819</v>
      </c>
      <c r="G2484" s="1">
        <v>45382</v>
      </c>
      <c r="H2484" t="s">
        <v>4872</v>
      </c>
      <c r="I2484" t="s">
        <v>123</v>
      </c>
      <c r="J2484" s="1">
        <v>45292</v>
      </c>
      <c r="K2484">
        <v>19653000</v>
      </c>
    </row>
    <row r="2485" spans="5:11" x14ac:dyDescent="0.25">
      <c r="E2485" t="s">
        <v>4873</v>
      </c>
      <c r="F2485">
        <v>1419041</v>
      </c>
      <c r="G2485" s="1">
        <v>45382</v>
      </c>
      <c r="H2485" t="s">
        <v>4874</v>
      </c>
      <c r="I2485" t="s">
        <v>30</v>
      </c>
      <c r="J2485" s="1">
        <v>45292</v>
      </c>
      <c r="K2485">
        <v>-7420000</v>
      </c>
    </row>
    <row r="2486" spans="5:11" x14ac:dyDescent="0.25">
      <c r="E2486" t="s">
        <v>4875</v>
      </c>
      <c r="F2486">
        <v>1419051</v>
      </c>
      <c r="G2486" s="1">
        <v>45382</v>
      </c>
      <c r="H2486" t="s">
        <v>4876</v>
      </c>
      <c r="I2486" t="s">
        <v>1071</v>
      </c>
      <c r="J2486" s="1">
        <v>45292</v>
      </c>
      <c r="K2486">
        <v>-585141</v>
      </c>
    </row>
    <row r="2487" spans="5:11" x14ac:dyDescent="0.25">
      <c r="E2487" t="s">
        <v>4877</v>
      </c>
      <c r="F2487">
        <v>1419275</v>
      </c>
      <c r="G2487" s="1">
        <v>45382</v>
      </c>
      <c r="H2487" t="s">
        <v>4878</v>
      </c>
      <c r="I2487" t="s">
        <v>36</v>
      </c>
      <c r="J2487" s="1">
        <v>45292</v>
      </c>
      <c r="K2487">
        <v>-2689000</v>
      </c>
    </row>
    <row r="2488" spans="5:11" x14ac:dyDescent="0.25">
      <c r="E2488" t="s">
        <v>4879</v>
      </c>
      <c r="F2488">
        <v>1419536</v>
      </c>
      <c r="G2488" s="1">
        <v>45382</v>
      </c>
      <c r="H2488" t="s">
        <v>4880</v>
      </c>
      <c r="I2488" t="s">
        <v>299</v>
      </c>
      <c r="J2488" s="1">
        <v>45292</v>
      </c>
      <c r="K2488">
        <v>6562000</v>
      </c>
    </row>
    <row r="2489" spans="5:11" x14ac:dyDescent="0.25">
      <c r="E2489" t="s">
        <v>4881</v>
      </c>
      <c r="F2489">
        <v>1419554</v>
      </c>
      <c r="G2489" s="1">
        <v>45382</v>
      </c>
      <c r="H2489" t="s">
        <v>4882</v>
      </c>
      <c r="I2489" t="s">
        <v>24</v>
      </c>
      <c r="J2489" s="1">
        <v>45292</v>
      </c>
      <c r="K2489">
        <v>-865970</v>
      </c>
    </row>
    <row r="2490" spans="5:11" x14ac:dyDescent="0.25">
      <c r="E2490" t="s">
        <v>4883</v>
      </c>
      <c r="F2490">
        <v>1419612</v>
      </c>
      <c r="G2490" s="1">
        <v>45382</v>
      </c>
      <c r="H2490" t="s">
        <v>4884</v>
      </c>
      <c r="I2490" t="s">
        <v>1511</v>
      </c>
      <c r="J2490" s="1">
        <v>45292</v>
      </c>
      <c r="K2490">
        <v>-157311000</v>
      </c>
    </row>
    <row r="2491" spans="5:11" x14ac:dyDescent="0.25">
      <c r="E2491" t="s">
        <v>4885</v>
      </c>
      <c r="F2491">
        <v>1419806</v>
      </c>
      <c r="G2491" s="1">
        <v>45382</v>
      </c>
      <c r="H2491" t="s">
        <v>4886</v>
      </c>
      <c r="I2491" t="s">
        <v>92</v>
      </c>
      <c r="J2491" s="1">
        <v>45292</v>
      </c>
      <c r="K2491">
        <v>-3626000</v>
      </c>
    </row>
    <row r="2492" spans="5:11" x14ac:dyDescent="0.25">
      <c r="E2492" t="s">
        <v>4887</v>
      </c>
      <c r="F2492">
        <v>1419951</v>
      </c>
      <c r="G2492" s="1">
        <v>45382</v>
      </c>
      <c r="H2492" t="s">
        <v>4888</v>
      </c>
      <c r="I2492" t="s">
        <v>57</v>
      </c>
      <c r="J2492" s="1">
        <v>45292</v>
      </c>
      <c r="K2492">
        <v>357102</v>
      </c>
    </row>
    <row r="2493" spans="5:11" x14ac:dyDescent="0.25">
      <c r="E2493" t="s">
        <v>10473</v>
      </c>
      <c r="F2493">
        <v>1420520</v>
      </c>
      <c r="G2493" s="1">
        <v>45382</v>
      </c>
      <c r="H2493" t="s">
        <v>4889</v>
      </c>
      <c r="I2493" t="s">
        <v>36</v>
      </c>
      <c r="J2493" s="1">
        <v>45292</v>
      </c>
      <c r="K2493">
        <v>-4822000</v>
      </c>
    </row>
    <row r="2494" spans="5:11" x14ac:dyDescent="0.25">
      <c r="E2494" t="s">
        <v>4890</v>
      </c>
      <c r="F2494">
        <v>1420565</v>
      </c>
      <c r="G2494" s="1">
        <v>45382</v>
      </c>
      <c r="H2494" t="s">
        <v>4891</v>
      </c>
      <c r="I2494" t="s">
        <v>30</v>
      </c>
      <c r="J2494" s="1">
        <v>45292</v>
      </c>
      <c r="K2494">
        <v>-7113000</v>
      </c>
    </row>
    <row r="2495" spans="5:11" x14ac:dyDescent="0.25">
      <c r="E2495" t="s">
        <v>4892</v>
      </c>
      <c r="F2495">
        <v>1420800</v>
      </c>
      <c r="G2495" s="1">
        <v>45380</v>
      </c>
      <c r="H2495" t="s">
        <v>4893</v>
      </c>
      <c r="I2495" t="s">
        <v>186</v>
      </c>
      <c r="J2495" s="1">
        <v>45292</v>
      </c>
      <c r="K2495">
        <v>-71998000</v>
      </c>
    </row>
    <row r="2496" spans="5:11" x14ac:dyDescent="0.25">
      <c r="E2496" t="s">
        <v>4894</v>
      </c>
      <c r="F2496">
        <v>1421461</v>
      </c>
      <c r="G2496" s="1">
        <v>45382</v>
      </c>
      <c r="H2496" t="s">
        <v>4895</v>
      </c>
      <c r="I2496" t="s">
        <v>92</v>
      </c>
      <c r="J2496" s="1">
        <v>45292</v>
      </c>
      <c r="K2496">
        <v>-3130000</v>
      </c>
    </row>
    <row r="2497" spans="5:11" x14ac:dyDescent="0.25">
      <c r="E2497" t="s">
        <v>4896</v>
      </c>
      <c r="F2497">
        <v>1421517</v>
      </c>
      <c r="G2497" s="1">
        <v>45382</v>
      </c>
      <c r="H2497" t="s">
        <v>4897</v>
      </c>
      <c r="I2497" t="s">
        <v>36</v>
      </c>
      <c r="J2497" s="1">
        <v>45292</v>
      </c>
      <c r="K2497">
        <v>-8260000</v>
      </c>
    </row>
    <row r="2498" spans="5:11" x14ac:dyDescent="0.25">
      <c r="E2498" t="s">
        <v>4898</v>
      </c>
      <c r="F2498">
        <v>1421636</v>
      </c>
      <c r="G2498" s="1">
        <v>45382</v>
      </c>
      <c r="H2498" t="s">
        <v>4899</v>
      </c>
      <c r="I2498" t="s">
        <v>30</v>
      </c>
      <c r="J2498" s="1">
        <v>45292</v>
      </c>
      <c r="K2498">
        <v>-317158</v>
      </c>
    </row>
    <row r="2499" spans="5:11" x14ac:dyDescent="0.25">
      <c r="E2499" t="s">
        <v>4900</v>
      </c>
      <c r="F2499">
        <v>1422142</v>
      </c>
      <c r="G2499" s="1">
        <v>45382</v>
      </c>
      <c r="H2499" t="s">
        <v>4901</v>
      </c>
      <c r="I2499" t="s">
        <v>36</v>
      </c>
      <c r="J2499" s="1">
        <v>45292</v>
      </c>
      <c r="K2499">
        <v>-18289000</v>
      </c>
    </row>
    <row r="2500" spans="5:11" x14ac:dyDescent="0.25">
      <c r="E2500" t="s">
        <v>4902</v>
      </c>
      <c r="F2500">
        <v>1422143</v>
      </c>
      <c r="G2500" s="1">
        <v>45382</v>
      </c>
      <c r="H2500" t="s">
        <v>4903</v>
      </c>
      <c r="I2500" t="s">
        <v>36</v>
      </c>
      <c r="J2500" s="1">
        <v>45292</v>
      </c>
      <c r="K2500">
        <v>-49525000</v>
      </c>
    </row>
    <row r="2501" spans="5:11" x14ac:dyDescent="0.25">
      <c r="E2501" t="s">
        <v>4904</v>
      </c>
      <c r="F2501">
        <v>1422183</v>
      </c>
      <c r="G2501" s="1">
        <v>45382</v>
      </c>
      <c r="H2501" t="s">
        <v>4905</v>
      </c>
      <c r="I2501" t="s">
        <v>39</v>
      </c>
      <c r="J2501" s="1">
        <v>45292</v>
      </c>
      <c r="K2501">
        <v>173000000</v>
      </c>
    </row>
    <row r="2502" spans="5:11" x14ac:dyDescent="0.25">
      <c r="E2502" t="s">
        <v>4906</v>
      </c>
      <c r="F2502">
        <v>1422930</v>
      </c>
      <c r="G2502" s="1">
        <v>45382</v>
      </c>
      <c r="H2502" t="s">
        <v>4907</v>
      </c>
      <c r="I2502" t="s">
        <v>3015</v>
      </c>
      <c r="J2502" s="1">
        <v>45292</v>
      </c>
      <c r="K2502">
        <v>-2454000</v>
      </c>
    </row>
    <row r="2503" spans="5:11" x14ac:dyDescent="0.25">
      <c r="E2503" t="s">
        <v>4908</v>
      </c>
      <c r="F2503">
        <v>1423221</v>
      </c>
      <c r="G2503" s="1">
        <v>45412</v>
      </c>
      <c r="H2503" t="s">
        <v>4909</v>
      </c>
      <c r="I2503" t="s">
        <v>30</v>
      </c>
      <c r="J2503" s="1">
        <v>45323</v>
      </c>
      <c r="K2503">
        <v>15377000</v>
      </c>
    </row>
    <row r="2504" spans="5:11" x14ac:dyDescent="0.25">
      <c r="E2504" t="s">
        <v>4910</v>
      </c>
      <c r="F2504">
        <v>1423689</v>
      </c>
      <c r="G2504" s="1">
        <v>45382</v>
      </c>
      <c r="H2504" t="s">
        <v>4911</v>
      </c>
      <c r="I2504" t="s">
        <v>299</v>
      </c>
      <c r="J2504" s="1">
        <v>45292</v>
      </c>
      <c r="K2504">
        <v>443000000</v>
      </c>
    </row>
    <row r="2505" spans="5:11" x14ac:dyDescent="0.25">
      <c r="E2505" t="s">
        <v>4912</v>
      </c>
      <c r="F2505">
        <v>1423774</v>
      </c>
      <c r="G2505" s="1">
        <v>45412</v>
      </c>
      <c r="H2505" t="s">
        <v>4913</v>
      </c>
      <c r="I2505" t="s">
        <v>36</v>
      </c>
      <c r="J2505" s="1">
        <v>45323</v>
      </c>
      <c r="K2505">
        <v>-13708000</v>
      </c>
    </row>
    <row r="2506" spans="5:11" x14ac:dyDescent="0.25">
      <c r="E2506" t="s">
        <v>4914</v>
      </c>
      <c r="F2506">
        <v>1423869</v>
      </c>
      <c r="G2506" s="1">
        <v>45382</v>
      </c>
      <c r="H2506" t="s">
        <v>4915</v>
      </c>
      <c r="I2506" t="s">
        <v>36</v>
      </c>
      <c r="J2506" s="1">
        <v>45292</v>
      </c>
      <c r="K2506">
        <v>4685000</v>
      </c>
    </row>
    <row r="2507" spans="5:11" x14ac:dyDescent="0.25">
      <c r="E2507" t="s">
        <v>4916</v>
      </c>
      <c r="F2507">
        <v>1423902</v>
      </c>
      <c r="G2507" s="1">
        <v>45382</v>
      </c>
      <c r="H2507" t="s">
        <v>4917</v>
      </c>
      <c r="I2507" t="s">
        <v>30</v>
      </c>
      <c r="J2507" s="1">
        <v>45292</v>
      </c>
      <c r="K2507">
        <v>572830000</v>
      </c>
    </row>
    <row r="2508" spans="5:11" x14ac:dyDescent="0.25">
      <c r="E2508" t="s">
        <v>4918</v>
      </c>
      <c r="F2508">
        <v>1424182</v>
      </c>
      <c r="G2508" s="1">
        <v>45382</v>
      </c>
      <c r="H2508" t="s">
        <v>4919</v>
      </c>
      <c r="I2508" t="s">
        <v>57</v>
      </c>
      <c r="J2508" s="1">
        <v>45292</v>
      </c>
      <c r="K2508">
        <v>65114000</v>
      </c>
    </row>
    <row r="2509" spans="5:11" x14ac:dyDescent="0.25">
      <c r="E2509" t="s">
        <v>4920</v>
      </c>
      <c r="F2509">
        <v>1424404</v>
      </c>
      <c r="G2509" s="1">
        <v>45351</v>
      </c>
      <c r="H2509" t="s">
        <v>4921</v>
      </c>
      <c r="I2509" t="s">
        <v>2552</v>
      </c>
      <c r="J2509" s="1">
        <v>45261</v>
      </c>
      <c r="K2509">
        <v>-105417</v>
      </c>
    </row>
    <row r="2510" spans="5:11" x14ac:dyDescent="0.25">
      <c r="E2510" t="s">
        <v>4922</v>
      </c>
      <c r="F2510">
        <v>1424657</v>
      </c>
      <c r="G2510" s="1">
        <v>45382</v>
      </c>
      <c r="H2510" t="s">
        <v>4923</v>
      </c>
      <c r="I2510" t="s">
        <v>33</v>
      </c>
      <c r="J2510" s="1">
        <v>45292</v>
      </c>
      <c r="K2510">
        <v>-445000</v>
      </c>
    </row>
    <row r="2511" spans="5:11" x14ac:dyDescent="0.25">
      <c r="E2511" t="s">
        <v>4924</v>
      </c>
      <c r="F2511">
        <v>1424768</v>
      </c>
      <c r="G2511" s="1">
        <v>45382</v>
      </c>
      <c r="H2511" t="s">
        <v>4925</v>
      </c>
      <c r="I2511" t="s">
        <v>33</v>
      </c>
      <c r="J2511" s="1">
        <v>45292</v>
      </c>
      <c r="K2511">
        <v>-30608</v>
      </c>
    </row>
    <row r="2512" spans="5:11" x14ac:dyDescent="0.25">
      <c r="E2512" t="s">
        <v>4926</v>
      </c>
      <c r="F2512">
        <v>1424864</v>
      </c>
      <c r="G2512" s="1">
        <v>45412</v>
      </c>
      <c r="H2512" t="s">
        <v>4927</v>
      </c>
      <c r="I2512" t="s">
        <v>2552</v>
      </c>
      <c r="J2512" s="1">
        <v>45323</v>
      </c>
      <c r="K2512">
        <v>-892811</v>
      </c>
    </row>
    <row r="2513" spans="5:11" x14ac:dyDescent="0.25">
      <c r="E2513" t="s">
        <v>10474</v>
      </c>
      <c r="F2513">
        <v>1424929</v>
      </c>
      <c r="G2513" s="1">
        <v>45380</v>
      </c>
      <c r="H2513" t="s">
        <v>4928</v>
      </c>
      <c r="I2513" t="s">
        <v>64</v>
      </c>
      <c r="J2513" s="1">
        <v>45290</v>
      </c>
      <c r="K2513">
        <v>-3496000</v>
      </c>
    </row>
    <row r="2514" spans="5:11" x14ac:dyDescent="0.25">
      <c r="E2514" t="s">
        <v>4929</v>
      </c>
      <c r="F2514">
        <v>1425205</v>
      </c>
      <c r="G2514" s="1">
        <v>45382</v>
      </c>
      <c r="H2514" t="s">
        <v>4930</v>
      </c>
      <c r="I2514" t="s">
        <v>36</v>
      </c>
      <c r="J2514" s="1">
        <v>45292</v>
      </c>
      <c r="K2514">
        <v>-112976000</v>
      </c>
    </row>
    <row r="2515" spans="5:11" x14ac:dyDescent="0.25">
      <c r="E2515" t="s">
        <v>4931</v>
      </c>
      <c r="F2515">
        <v>1425287</v>
      </c>
      <c r="G2515" s="1">
        <v>45382</v>
      </c>
      <c r="H2515" t="s">
        <v>4932</v>
      </c>
      <c r="I2515" t="s">
        <v>60</v>
      </c>
      <c r="J2515" s="1">
        <v>45292</v>
      </c>
      <c r="K2515">
        <v>-29155787</v>
      </c>
    </row>
    <row r="2516" spans="5:11" x14ac:dyDescent="0.25">
      <c r="E2516" t="s">
        <v>10475</v>
      </c>
      <c r="F2516">
        <v>1425292</v>
      </c>
      <c r="G2516" s="1">
        <v>45382</v>
      </c>
      <c r="H2516" t="s">
        <v>4933</v>
      </c>
      <c r="I2516" t="s">
        <v>30</v>
      </c>
      <c r="J2516" s="1">
        <v>45292</v>
      </c>
      <c r="K2516">
        <v>12579000</v>
      </c>
    </row>
    <row r="2517" spans="5:11" x14ac:dyDescent="0.25">
      <c r="E2517" t="s">
        <v>4934</v>
      </c>
      <c r="F2517">
        <v>1425450</v>
      </c>
      <c r="G2517" s="1">
        <v>45382</v>
      </c>
      <c r="H2517" t="s">
        <v>4935</v>
      </c>
      <c r="I2517" t="s">
        <v>288</v>
      </c>
      <c r="J2517" s="1">
        <v>45292</v>
      </c>
      <c r="K2517">
        <v>-7805000</v>
      </c>
    </row>
    <row r="2518" spans="5:11" x14ac:dyDescent="0.25">
      <c r="E2518" t="s">
        <v>4936</v>
      </c>
      <c r="F2518">
        <v>1425627</v>
      </c>
      <c r="G2518" s="1">
        <v>45382</v>
      </c>
      <c r="H2518" t="s">
        <v>4937</v>
      </c>
      <c r="I2518" t="s">
        <v>92</v>
      </c>
      <c r="J2518" s="1">
        <v>45292</v>
      </c>
      <c r="K2518">
        <v>-2505921</v>
      </c>
    </row>
    <row r="2519" spans="5:11" x14ac:dyDescent="0.25">
      <c r="E2519" t="s">
        <v>4938</v>
      </c>
      <c r="F2519">
        <v>1426800</v>
      </c>
      <c r="G2519" s="1">
        <v>45382</v>
      </c>
      <c r="H2519" t="s">
        <v>4939</v>
      </c>
      <c r="I2519" t="s">
        <v>36</v>
      </c>
      <c r="J2519" s="1">
        <v>45292</v>
      </c>
      <c r="K2519">
        <v>-9077000</v>
      </c>
    </row>
    <row r="2520" spans="5:11" x14ac:dyDescent="0.25">
      <c r="E2520" t="s">
        <v>4940</v>
      </c>
      <c r="F2520">
        <v>1427570</v>
      </c>
      <c r="G2520" s="1">
        <v>45382</v>
      </c>
      <c r="H2520" t="s">
        <v>4941</v>
      </c>
      <c r="I2520" t="s">
        <v>36</v>
      </c>
      <c r="J2520" s="1">
        <v>45292</v>
      </c>
      <c r="K2520">
        <v>-2193000</v>
      </c>
    </row>
    <row r="2521" spans="5:11" x14ac:dyDescent="0.25">
      <c r="E2521" t="s">
        <v>4942</v>
      </c>
      <c r="F2521">
        <v>1427925</v>
      </c>
      <c r="G2521" s="1">
        <v>45382</v>
      </c>
      <c r="H2521" t="s">
        <v>4943</v>
      </c>
      <c r="I2521" t="s">
        <v>36</v>
      </c>
      <c r="J2521" s="1">
        <v>45292</v>
      </c>
      <c r="K2521">
        <v>-3954000</v>
      </c>
    </row>
    <row r="2522" spans="5:11" x14ac:dyDescent="0.25">
      <c r="E2522" t="s">
        <v>4944</v>
      </c>
      <c r="F2522">
        <v>1428205</v>
      </c>
      <c r="G2522" s="1">
        <v>45382</v>
      </c>
      <c r="H2522" t="s">
        <v>4945</v>
      </c>
      <c r="I2522" t="s">
        <v>33</v>
      </c>
      <c r="J2522" s="1">
        <v>45292</v>
      </c>
      <c r="K2522">
        <v>14516000</v>
      </c>
    </row>
    <row r="2523" spans="5:11" x14ac:dyDescent="0.25">
      <c r="E2523" t="s">
        <v>4946</v>
      </c>
      <c r="F2523">
        <v>1428336</v>
      </c>
      <c r="G2523" s="1">
        <v>45412</v>
      </c>
      <c r="H2523" t="s">
        <v>4947</v>
      </c>
      <c r="I2523" t="s">
        <v>406</v>
      </c>
      <c r="J2523" s="1">
        <v>45323</v>
      </c>
      <c r="K2523">
        <v>28813000</v>
      </c>
    </row>
    <row r="2524" spans="5:11" x14ac:dyDescent="0.25">
      <c r="E2524" t="s">
        <v>4948</v>
      </c>
      <c r="F2524">
        <v>1428439</v>
      </c>
      <c r="G2524" s="1">
        <v>45382</v>
      </c>
      <c r="H2524" t="s">
        <v>4949</v>
      </c>
      <c r="I2524" t="s">
        <v>36</v>
      </c>
      <c r="J2524" s="1">
        <v>45292</v>
      </c>
      <c r="K2524">
        <v>-50855000</v>
      </c>
    </row>
    <row r="2525" spans="5:11" x14ac:dyDescent="0.25">
      <c r="E2525" t="s">
        <v>4950</v>
      </c>
      <c r="F2525">
        <v>1429260</v>
      </c>
      <c r="G2525" s="1">
        <v>45382</v>
      </c>
      <c r="H2525" t="s">
        <v>4951</v>
      </c>
      <c r="I2525" t="s">
        <v>33</v>
      </c>
      <c r="J2525" s="1">
        <v>45292</v>
      </c>
      <c r="K2525">
        <v>-15417000</v>
      </c>
    </row>
    <row r="2526" spans="5:11" x14ac:dyDescent="0.25">
      <c r="E2526" t="s">
        <v>4952</v>
      </c>
      <c r="F2526">
        <v>1429393</v>
      </c>
      <c r="G2526" s="1">
        <v>45382</v>
      </c>
      <c r="H2526" t="s">
        <v>4953</v>
      </c>
      <c r="I2526" t="s">
        <v>113</v>
      </c>
      <c r="J2526" s="1">
        <v>45292</v>
      </c>
      <c r="K2526">
        <v>-405152</v>
      </c>
    </row>
    <row r="2527" spans="5:11" x14ac:dyDescent="0.25">
      <c r="E2527" t="s">
        <v>4954</v>
      </c>
      <c r="F2527">
        <v>1429560</v>
      </c>
      <c r="G2527" s="1">
        <v>45382</v>
      </c>
      <c r="H2527" t="s">
        <v>4955</v>
      </c>
      <c r="I2527" t="s">
        <v>39</v>
      </c>
      <c r="J2527" s="1">
        <v>45292</v>
      </c>
      <c r="K2527">
        <v>-7678000</v>
      </c>
    </row>
    <row r="2528" spans="5:11" x14ac:dyDescent="0.25">
      <c r="E2528" t="s">
        <v>4956</v>
      </c>
      <c r="F2528">
        <v>1429764</v>
      </c>
      <c r="G2528" s="1">
        <v>45382</v>
      </c>
      <c r="H2528" t="s">
        <v>4957</v>
      </c>
      <c r="I2528" t="s">
        <v>299</v>
      </c>
      <c r="J2528" s="1">
        <v>45292</v>
      </c>
      <c r="K2528">
        <v>-17173000</v>
      </c>
    </row>
    <row r="2529" spans="5:11" x14ac:dyDescent="0.25">
      <c r="E2529" t="s">
        <v>4958</v>
      </c>
      <c r="F2529">
        <v>1430300</v>
      </c>
      <c r="G2529" s="1">
        <v>45382</v>
      </c>
      <c r="H2529" t="s">
        <v>4959</v>
      </c>
      <c r="I2529" t="s">
        <v>36</v>
      </c>
      <c r="J2529" s="1">
        <v>45292</v>
      </c>
      <c r="K2529">
        <v>-77042</v>
      </c>
    </row>
    <row r="2530" spans="5:11" x14ac:dyDescent="0.25">
      <c r="E2530" t="s">
        <v>4960</v>
      </c>
      <c r="F2530">
        <v>1430306</v>
      </c>
      <c r="G2530" s="1">
        <v>45382</v>
      </c>
      <c r="H2530" t="s">
        <v>4961</v>
      </c>
      <c r="I2530" t="s">
        <v>46</v>
      </c>
      <c r="J2530" s="1">
        <v>45292</v>
      </c>
      <c r="K2530">
        <v>-14939000</v>
      </c>
    </row>
    <row r="2531" spans="5:11" x14ac:dyDescent="0.25">
      <c r="E2531" t="s">
        <v>4962</v>
      </c>
      <c r="F2531">
        <v>1430319</v>
      </c>
      <c r="G2531" s="1">
        <v>45382</v>
      </c>
      <c r="H2531" t="s">
        <v>4963</v>
      </c>
      <c r="I2531" t="s">
        <v>406</v>
      </c>
      <c r="J2531" s="1">
        <v>45292</v>
      </c>
      <c r="K2531">
        <v>-14894</v>
      </c>
    </row>
    <row r="2532" spans="5:11" x14ac:dyDescent="0.25">
      <c r="E2532" t="s">
        <v>4964</v>
      </c>
      <c r="F2532">
        <v>1430723</v>
      </c>
      <c r="G2532" s="1">
        <v>45382</v>
      </c>
      <c r="H2532" t="s">
        <v>4965</v>
      </c>
      <c r="I2532" t="s">
        <v>1123</v>
      </c>
      <c r="J2532" s="1">
        <v>45292</v>
      </c>
      <c r="K2532">
        <v>50026000</v>
      </c>
    </row>
    <row r="2533" spans="5:11" x14ac:dyDescent="0.25">
      <c r="E2533" t="s">
        <v>4966</v>
      </c>
      <c r="F2533">
        <v>1431074</v>
      </c>
      <c r="G2533" s="1">
        <v>45382</v>
      </c>
      <c r="H2533" t="s">
        <v>4967</v>
      </c>
      <c r="I2533" t="s">
        <v>46</v>
      </c>
      <c r="J2533" s="1">
        <v>45292</v>
      </c>
      <c r="K2533">
        <v>-258428</v>
      </c>
    </row>
    <row r="2534" spans="5:11" x14ac:dyDescent="0.25">
      <c r="E2534" t="s">
        <v>4968</v>
      </c>
      <c r="F2534">
        <v>1431567</v>
      </c>
      <c r="G2534" s="1">
        <v>45382</v>
      </c>
      <c r="H2534" t="s">
        <v>4969</v>
      </c>
      <c r="I2534" t="s">
        <v>36</v>
      </c>
      <c r="J2534" s="1">
        <v>45292</v>
      </c>
      <c r="K2534">
        <v>5727000</v>
      </c>
    </row>
    <row r="2535" spans="5:11" x14ac:dyDescent="0.25">
      <c r="E2535" t="s">
        <v>4970</v>
      </c>
      <c r="F2535">
        <v>1431695</v>
      </c>
      <c r="G2535" s="1">
        <v>45382</v>
      </c>
      <c r="H2535" t="s">
        <v>4971</v>
      </c>
      <c r="I2535" t="s">
        <v>57</v>
      </c>
      <c r="J2535" s="1">
        <v>45292</v>
      </c>
      <c r="K2535">
        <v>-2356000</v>
      </c>
    </row>
    <row r="2536" spans="5:11" x14ac:dyDescent="0.25">
      <c r="E2536" t="s">
        <v>4972</v>
      </c>
      <c r="F2536">
        <v>1431959</v>
      </c>
      <c r="G2536" s="1">
        <v>45382</v>
      </c>
      <c r="H2536" t="s">
        <v>4973</v>
      </c>
      <c r="I2536" t="s">
        <v>4974</v>
      </c>
      <c r="J2536" s="1">
        <v>45292</v>
      </c>
      <c r="K2536">
        <v>-7508414</v>
      </c>
    </row>
    <row r="2537" spans="5:11" x14ac:dyDescent="0.25">
      <c r="E2537" t="s">
        <v>4975</v>
      </c>
      <c r="F2537">
        <v>1432133</v>
      </c>
      <c r="G2537" s="1">
        <v>45382</v>
      </c>
      <c r="H2537" t="s">
        <v>4976</v>
      </c>
      <c r="I2537" t="s">
        <v>57</v>
      </c>
      <c r="J2537" s="1">
        <v>45292</v>
      </c>
      <c r="K2537">
        <v>-11096000</v>
      </c>
    </row>
    <row r="2538" spans="5:11" x14ac:dyDescent="0.25">
      <c r="E2538" t="s">
        <v>10476</v>
      </c>
      <c r="F2538">
        <v>1433195</v>
      </c>
      <c r="G2538" s="1">
        <v>45382</v>
      </c>
      <c r="H2538" t="s">
        <v>4977</v>
      </c>
      <c r="I2538" t="s">
        <v>36</v>
      </c>
      <c r="J2538" s="1">
        <v>45292</v>
      </c>
      <c r="K2538">
        <v>38663000</v>
      </c>
    </row>
    <row r="2539" spans="5:11" x14ac:dyDescent="0.25">
      <c r="E2539" t="s">
        <v>4978</v>
      </c>
      <c r="F2539">
        <v>1433551</v>
      </c>
      <c r="G2539" s="1">
        <v>45382</v>
      </c>
      <c r="H2539" t="s">
        <v>4979</v>
      </c>
      <c r="I2539" t="s">
        <v>4980</v>
      </c>
      <c r="J2539" s="1">
        <v>45292</v>
      </c>
      <c r="K2539">
        <v>-285101</v>
      </c>
    </row>
    <row r="2540" spans="5:11" x14ac:dyDescent="0.25">
      <c r="E2540" t="s">
        <v>4981</v>
      </c>
      <c r="F2540">
        <v>1433607</v>
      </c>
      <c r="G2540" s="1">
        <v>45382</v>
      </c>
      <c r="H2540" t="s">
        <v>4982</v>
      </c>
      <c r="I2540" t="s">
        <v>1511</v>
      </c>
      <c r="J2540" s="1">
        <v>45292</v>
      </c>
      <c r="K2540">
        <v>-7032000</v>
      </c>
    </row>
    <row r="2541" spans="5:11" x14ac:dyDescent="0.25">
      <c r="E2541" t="s">
        <v>4983</v>
      </c>
      <c r="F2541">
        <v>1433660</v>
      </c>
      <c r="G2541" s="1">
        <v>45382</v>
      </c>
      <c r="H2541" t="s">
        <v>4984</v>
      </c>
      <c r="I2541" t="s">
        <v>19</v>
      </c>
      <c r="J2541" s="1">
        <v>45292</v>
      </c>
      <c r="K2541">
        <v>22800000</v>
      </c>
    </row>
    <row r="2542" spans="5:11" x14ac:dyDescent="0.25">
      <c r="E2542" t="s">
        <v>4985</v>
      </c>
      <c r="F2542">
        <v>1434070</v>
      </c>
      <c r="G2542" s="1">
        <v>45382</v>
      </c>
      <c r="H2542" t="s">
        <v>4986</v>
      </c>
      <c r="I2542" t="s">
        <v>46</v>
      </c>
      <c r="J2542" s="1">
        <v>45292</v>
      </c>
      <c r="K2542">
        <v>629000</v>
      </c>
    </row>
    <row r="2543" spans="5:11" x14ac:dyDescent="0.25">
      <c r="E2543" t="s">
        <v>4987</v>
      </c>
      <c r="F2543">
        <v>1434316</v>
      </c>
      <c r="G2543" s="1">
        <v>45382</v>
      </c>
      <c r="H2543" t="s">
        <v>4988</v>
      </c>
      <c r="I2543" t="s">
        <v>36</v>
      </c>
      <c r="J2543" s="1">
        <v>45292</v>
      </c>
      <c r="K2543">
        <v>-48004000</v>
      </c>
    </row>
    <row r="2544" spans="5:11" x14ac:dyDescent="0.25">
      <c r="E2544" t="s">
        <v>4989</v>
      </c>
      <c r="F2544">
        <v>1434524</v>
      </c>
      <c r="G2544" s="1">
        <v>45382</v>
      </c>
      <c r="H2544" t="s">
        <v>4990</v>
      </c>
      <c r="I2544" t="s">
        <v>277</v>
      </c>
      <c r="J2544" s="1">
        <v>45292</v>
      </c>
      <c r="K2544">
        <v>-1108000</v>
      </c>
    </row>
    <row r="2545" spans="5:11" x14ac:dyDescent="0.25">
      <c r="E2545" t="s">
        <v>4991</v>
      </c>
      <c r="F2545">
        <v>1434588</v>
      </c>
      <c r="G2545" s="1">
        <v>45382</v>
      </c>
      <c r="H2545" t="s">
        <v>4992</v>
      </c>
      <c r="I2545" t="s">
        <v>113</v>
      </c>
      <c r="J2545" s="1">
        <v>45292</v>
      </c>
      <c r="K2545">
        <v>68010000</v>
      </c>
    </row>
    <row r="2546" spans="5:11" x14ac:dyDescent="0.25">
      <c r="E2546" t="s">
        <v>4993</v>
      </c>
      <c r="F2546">
        <v>1434601</v>
      </c>
      <c r="G2546" s="1">
        <v>45351</v>
      </c>
      <c r="H2546" t="s">
        <v>4994</v>
      </c>
      <c r="I2546" t="s">
        <v>33</v>
      </c>
      <c r="J2546" s="1">
        <v>45261</v>
      </c>
      <c r="K2546">
        <v>-458936</v>
      </c>
    </row>
    <row r="2547" spans="5:11" x14ac:dyDescent="0.25">
      <c r="E2547" t="s">
        <v>4995</v>
      </c>
      <c r="F2547">
        <v>1434621</v>
      </c>
      <c r="G2547" s="1">
        <v>45382</v>
      </c>
      <c r="H2547" t="s">
        <v>4996</v>
      </c>
      <c r="I2547" t="s">
        <v>172</v>
      </c>
      <c r="J2547" s="1">
        <v>45292</v>
      </c>
      <c r="K2547">
        <v>1016000</v>
      </c>
    </row>
    <row r="2548" spans="5:11" x14ac:dyDescent="0.25">
      <c r="E2548" t="s">
        <v>4997</v>
      </c>
      <c r="F2548">
        <v>1434647</v>
      </c>
      <c r="G2548" s="1">
        <v>45382</v>
      </c>
      <c r="H2548" t="s">
        <v>4998</v>
      </c>
      <c r="I2548" t="s">
        <v>33</v>
      </c>
      <c r="J2548" s="1">
        <v>45292</v>
      </c>
      <c r="K2548">
        <v>-16622000</v>
      </c>
    </row>
    <row r="2549" spans="5:11" x14ac:dyDescent="0.25">
      <c r="E2549" t="s">
        <v>4999</v>
      </c>
      <c r="F2549">
        <v>1434728</v>
      </c>
      <c r="G2549" s="1">
        <v>45382</v>
      </c>
      <c r="H2549" t="s">
        <v>5000</v>
      </c>
      <c r="I2549" t="s">
        <v>113</v>
      </c>
      <c r="J2549" s="1">
        <v>45292</v>
      </c>
      <c r="K2549">
        <v>691000</v>
      </c>
    </row>
    <row r="2550" spans="5:11" x14ac:dyDescent="0.25">
      <c r="E2550" t="s">
        <v>5001</v>
      </c>
      <c r="F2550">
        <v>1434737</v>
      </c>
      <c r="G2550" s="1">
        <v>45382</v>
      </c>
      <c r="H2550" t="s">
        <v>5002</v>
      </c>
      <c r="I2550" t="s">
        <v>406</v>
      </c>
      <c r="J2550" s="1">
        <v>45292</v>
      </c>
      <c r="K2550">
        <v>-50988</v>
      </c>
    </row>
    <row r="2551" spans="5:11" x14ac:dyDescent="0.25">
      <c r="E2551" t="s">
        <v>5003</v>
      </c>
      <c r="F2551">
        <v>1434740</v>
      </c>
      <c r="G2551" s="1">
        <v>45382</v>
      </c>
      <c r="H2551" t="s">
        <v>5004</v>
      </c>
      <c r="I2551" t="s">
        <v>57</v>
      </c>
      <c r="J2551" s="1">
        <v>45292</v>
      </c>
      <c r="K2551">
        <v>-4294</v>
      </c>
    </row>
    <row r="2552" spans="5:11" x14ac:dyDescent="0.25">
      <c r="E2552" t="s">
        <v>5005</v>
      </c>
      <c r="F2552">
        <v>1434868</v>
      </c>
      <c r="G2552" s="1">
        <v>45382</v>
      </c>
      <c r="H2552" t="s">
        <v>5006</v>
      </c>
      <c r="I2552" t="s">
        <v>329</v>
      </c>
      <c r="J2552" s="1">
        <v>45292</v>
      </c>
      <c r="K2552">
        <v>61022000</v>
      </c>
    </row>
    <row r="2553" spans="5:11" x14ac:dyDescent="0.25">
      <c r="E2553" t="s">
        <v>5007</v>
      </c>
      <c r="F2553">
        <v>1435064</v>
      </c>
      <c r="G2553" s="1">
        <v>45382</v>
      </c>
      <c r="H2553" t="s">
        <v>5008</v>
      </c>
      <c r="I2553" t="s">
        <v>57</v>
      </c>
      <c r="J2553" s="1">
        <v>45292</v>
      </c>
      <c r="K2553">
        <v>-1473211</v>
      </c>
    </row>
    <row r="2554" spans="5:11" x14ac:dyDescent="0.25">
      <c r="E2554" t="s">
        <v>5009</v>
      </c>
      <c r="F2554">
        <v>1435617</v>
      </c>
      <c r="G2554" s="1">
        <v>45382</v>
      </c>
      <c r="H2554" t="s">
        <v>5010</v>
      </c>
      <c r="I2554" t="s">
        <v>24</v>
      </c>
      <c r="J2554" s="1">
        <v>45292</v>
      </c>
      <c r="K2554">
        <v>-95702</v>
      </c>
    </row>
    <row r="2555" spans="5:11" x14ac:dyDescent="0.25">
      <c r="E2555" t="s">
        <v>5011</v>
      </c>
      <c r="F2555">
        <v>1435812</v>
      </c>
      <c r="G2555" s="1">
        <v>45382</v>
      </c>
      <c r="H2555" t="s">
        <v>5012</v>
      </c>
      <c r="I2555" t="s">
        <v>5013</v>
      </c>
      <c r="J2555" s="1">
        <v>45292</v>
      </c>
      <c r="K2555">
        <v>-9813</v>
      </c>
    </row>
    <row r="2556" spans="5:11" x14ac:dyDescent="0.25">
      <c r="E2556" t="s">
        <v>5014</v>
      </c>
      <c r="F2556">
        <v>1436126</v>
      </c>
      <c r="G2556" s="1">
        <v>45382</v>
      </c>
      <c r="H2556" t="s">
        <v>5015</v>
      </c>
      <c r="I2556" t="s">
        <v>46</v>
      </c>
      <c r="J2556" s="1">
        <v>45292</v>
      </c>
      <c r="K2556">
        <v>995000</v>
      </c>
    </row>
    <row r="2557" spans="5:11" x14ac:dyDescent="0.25">
      <c r="E2557" t="s">
        <v>5016</v>
      </c>
      <c r="F2557">
        <v>1436208</v>
      </c>
      <c r="G2557" s="1">
        <v>45382</v>
      </c>
      <c r="H2557" t="s">
        <v>5017</v>
      </c>
      <c r="I2557" t="s">
        <v>30</v>
      </c>
      <c r="J2557" s="1">
        <v>45292</v>
      </c>
      <c r="K2557">
        <v>15140000</v>
      </c>
    </row>
    <row r="2558" spans="5:11" x14ac:dyDescent="0.25">
      <c r="E2558" t="s">
        <v>5018</v>
      </c>
      <c r="F2558">
        <v>1436229</v>
      </c>
      <c r="G2558" s="1">
        <v>45382</v>
      </c>
      <c r="H2558" t="s">
        <v>5019</v>
      </c>
      <c r="I2558" t="s">
        <v>299</v>
      </c>
      <c r="J2558" s="1">
        <v>45292</v>
      </c>
      <c r="K2558">
        <v>12256586</v>
      </c>
    </row>
    <row r="2559" spans="5:11" x14ac:dyDescent="0.25">
      <c r="E2559" t="s">
        <v>5020</v>
      </c>
      <c r="F2559">
        <v>1436425</v>
      </c>
      <c r="G2559" s="1">
        <v>45382</v>
      </c>
      <c r="H2559" t="s">
        <v>5021</v>
      </c>
      <c r="I2559" t="s">
        <v>179</v>
      </c>
      <c r="J2559" s="1">
        <v>45292</v>
      </c>
      <c r="K2559">
        <v>9199000</v>
      </c>
    </row>
    <row r="2560" spans="5:11" x14ac:dyDescent="0.25">
      <c r="E2560" t="s">
        <v>5022</v>
      </c>
      <c r="F2560">
        <v>1436975</v>
      </c>
      <c r="G2560" s="1">
        <v>45382</v>
      </c>
      <c r="H2560" t="s">
        <v>5023</v>
      </c>
      <c r="I2560" t="s">
        <v>46</v>
      </c>
      <c r="J2560" s="1">
        <v>45292</v>
      </c>
      <c r="K2560">
        <v>-2554000</v>
      </c>
    </row>
    <row r="2561" spans="5:11" x14ac:dyDescent="0.25">
      <c r="E2561" t="s">
        <v>5024</v>
      </c>
      <c r="F2561">
        <v>1437071</v>
      </c>
      <c r="G2561" s="1">
        <v>45382</v>
      </c>
      <c r="H2561" t="s">
        <v>5025</v>
      </c>
      <c r="I2561" t="s">
        <v>64</v>
      </c>
      <c r="J2561" s="1">
        <v>45292</v>
      </c>
      <c r="K2561">
        <v>29122000</v>
      </c>
    </row>
    <row r="2562" spans="5:11" x14ac:dyDescent="0.25">
      <c r="E2562" t="s">
        <v>5026</v>
      </c>
      <c r="F2562">
        <v>1437107</v>
      </c>
      <c r="G2562" s="1">
        <v>45382</v>
      </c>
      <c r="H2562" t="s">
        <v>5027</v>
      </c>
      <c r="I2562" t="s">
        <v>57</v>
      </c>
      <c r="J2562" s="1">
        <v>45292</v>
      </c>
      <c r="K2562">
        <v>-966000000</v>
      </c>
    </row>
    <row r="2563" spans="5:11" x14ac:dyDescent="0.25">
      <c r="E2563" t="s">
        <v>5028</v>
      </c>
      <c r="F2563">
        <v>1437226</v>
      </c>
      <c r="G2563" s="1">
        <v>45382</v>
      </c>
      <c r="H2563" t="s">
        <v>5029</v>
      </c>
      <c r="I2563" t="s">
        <v>39</v>
      </c>
      <c r="J2563" s="1">
        <v>45292</v>
      </c>
      <c r="K2563">
        <v>-161000</v>
      </c>
    </row>
    <row r="2564" spans="5:11" x14ac:dyDescent="0.25">
      <c r="E2564" t="s">
        <v>5030</v>
      </c>
      <c r="F2564">
        <v>1437283</v>
      </c>
      <c r="G2564" s="1">
        <v>45382</v>
      </c>
      <c r="H2564" t="s">
        <v>5031</v>
      </c>
      <c r="I2564" t="s">
        <v>39</v>
      </c>
      <c r="J2564" s="1">
        <v>45292</v>
      </c>
      <c r="K2564">
        <v>-2291463</v>
      </c>
    </row>
    <row r="2565" spans="5:11" x14ac:dyDescent="0.25">
      <c r="E2565" t="s">
        <v>5032</v>
      </c>
      <c r="F2565">
        <v>1437352</v>
      </c>
      <c r="G2565" s="1">
        <v>45382</v>
      </c>
      <c r="H2565" t="s">
        <v>5033</v>
      </c>
      <c r="I2565" t="s">
        <v>24</v>
      </c>
      <c r="J2565" s="1">
        <v>45292</v>
      </c>
      <c r="K2565">
        <v>-20068000</v>
      </c>
    </row>
    <row r="2566" spans="5:11" x14ac:dyDescent="0.25">
      <c r="E2566" t="s">
        <v>5034</v>
      </c>
      <c r="F2566">
        <v>1437402</v>
      </c>
      <c r="G2566" s="1">
        <v>45382</v>
      </c>
      <c r="H2566" t="s">
        <v>5035</v>
      </c>
      <c r="I2566" t="s">
        <v>24</v>
      </c>
      <c r="J2566" s="1">
        <v>45292</v>
      </c>
      <c r="K2566">
        <v>-26518000</v>
      </c>
    </row>
    <row r="2567" spans="5:11" x14ac:dyDescent="0.25">
      <c r="E2567" t="s">
        <v>5036</v>
      </c>
      <c r="F2567">
        <v>1437479</v>
      </c>
      <c r="G2567" s="1">
        <v>45382</v>
      </c>
      <c r="H2567" t="s">
        <v>5037</v>
      </c>
      <c r="I2567" t="s">
        <v>5038</v>
      </c>
      <c r="J2567" s="1">
        <v>45292</v>
      </c>
      <c r="K2567">
        <v>3941000</v>
      </c>
    </row>
    <row r="2568" spans="5:11" x14ac:dyDescent="0.25">
      <c r="E2568" t="s">
        <v>5039</v>
      </c>
      <c r="F2568">
        <v>1437517</v>
      </c>
      <c r="G2568" s="1">
        <v>45382</v>
      </c>
      <c r="H2568" t="s">
        <v>5040</v>
      </c>
      <c r="I2568" t="s">
        <v>33</v>
      </c>
      <c r="J2568" s="1">
        <v>45292</v>
      </c>
      <c r="K2568">
        <v>-246808</v>
      </c>
    </row>
    <row r="2569" spans="5:11" x14ac:dyDescent="0.25">
      <c r="E2569" t="s">
        <v>5041</v>
      </c>
      <c r="F2569">
        <v>1437578</v>
      </c>
      <c r="G2569" s="1">
        <v>45382</v>
      </c>
      <c r="H2569" t="s">
        <v>5042</v>
      </c>
      <c r="I2569" t="s">
        <v>24</v>
      </c>
      <c r="J2569" s="1">
        <v>45292</v>
      </c>
      <c r="K2569">
        <v>16989000</v>
      </c>
    </row>
    <row r="2570" spans="5:11" x14ac:dyDescent="0.25">
      <c r="E2570" t="s">
        <v>5043</v>
      </c>
      <c r="F2570">
        <v>1437750</v>
      </c>
      <c r="G2570" s="1">
        <v>45382</v>
      </c>
      <c r="H2570" t="s">
        <v>5044</v>
      </c>
      <c r="I2570" t="s">
        <v>33</v>
      </c>
      <c r="J2570" s="1">
        <v>45292</v>
      </c>
      <c r="K2570">
        <v>-245713</v>
      </c>
    </row>
    <row r="2571" spans="5:11" x14ac:dyDescent="0.25">
      <c r="E2571" t="s">
        <v>5045</v>
      </c>
      <c r="F2571">
        <v>1437958</v>
      </c>
      <c r="G2571" s="1">
        <v>45382</v>
      </c>
      <c r="H2571" t="s">
        <v>5046</v>
      </c>
      <c r="I2571" t="s">
        <v>504</v>
      </c>
      <c r="J2571" s="1">
        <v>45292</v>
      </c>
      <c r="K2571">
        <v>6800000</v>
      </c>
    </row>
    <row r="2572" spans="5:11" x14ac:dyDescent="0.25">
      <c r="E2572" t="s">
        <v>5047</v>
      </c>
      <c r="F2572">
        <v>1438133</v>
      </c>
      <c r="G2572" s="1">
        <v>45382</v>
      </c>
      <c r="H2572" t="s">
        <v>5048</v>
      </c>
      <c r="I2572" t="s">
        <v>36</v>
      </c>
      <c r="J2572" s="1">
        <v>45292</v>
      </c>
      <c r="K2572">
        <v>-42715000</v>
      </c>
    </row>
    <row r="2573" spans="5:11" x14ac:dyDescent="0.25">
      <c r="E2573" t="s">
        <v>5049</v>
      </c>
      <c r="F2573">
        <v>1438231</v>
      </c>
      <c r="G2573" s="1">
        <v>45382</v>
      </c>
      <c r="H2573" t="s">
        <v>5050</v>
      </c>
      <c r="I2573" t="s">
        <v>963</v>
      </c>
      <c r="J2573" s="1">
        <v>45292</v>
      </c>
      <c r="K2573">
        <v>-10338000</v>
      </c>
    </row>
    <row r="2574" spans="5:11" x14ac:dyDescent="0.25">
      <c r="E2574" t="s">
        <v>5051</v>
      </c>
      <c r="F2574">
        <v>1438423</v>
      </c>
      <c r="G2574" s="1">
        <v>45382</v>
      </c>
      <c r="H2574" t="s">
        <v>5052</v>
      </c>
      <c r="I2574" t="s">
        <v>113</v>
      </c>
      <c r="J2574" s="1">
        <v>45292</v>
      </c>
      <c r="K2574">
        <v>-202000</v>
      </c>
    </row>
    <row r="2575" spans="5:11" x14ac:dyDescent="0.25">
      <c r="E2575" t="s">
        <v>5053</v>
      </c>
      <c r="F2575">
        <v>1438533</v>
      </c>
      <c r="G2575" s="1">
        <v>45382</v>
      </c>
      <c r="H2575" t="s">
        <v>5054</v>
      </c>
      <c r="I2575" t="s">
        <v>36</v>
      </c>
      <c r="J2575" s="1">
        <v>45292</v>
      </c>
      <c r="K2575">
        <v>-136061000</v>
      </c>
    </row>
    <row r="2576" spans="5:11" x14ac:dyDescent="0.25">
      <c r="E2576" t="s">
        <v>5055</v>
      </c>
      <c r="F2576">
        <v>1438943</v>
      </c>
      <c r="G2576" s="1">
        <v>45382</v>
      </c>
      <c r="H2576" t="s">
        <v>5056</v>
      </c>
      <c r="I2576" t="s">
        <v>60</v>
      </c>
      <c r="J2576" s="1">
        <v>45292</v>
      </c>
      <c r="K2576">
        <v>-1213840</v>
      </c>
    </row>
    <row r="2577" spans="5:11" x14ac:dyDescent="0.25">
      <c r="E2577" t="s">
        <v>5057</v>
      </c>
      <c r="F2577">
        <v>1439095</v>
      </c>
      <c r="G2577" s="1">
        <v>45382</v>
      </c>
      <c r="H2577" t="s">
        <v>5058</v>
      </c>
      <c r="I2577" t="s">
        <v>30</v>
      </c>
      <c r="J2577" s="1">
        <v>45292</v>
      </c>
      <c r="K2577">
        <v>19000000</v>
      </c>
    </row>
    <row r="2578" spans="5:11" x14ac:dyDescent="0.25">
      <c r="E2578" t="s">
        <v>10477</v>
      </c>
      <c r="F2578">
        <v>1439222</v>
      </c>
      <c r="G2578" s="1">
        <v>45382</v>
      </c>
      <c r="H2578" t="s">
        <v>5059</v>
      </c>
      <c r="I2578" t="s">
        <v>24</v>
      </c>
      <c r="J2578" s="1">
        <v>45292</v>
      </c>
      <c r="K2578">
        <v>-81549000</v>
      </c>
    </row>
    <row r="2579" spans="5:11" x14ac:dyDescent="0.25">
      <c r="E2579" t="s">
        <v>5060</v>
      </c>
      <c r="F2579">
        <v>1439264</v>
      </c>
      <c r="G2579" s="1">
        <v>45382</v>
      </c>
      <c r="H2579" t="s">
        <v>5061</v>
      </c>
      <c r="I2579" t="s">
        <v>1245</v>
      </c>
      <c r="J2579" s="1">
        <v>45292</v>
      </c>
      <c r="K2579">
        <v>-431939</v>
      </c>
    </row>
    <row r="2580" spans="5:11" x14ac:dyDescent="0.25">
      <c r="E2580" t="s">
        <v>5062</v>
      </c>
      <c r="F2580">
        <v>1439288</v>
      </c>
      <c r="G2580" s="1">
        <v>45382</v>
      </c>
      <c r="H2580" t="s">
        <v>5063</v>
      </c>
      <c r="I2580" t="s">
        <v>83</v>
      </c>
      <c r="J2580" s="1">
        <v>45292</v>
      </c>
      <c r="K2580">
        <v>34300000</v>
      </c>
    </row>
    <row r="2581" spans="5:11" x14ac:dyDescent="0.25">
      <c r="E2581" t="s">
        <v>10478</v>
      </c>
      <c r="F2581">
        <v>1439725</v>
      </c>
      <c r="G2581" s="1">
        <v>45382</v>
      </c>
      <c r="H2581" t="s">
        <v>5064</v>
      </c>
      <c r="I2581" t="s">
        <v>92</v>
      </c>
      <c r="J2581" s="1">
        <v>45292</v>
      </c>
      <c r="K2581">
        <v>-13614000</v>
      </c>
    </row>
    <row r="2582" spans="5:11" x14ac:dyDescent="0.25">
      <c r="E2582" t="s">
        <v>5065</v>
      </c>
      <c r="F2582">
        <v>1440153</v>
      </c>
      <c r="G2582" s="1">
        <v>45412</v>
      </c>
      <c r="H2582" t="s">
        <v>5066</v>
      </c>
      <c r="I2582" t="s">
        <v>36</v>
      </c>
      <c r="J2582" s="1">
        <v>45323</v>
      </c>
      <c r="K2582">
        <v>-906837</v>
      </c>
    </row>
    <row r="2583" spans="5:11" x14ac:dyDescent="0.25">
      <c r="E2583" t="s">
        <v>5067</v>
      </c>
      <c r="F2583">
        <v>1441236</v>
      </c>
      <c r="G2583" s="1">
        <v>45382</v>
      </c>
      <c r="H2583" t="s">
        <v>5068</v>
      </c>
      <c r="I2583" t="s">
        <v>504</v>
      </c>
      <c r="J2583" s="1">
        <v>45292</v>
      </c>
      <c r="K2583">
        <v>17200000</v>
      </c>
    </row>
    <row r="2584" spans="5:11" x14ac:dyDescent="0.25">
      <c r="E2584" t="s">
        <v>5069</v>
      </c>
      <c r="F2584">
        <v>1441683</v>
      </c>
      <c r="G2584" s="1">
        <v>45382</v>
      </c>
      <c r="H2584" t="s">
        <v>5070</v>
      </c>
      <c r="I2584" t="s">
        <v>123</v>
      </c>
      <c r="J2584" s="1">
        <v>45292</v>
      </c>
      <c r="K2584">
        <v>-32923000</v>
      </c>
    </row>
    <row r="2585" spans="5:11" x14ac:dyDescent="0.25">
      <c r="E2585" t="s">
        <v>5071</v>
      </c>
      <c r="F2585">
        <v>1441816</v>
      </c>
      <c r="G2585" s="1">
        <v>45412</v>
      </c>
      <c r="H2585" t="s">
        <v>5072</v>
      </c>
      <c r="I2585" t="s">
        <v>57</v>
      </c>
      <c r="J2585" s="1">
        <v>45323</v>
      </c>
      <c r="K2585">
        <v>-80593000</v>
      </c>
    </row>
    <row r="2586" spans="5:11" x14ac:dyDescent="0.25">
      <c r="E2586" t="s">
        <v>5073</v>
      </c>
      <c r="F2586">
        <v>1442145</v>
      </c>
      <c r="G2586" s="1">
        <v>45382</v>
      </c>
      <c r="H2586" t="s">
        <v>5074</v>
      </c>
      <c r="I2586" t="s">
        <v>46</v>
      </c>
      <c r="J2586" s="1">
        <v>45292</v>
      </c>
      <c r="K2586">
        <v>219600000</v>
      </c>
    </row>
    <row r="2587" spans="5:11" x14ac:dyDescent="0.25">
      <c r="E2587" t="s">
        <v>5075</v>
      </c>
      <c r="F2587">
        <v>1442236</v>
      </c>
      <c r="G2587" s="1">
        <v>45382</v>
      </c>
      <c r="H2587" t="s">
        <v>5076</v>
      </c>
      <c r="I2587" t="s">
        <v>30</v>
      </c>
      <c r="J2587" s="1">
        <v>45292</v>
      </c>
      <c r="K2587">
        <v>-655326</v>
      </c>
    </row>
    <row r="2588" spans="5:11" x14ac:dyDescent="0.25">
      <c r="E2588" t="s">
        <v>5077</v>
      </c>
      <c r="F2588">
        <v>1442492</v>
      </c>
      <c r="G2588" s="1">
        <v>45351</v>
      </c>
      <c r="H2588" t="s">
        <v>5078</v>
      </c>
      <c r="I2588" t="s">
        <v>30</v>
      </c>
      <c r="J2588" s="1">
        <v>45261</v>
      </c>
      <c r="K2588">
        <v>-336409</v>
      </c>
    </row>
    <row r="2589" spans="5:11" x14ac:dyDescent="0.25">
      <c r="E2589" t="s">
        <v>5079</v>
      </c>
      <c r="F2589">
        <v>1442836</v>
      </c>
      <c r="G2589" s="1">
        <v>45382</v>
      </c>
      <c r="H2589" t="s">
        <v>5080</v>
      </c>
      <c r="I2589" t="s">
        <v>24</v>
      </c>
      <c r="J2589" s="1">
        <v>45292</v>
      </c>
      <c r="K2589">
        <v>-19306000</v>
      </c>
    </row>
    <row r="2590" spans="5:11" x14ac:dyDescent="0.25">
      <c r="E2590" t="s">
        <v>10479</v>
      </c>
      <c r="F2590">
        <v>1443611</v>
      </c>
      <c r="G2590" s="1">
        <v>45382</v>
      </c>
      <c r="H2590" t="s">
        <v>10480</v>
      </c>
      <c r="I2590" t="s">
        <v>113</v>
      </c>
      <c r="J2590" s="1">
        <v>45292</v>
      </c>
      <c r="K2590">
        <v>-2857184</v>
      </c>
    </row>
    <row r="2591" spans="5:11" x14ac:dyDescent="0.25">
      <c r="E2591" t="s">
        <v>5081</v>
      </c>
      <c r="F2591">
        <v>1443669</v>
      </c>
      <c r="G2591" s="1">
        <v>45382</v>
      </c>
      <c r="H2591" t="s">
        <v>5082</v>
      </c>
      <c r="I2591" t="s">
        <v>213</v>
      </c>
      <c r="J2591" s="1">
        <v>45292</v>
      </c>
      <c r="K2591">
        <v>5268000</v>
      </c>
    </row>
    <row r="2592" spans="5:11" x14ac:dyDescent="0.25">
      <c r="E2592" t="s">
        <v>5083</v>
      </c>
      <c r="F2592">
        <v>1443863</v>
      </c>
      <c r="G2592" s="1">
        <v>45382</v>
      </c>
      <c r="H2592" t="s">
        <v>5084</v>
      </c>
      <c r="I2592" t="s">
        <v>36</v>
      </c>
      <c r="J2592" s="1">
        <v>45292</v>
      </c>
      <c r="K2592">
        <v>-1237463</v>
      </c>
    </row>
    <row r="2593" spans="5:11" x14ac:dyDescent="0.25">
      <c r="E2593" t="s">
        <v>5085</v>
      </c>
      <c r="F2593">
        <v>1444380</v>
      </c>
      <c r="G2593" s="1">
        <v>45382</v>
      </c>
      <c r="H2593" t="s">
        <v>5086</v>
      </c>
      <c r="I2593" t="s">
        <v>36</v>
      </c>
      <c r="J2593" s="1">
        <v>45292</v>
      </c>
      <c r="K2593">
        <v>-25409000</v>
      </c>
    </row>
    <row r="2594" spans="5:11" x14ac:dyDescent="0.25">
      <c r="E2594" t="s">
        <v>5087</v>
      </c>
      <c r="F2594">
        <v>1444839</v>
      </c>
      <c r="G2594" s="1">
        <v>45382</v>
      </c>
      <c r="H2594" t="s">
        <v>5088</v>
      </c>
      <c r="I2594" t="s">
        <v>123</v>
      </c>
      <c r="J2594" s="1">
        <v>45292</v>
      </c>
      <c r="K2594">
        <v>137718</v>
      </c>
    </row>
    <row r="2595" spans="5:11" x14ac:dyDescent="0.25">
      <c r="E2595" t="s">
        <v>5089</v>
      </c>
      <c r="F2595">
        <v>1445283</v>
      </c>
      <c r="G2595" s="1">
        <v>45382</v>
      </c>
      <c r="H2595" t="s">
        <v>5090</v>
      </c>
      <c r="I2595" t="s">
        <v>504</v>
      </c>
      <c r="J2595" s="1">
        <v>45292</v>
      </c>
      <c r="K2595">
        <v>-10238000</v>
      </c>
    </row>
    <row r="2596" spans="5:11" x14ac:dyDescent="0.25">
      <c r="E2596" t="s">
        <v>5091</v>
      </c>
      <c r="F2596">
        <v>1445305</v>
      </c>
      <c r="G2596" s="1">
        <v>45382</v>
      </c>
      <c r="H2596" t="s">
        <v>5092</v>
      </c>
      <c r="I2596" t="s">
        <v>95</v>
      </c>
      <c r="J2596" s="1">
        <v>45292</v>
      </c>
      <c r="K2596">
        <v>-11687000</v>
      </c>
    </row>
    <row r="2597" spans="5:11" x14ac:dyDescent="0.25">
      <c r="E2597" t="s">
        <v>10481</v>
      </c>
      <c r="F2597">
        <v>1445815</v>
      </c>
      <c r="G2597" s="1">
        <v>45382</v>
      </c>
      <c r="H2597" t="s">
        <v>5093</v>
      </c>
      <c r="I2597" t="s">
        <v>24</v>
      </c>
      <c r="J2597" s="1">
        <v>45292</v>
      </c>
      <c r="K2597">
        <v>-800329</v>
      </c>
    </row>
    <row r="2598" spans="5:11" x14ac:dyDescent="0.25">
      <c r="E2598" t="s">
        <v>5094</v>
      </c>
      <c r="F2598">
        <v>1445942</v>
      </c>
      <c r="G2598" s="1">
        <v>45351</v>
      </c>
      <c r="H2598" t="s">
        <v>5095</v>
      </c>
      <c r="I2598" t="s">
        <v>30</v>
      </c>
      <c r="J2598" s="1">
        <v>45261</v>
      </c>
      <c r="K2598">
        <v>-141242</v>
      </c>
    </row>
    <row r="2599" spans="5:11" x14ac:dyDescent="0.25">
      <c r="E2599" t="s">
        <v>5096</v>
      </c>
      <c r="F2599">
        <v>1446159</v>
      </c>
      <c r="G2599" s="1">
        <v>45382</v>
      </c>
      <c r="H2599" t="s">
        <v>5097</v>
      </c>
      <c r="I2599" t="s">
        <v>39</v>
      </c>
      <c r="J2599" s="1">
        <v>45292</v>
      </c>
      <c r="K2599">
        <v>-4218843</v>
      </c>
    </row>
    <row r="2600" spans="5:11" x14ac:dyDescent="0.25">
      <c r="E2600" t="s">
        <v>5098</v>
      </c>
      <c r="F2600">
        <v>1446847</v>
      </c>
      <c r="G2600" s="1">
        <v>45382</v>
      </c>
      <c r="H2600" t="s">
        <v>5099</v>
      </c>
      <c r="I2600" t="s">
        <v>24</v>
      </c>
      <c r="J2600" s="1">
        <v>45292</v>
      </c>
      <c r="K2600">
        <v>-4162000</v>
      </c>
    </row>
    <row r="2601" spans="5:11" x14ac:dyDescent="0.25">
      <c r="E2601" t="s">
        <v>5100</v>
      </c>
      <c r="F2601">
        <v>1447028</v>
      </c>
      <c r="G2601" s="1">
        <v>45382</v>
      </c>
      <c r="H2601" t="s">
        <v>5101</v>
      </c>
      <c r="I2601" t="s">
        <v>39</v>
      </c>
      <c r="J2601" s="1">
        <v>45292</v>
      </c>
      <c r="K2601">
        <v>-17875000</v>
      </c>
    </row>
    <row r="2602" spans="5:11" x14ac:dyDescent="0.25">
      <c r="E2602" t="s">
        <v>5102</v>
      </c>
      <c r="F2602">
        <v>1447051</v>
      </c>
      <c r="G2602" s="1">
        <v>45382</v>
      </c>
      <c r="H2602" t="s">
        <v>5103</v>
      </c>
      <c r="I2602" t="s">
        <v>43</v>
      </c>
      <c r="J2602" s="1">
        <v>45292</v>
      </c>
      <c r="K2602">
        <v>-482000</v>
      </c>
    </row>
    <row r="2603" spans="5:11" x14ac:dyDescent="0.25">
      <c r="E2603" t="s">
        <v>5104</v>
      </c>
      <c r="F2603">
        <v>1447362</v>
      </c>
      <c r="G2603" s="1">
        <v>45382</v>
      </c>
      <c r="H2603" t="s">
        <v>5105</v>
      </c>
      <c r="I2603" t="s">
        <v>30</v>
      </c>
      <c r="J2603" s="1">
        <v>45292</v>
      </c>
      <c r="K2603">
        <v>-2534000</v>
      </c>
    </row>
    <row r="2604" spans="5:11" x14ac:dyDescent="0.25">
      <c r="E2604" t="s">
        <v>5106</v>
      </c>
      <c r="F2604">
        <v>1447380</v>
      </c>
      <c r="G2604" s="1">
        <v>45382</v>
      </c>
      <c r="H2604" t="s">
        <v>5107</v>
      </c>
      <c r="I2604" t="s">
        <v>113</v>
      </c>
      <c r="J2604" s="1">
        <v>45292</v>
      </c>
      <c r="K2604">
        <v>-2254242</v>
      </c>
    </row>
    <row r="2605" spans="5:11" x14ac:dyDescent="0.25">
      <c r="E2605" t="s">
        <v>5108</v>
      </c>
      <c r="F2605">
        <v>1447669</v>
      </c>
      <c r="G2605" s="1">
        <v>45382</v>
      </c>
      <c r="H2605" t="s">
        <v>5109</v>
      </c>
      <c r="I2605" t="s">
        <v>36</v>
      </c>
      <c r="J2605" s="1">
        <v>45292</v>
      </c>
      <c r="K2605">
        <v>-55349000</v>
      </c>
    </row>
    <row r="2606" spans="5:11" x14ac:dyDescent="0.25">
      <c r="E2606" t="s">
        <v>5110</v>
      </c>
      <c r="F2606">
        <v>1448038</v>
      </c>
      <c r="G2606" s="1">
        <v>45382</v>
      </c>
      <c r="H2606" t="s">
        <v>5111</v>
      </c>
      <c r="I2606" t="s">
        <v>36</v>
      </c>
      <c r="J2606" s="1">
        <v>45292</v>
      </c>
      <c r="K2606">
        <v>645000</v>
      </c>
    </row>
    <row r="2607" spans="5:11" x14ac:dyDescent="0.25">
      <c r="E2607" t="s">
        <v>5112</v>
      </c>
      <c r="F2607">
        <v>1448431</v>
      </c>
      <c r="G2607" s="1">
        <v>45382</v>
      </c>
      <c r="H2607" t="s">
        <v>5113</v>
      </c>
      <c r="I2607" t="s">
        <v>24</v>
      </c>
      <c r="J2607" s="1">
        <v>45292</v>
      </c>
      <c r="K2607">
        <v>-6900000</v>
      </c>
    </row>
    <row r="2608" spans="5:11" x14ac:dyDescent="0.25">
      <c r="E2608" t="s">
        <v>5114</v>
      </c>
      <c r="F2608">
        <v>1448597</v>
      </c>
      <c r="G2608" s="1">
        <v>45382</v>
      </c>
      <c r="H2608" t="s">
        <v>5115</v>
      </c>
      <c r="I2608" t="s">
        <v>1716</v>
      </c>
      <c r="J2608" s="1">
        <v>45292</v>
      </c>
      <c r="K2608">
        <v>-2577243</v>
      </c>
    </row>
    <row r="2609" spans="5:11" x14ac:dyDescent="0.25">
      <c r="E2609" t="s">
        <v>5116</v>
      </c>
      <c r="F2609">
        <v>1448705</v>
      </c>
      <c r="G2609" s="1">
        <v>45382</v>
      </c>
      <c r="H2609" t="s">
        <v>5117</v>
      </c>
      <c r="I2609" t="s">
        <v>33</v>
      </c>
      <c r="J2609" s="1">
        <v>45292</v>
      </c>
      <c r="K2609">
        <v>-287958</v>
      </c>
    </row>
    <row r="2610" spans="5:11" x14ac:dyDescent="0.25">
      <c r="E2610" t="s">
        <v>5118</v>
      </c>
      <c r="F2610">
        <v>1448893</v>
      </c>
      <c r="G2610" s="1">
        <v>45382</v>
      </c>
      <c r="H2610" t="s">
        <v>5119</v>
      </c>
      <c r="I2610" t="s">
        <v>919</v>
      </c>
      <c r="J2610" s="1">
        <v>45292</v>
      </c>
      <c r="K2610">
        <v>181719000</v>
      </c>
    </row>
    <row r="2611" spans="5:11" x14ac:dyDescent="0.25">
      <c r="E2611" t="s">
        <v>5120</v>
      </c>
      <c r="F2611">
        <v>1449349</v>
      </c>
      <c r="G2611" s="1">
        <v>45382</v>
      </c>
      <c r="H2611" t="s">
        <v>5121</v>
      </c>
      <c r="I2611" t="s">
        <v>504</v>
      </c>
      <c r="J2611" s="1">
        <v>45292</v>
      </c>
      <c r="K2611">
        <v>-558539</v>
      </c>
    </row>
    <row r="2612" spans="5:11" x14ac:dyDescent="0.25">
      <c r="E2612" t="s">
        <v>5122</v>
      </c>
      <c r="F2612">
        <v>1449792</v>
      </c>
      <c r="G2612" s="1">
        <v>45382</v>
      </c>
      <c r="H2612" t="s">
        <v>5123</v>
      </c>
      <c r="I2612" t="s">
        <v>46</v>
      </c>
      <c r="J2612" s="1">
        <v>45292</v>
      </c>
      <c r="K2612">
        <v>-1035000</v>
      </c>
    </row>
    <row r="2613" spans="5:11" x14ac:dyDescent="0.25">
      <c r="E2613" t="s">
        <v>5124</v>
      </c>
      <c r="F2613">
        <v>1449794</v>
      </c>
      <c r="G2613" s="1">
        <v>45382</v>
      </c>
      <c r="H2613" t="s">
        <v>5125</v>
      </c>
      <c r="I2613" t="s">
        <v>39</v>
      </c>
      <c r="J2613" s="1">
        <v>45292</v>
      </c>
      <c r="K2613">
        <v>2536000</v>
      </c>
    </row>
    <row r="2614" spans="5:11" x14ac:dyDescent="0.25">
      <c r="E2614" t="s">
        <v>5126</v>
      </c>
      <c r="F2614">
        <v>1450704</v>
      </c>
      <c r="G2614" s="1">
        <v>45382</v>
      </c>
      <c r="H2614" t="s">
        <v>5127</v>
      </c>
      <c r="I2614" t="s">
        <v>30</v>
      </c>
      <c r="J2614" s="1">
        <v>45292</v>
      </c>
      <c r="K2614">
        <v>-1882235</v>
      </c>
    </row>
    <row r="2615" spans="5:11" x14ac:dyDescent="0.25">
      <c r="E2615" t="s">
        <v>5128</v>
      </c>
      <c r="F2615">
        <v>1450922</v>
      </c>
      <c r="G2615" s="1">
        <v>45382</v>
      </c>
      <c r="H2615" t="s">
        <v>5129</v>
      </c>
      <c r="I2615" t="s">
        <v>39</v>
      </c>
      <c r="J2615" s="1">
        <v>45292</v>
      </c>
      <c r="K2615">
        <v>32464000</v>
      </c>
    </row>
    <row r="2616" spans="5:11" x14ac:dyDescent="0.25">
      <c r="E2616" t="s">
        <v>5130</v>
      </c>
      <c r="F2616">
        <v>1450923</v>
      </c>
      <c r="G2616" s="1">
        <v>45382</v>
      </c>
      <c r="H2616" t="s">
        <v>5131</v>
      </c>
      <c r="I2616" t="s">
        <v>39</v>
      </c>
      <c r="J2616" s="1">
        <v>45292</v>
      </c>
      <c r="K2616">
        <v>176682000</v>
      </c>
    </row>
    <row r="2617" spans="5:11" x14ac:dyDescent="0.25">
      <c r="E2617" t="s">
        <v>5132</v>
      </c>
      <c r="F2617">
        <v>1451448</v>
      </c>
      <c r="G2617" s="1">
        <v>45382</v>
      </c>
      <c r="H2617" t="s">
        <v>5133</v>
      </c>
      <c r="I2617" t="s">
        <v>4336</v>
      </c>
      <c r="J2617" s="1">
        <v>45292</v>
      </c>
      <c r="K2617">
        <v>-2842559</v>
      </c>
    </row>
    <row r="2618" spans="5:11" x14ac:dyDescent="0.25">
      <c r="E2618" t="s">
        <v>5134</v>
      </c>
      <c r="F2618">
        <v>1451505</v>
      </c>
      <c r="G2618" s="1">
        <v>45382</v>
      </c>
      <c r="H2618" t="s">
        <v>5135</v>
      </c>
      <c r="I2618" t="s">
        <v>2162</v>
      </c>
      <c r="J2618" s="1">
        <v>45292</v>
      </c>
      <c r="K2618">
        <v>98000000</v>
      </c>
    </row>
    <row r="2619" spans="5:11" x14ac:dyDescent="0.25">
      <c r="E2619" t="s">
        <v>5136</v>
      </c>
      <c r="F2619">
        <v>1451809</v>
      </c>
      <c r="G2619" s="1">
        <v>45382</v>
      </c>
      <c r="H2619" t="s">
        <v>5137</v>
      </c>
      <c r="I2619" t="s">
        <v>36</v>
      </c>
      <c r="J2619" s="1">
        <v>45292</v>
      </c>
      <c r="K2619">
        <v>-28704000</v>
      </c>
    </row>
    <row r="2620" spans="5:11" x14ac:dyDescent="0.25">
      <c r="E2620" t="s">
        <v>10482</v>
      </c>
      <c r="F2620">
        <v>1452477</v>
      </c>
      <c r="G2620" s="1">
        <v>45382</v>
      </c>
      <c r="H2620" t="s">
        <v>5138</v>
      </c>
      <c r="I2620" t="s">
        <v>24</v>
      </c>
      <c r="J2620" s="1">
        <v>45292</v>
      </c>
      <c r="K2620">
        <v>5233000</v>
      </c>
    </row>
    <row r="2621" spans="5:11" x14ac:dyDescent="0.25">
      <c r="E2621" t="s">
        <v>5139</v>
      </c>
      <c r="F2621">
        <v>1452857</v>
      </c>
      <c r="G2621" s="1">
        <v>45382</v>
      </c>
      <c r="H2621" t="s">
        <v>5140</v>
      </c>
      <c r="I2621" t="s">
        <v>57</v>
      </c>
      <c r="J2621" s="1">
        <v>45292</v>
      </c>
      <c r="K2621">
        <v>34231000</v>
      </c>
    </row>
    <row r="2622" spans="5:11" x14ac:dyDescent="0.25">
      <c r="E2622" t="s">
        <v>5141</v>
      </c>
      <c r="F2622">
        <v>1452936</v>
      </c>
      <c r="G2622" s="1">
        <v>45382</v>
      </c>
      <c r="H2622" t="s">
        <v>5142</v>
      </c>
      <c r="I2622" t="s">
        <v>36</v>
      </c>
      <c r="J2622" s="1">
        <v>45292</v>
      </c>
      <c r="K2622">
        <v>-76473000</v>
      </c>
    </row>
    <row r="2623" spans="5:11" x14ac:dyDescent="0.25">
      <c r="E2623" t="s">
        <v>5143</v>
      </c>
      <c r="F2623">
        <v>1453593</v>
      </c>
      <c r="G2623" s="1">
        <v>45382</v>
      </c>
      <c r="H2623" t="s">
        <v>5144</v>
      </c>
      <c r="I2623" t="s">
        <v>772</v>
      </c>
      <c r="J2623" s="1">
        <v>45292</v>
      </c>
      <c r="K2623">
        <v>-4400000</v>
      </c>
    </row>
    <row r="2624" spans="5:11" x14ac:dyDescent="0.25">
      <c r="E2624" t="s">
        <v>5145</v>
      </c>
      <c r="F2624">
        <v>1453687</v>
      </c>
      <c r="G2624" s="1">
        <v>45382</v>
      </c>
      <c r="H2624" t="s">
        <v>5146</v>
      </c>
      <c r="I2624" t="s">
        <v>299</v>
      </c>
      <c r="J2624" s="1">
        <v>45292</v>
      </c>
      <c r="K2624">
        <v>-56824000</v>
      </c>
    </row>
    <row r="2625" spans="5:11" x14ac:dyDescent="0.25">
      <c r="E2625" t="s">
        <v>5147</v>
      </c>
      <c r="F2625">
        <v>1454742</v>
      </c>
      <c r="G2625" s="1">
        <v>45382</v>
      </c>
      <c r="H2625" t="s">
        <v>5148</v>
      </c>
      <c r="I2625" t="s">
        <v>39</v>
      </c>
      <c r="J2625" s="1">
        <v>45292</v>
      </c>
      <c r="K2625">
        <v>-355165</v>
      </c>
    </row>
    <row r="2626" spans="5:11" x14ac:dyDescent="0.25">
      <c r="E2626" t="s">
        <v>5149</v>
      </c>
      <c r="F2626">
        <v>1454789</v>
      </c>
      <c r="G2626" s="1">
        <v>45382</v>
      </c>
      <c r="H2626" t="s">
        <v>5150</v>
      </c>
      <c r="I2626" t="s">
        <v>24</v>
      </c>
      <c r="J2626" s="1">
        <v>45292</v>
      </c>
      <c r="K2626">
        <v>-19928000</v>
      </c>
    </row>
    <row r="2627" spans="5:11" x14ac:dyDescent="0.25">
      <c r="E2627" t="s">
        <v>5151</v>
      </c>
      <c r="F2627">
        <v>1454938</v>
      </c>
      <c r="G2627" s="1">
        <v>45382</v>
      </c>
      <c r="H2627" t="s">
        <v>5152</v>
      </c>
      <c r="I2627" t="s">
        <v>57</v>
      </c>
      <c r="J2627" s="1">
        <v>45292</v>
      </c>
      <c r="K2627">
        <v>-5041000</v>
      </c>
    </row>
    <row r="2628" spans="5:11" x14ac:dyDescent="0.25">
      <c r="E2628" t="s">
        <v>5153</v>
      </c>
      <c r="F2628">
        <v>1455365</v>
      </c>
      <c r="G2628" s="1">
        <v>45382</v>
      </c>
      <c r="H2628" t="s">
        <v>5154</v>
      </c>
      <c r="I2628" t="s">
        <v>57</v>
      </c>
      <c r="J2628" s="1">
        <v>45292</v>
      </c>
      <c r="K2628">
        <v>-9151000</v>
      </c>
    </row>
    <row r="2629" spans="5:11" x14ac:dyDescent="0.25">
      <c r="E2629" t="s">
        <v>5155</v>
      </c>
      <c r="F2629">
        <v>1455684</v>
      </c>
      <c r="G2629" s="1">
        <v>45382</v>
      </c>
      <c r="H2629" t="s">
        <v>5156</v>
      </c>
      <c r="I2629" t="s">
        <v>113</v>
      </c>
      <c r="J2629" s="1">
        <v>45292</v>
      </c>
      <c r="K2629">
        <v>-61468000</v>
      </c>
    </row>
    <row r="2630" spans="5:11" x14ac:dyDescent="0.25">
      <c r="E2630" t="s">
        <v>5157</v>
      </c>
      <c r="F2630">
        <v>1455741</v>
      </c>
      <c r="G2630" s="1">
        <v>45382</v>
      </c>
      <c r="H2630" t="s">
        <v>5158</v>
      </c>
      <c r="I2630" t="s">
        <v>46</v>
      </c>
      <c r="J2630" s="1">
        <v>45292</v>
      </c>
      <c r="K2630">
        <v>331000</v>
      </c>
    </row>
    <row r="2631" spans="5:11" x14ac:dyDescent="0.25">
      <c r="E2631" t="s">
        <v>5159</v>
      </c>
      <c r="F2631">
        <v>1455863</v>
      </c>
      <c r="G2631" s="1">
        <v>45382</v>
      </c>
      <c r="H2631" t="s">
        <v>5160</v>
      </c>
      <c r="I2631" t="s">
        <v>64</v>
      </c>
      <c r="J2631" s="1">
        <v>45292</v>
      </c>
      <c r="K2631">
        <v>9740000</v>
      </c>
    </row>
    <row r="2632" spans="5:11" x14ac:dyDescent="0.25">
      <c r="E2632" t="s">
        <v>5161</v>
      </c>
      <c r="F2632">
        <v>1456189</v>
      </c>
      <c r="G2632" s="1">
        <v>45382</v>
      </c>
      <c r="H2632" t="s">
        <v>5162</v>
      </c>
      <c r="I2632" t="s">
        <v>2862</v>
      </c>
      <c r="J2632" s="1">
        <v>45292</v>
      </c>
      <c r="K2632">
        <v>-816679</v>
      </c>
    </row>
    <row r="2633" spans="5:11" x14ac:dyDescent="0.25">
      <c r="E2633" t="s">
        <v>10483</v>
      </c>
      <c r="F2633">
        <v>1456772</v>
      </c>
      <c r="G2633" s="1">
        <v>45382</v>
      </c>
      <c r="H2633" t="s">
        <v>5163</v>
      </c>
      <c r="I2633" t="s">
        <v>24</v>
      </c>
      <c r="J2633" s="1">
        <v>45292</v>
      </c>
      <c r="K2633">
        <v>-5184000</v>
      </c>
    </row>
    <row r="2634" spans="5:11" x14ac:dyDescent="0.25">
      <c r="E2634" t="s">
        <v>5164</v>
      </c>
      <c r="F2634">
        <v>1457919</v>
      </c>
      <c r="G2634" s="1">
        <v>45382</v>
      </c>
      <c r="H2634" t="s">
        <v>5165</v>
      </c>
      <c r="I2634" t="s">
        <v>46</v>
      </c>
      <c r="J2634" s="1">
        <v>45292</v>
      </c>
      <c r="K2634">
        <v>139000</v>
      </c>
    </row>
    <row r="2635" spans="5:11" x14ac:dyDescent="0.25">
      <c r="E2635" t="s">
        <v>5166</v>
      </c>
      <c r="F2635">
        <v>1458412</v>
      </c>
      <c r="G2635" s="1">
        <v>45382</v>
      </c>
      <c r="H2635" t="s">
        <v>5167</v>
      </c>
      <c r="I2635" t="s">
        <v>106</v>
      </c>
      <c r="J2635" s="1">
        <v>45292</v>
      </c>
      <c r="K2635">
        <v>18223000</v>
      </c>
    </row>
    <row r="2636" spans="5:11" x14ac:dyDescent="0.25">
      <c r="E2636" t="s">
        <v>5168</v>
      </c>
      <c r="F2636">
        <v>1459188</v>
      </c>
      <c r="G2636" s="1">
        <v>45382</v>
      </c>
      <c r="H2636" t="s">
        <v>5169</v>
      </c>
      <c r="I2636" t="s">
        <v>1511</v>
      </c>
      <c r="J2636" s="1">
        <v>45292</v>
      </c>
      <c r="K2636">
        <v>-198000</v>
      </c>
    </row>
    <row r="2637" spans="5:11" x14ac:dyDescent="0.25">
      <c r="E2637" t="s">
        <v>5170</v>
      </c>
      <c r="F2637">
        <v>1459417</v>
      </c>
      <c r="G2637" s="1">
        <v>45382</v>
      </c>
      <c r="H2637" t="s">
        <v>5171</v>
      </c>
      <c r="I2637" t="s">
        <v>299</v>
      </c>
      <c r="J2637" s="1">
        <v>45292</v>
      </c>
      <c r="K2637">
        <v>-54649000</v>
      </c>
    </row>
    <row r="2638" spans="5:11" x14ac:dyDescent="0.25">
      <c r="E2638" t="s">
        <v>5172</v>
      </c>
      <c r="F2638">
        <v>1459839</v>
      </c>
      <c r="G2638" s="1">
        <v>45382</v>
      </c>
      <c r="H2638" t="s">
        <v>5173</v>
      </c>
      <c r="I2638" t="s">
        <v>36</v>
      </c>
      <c r="J2638" s="1">
        <v>45292</v>
      </c>
      <c r="K2638">
        <v>-10904000</v>
      </c>
    </row>
    <row r="2639" spans="5:11" x14ac:dyDescent="0.25">
      <c r="E2639" t="s">
        <v>5174</v>
      </c>
      <c r="F2639">
        <v>1459862</v>
      </c>
      <c r="G2639" s="1">
        <v>45382</v>
      </c>
      <c r="H2639" t="s">
        <v>5175</v>
      </c>
      <c r="I2639" t="s">
        <v>39</v>
      </c>
      <c r="J2639" s="1">
        <v>45292</v>
      </c>
      <c r="K2639">
        <v>-21124000</v>
      </c>
    </row>
    <row r="2640" spans="5:11" x14ac:dyDescent="0.25">
      <c r="E2640" t="s">
        <v>5176</v>
      </c>
      <c r="F2640">
        <v>1460235</v>
      </c>
      <c r="G2640" s="1">
        <v>45382</v>
      </c>
      <c r="H2640" t="s">
        <v>5177</v>
      </c>
      <c r="I2640" t="s">
        <v>39</v>
      </c>
      <c r="J2640" s="1">
        <v>45292</v>
      </c>
      <c r="K2640">
        <v>-93304000</v>
      </c>
    </row>
    <row r="2641" spans="5:11" x14ac:dyDescent="0.25">
      <c r="E2641" t="s">
        <v>5178</v>
      </c>
      <c r="F2641">
        <v>1460329</v>
      </c>
      <c r="G2641" s="1">
        <v>45382</v>
      </c>
      <c r="H2641" t="s">
        <v>5179</v>
      </c>
      <c r="I2641" t="s">
        <v>57</v>
      </c>
      <c r="J2641" s="1">
        <v>45292</v>
      </c>
      <c r="K2641">
        <v>-6276000</v>
      </c>
    </row>
    <row r="2642" spans="5:11" x14ac:dyDescent="0.25">
      <c r="E2642" t="s">
        <v>5180</v>
      </c>
      <c r="F2642">
        <v>1460602</v>
      </c>
      <c r="G2642" s="1">
        <v>45382</v>
      </c>
      <c r="H2642" t="s">
        <v>5181</v>
      </c>
      <c r="I2642" t="s">
        <v>299</v>
      </c>
      <c r="J2642" s="1">
        <v>45292</v>
      </c>
      <c r="K2642">
        <v>-9765000</v>
      </c>
    </row>
    <row r="2643" spans="5:11" x14ac:dyDescent="0.25">
      <c r="E2643" t="s">
        <v>5182</v>
      </c>
      <c r="F2643">
        <v>1460702</v>
      </c>
      <c r="G2643" s="1">
        <v>45382</v>
      </c>
      <c r="H2643" t="s">
        <v>5183</v>
      </c>
      <c r="I2643" t="s">
        <v>36</v>
      </c>
      <c r="J2643" s="1">
        <v>45292</v>
      </c>
      <c r="K2643">
        <v>-2032751</v>
      </c>
    </row>
    <row r="2644" spans="5:11" x14ac:dyDescent="0.25">
      <c r="E2644" t="s">
        <v>5184</v>
      </c>
      <c r="F2644">
        <v>1462056</v>
      </c>
      <c r="G2644" s="1">
        <v>45382</v>
      </c>
      <c r="H2644" t="s">
        <v>5185</v>
      </c>
      <c r="I2644" t="s">
        <v>36</v>
      </c>
      <c r="J2644" s="1">
        <v>45292</v>
      </c>
      <c r="K2644">
        <v>-11053000</v>
      </c>
    </row>
    <row r="2645" spans="5:11" x14ac:dyDescent="0.25">
      <c r="E2645" t="s">
        <v>5186</v>
      </c>
      <c r="F2645">
        <v>1462120</v>
      </c>
      <c r="G2645" s="1">
        <v>45382</v>
      </c>
      <c r="H2645" t="s">
        <v>5187</v>
      </c>
      <c r="I2645" t="s">
        <v>172</v>
      </c>
      <c r="J2645" s="1">
        <v>45292</v>
      </c>
      <c r="K2645">
        <v>27586000</v>
      </c>
    </row>
    <row r="2646" spans="5:11" x14ac:dyDescent="0.25">
      <c r="E2646" t="s">
        <v>5188</v>
      </c>
      <c r="F2646">
        <v>1462223</v>
      </c>
      <c r="G2646" s="1">
        <v>45382</v>
      </c>
      <c r="H2646" t="s">
        <v>5189</v>
      </c>
      <c r="I2646" t="s">
        <v>27</v>
      </c>
      <c r="J2646" s="1">
        <v>45292</v>
      </c>
      <c r="K2646">
        <v>-778427</v>
      </c>
    </row>
    <row r="2647" spans="5:11" x14ac:dyDescent="0.25">
      <c r="E2647" t="s">
        <v>5190</v>
      </c>
      <c r="F2647">
        <v>1463101</v>
      </c>
      <c r="G2647" s="1">
        <v>45382</v>
      </c>
      <c r="H2647" t="s">
        <v>5191</v>
      </c>
      <c r="I2647" t="s">
        <v>36</v>
      </c>
      <c r="J2647" s="1">
        <v>45292</v>
      </c>
      <c r="K2647">
        <v>-16097000</v>
      </c>
    </row>
    <row r="2648" spans="5:11" x14ac:dyDescent="0.25">
      <c r="E2648" t="s">
        <v>5192</v>
      </c>
      <c r="F2648">
        <v>1463361</v>
      </c>
      <c r="G2648" s="1">
        <v>45382</v>
      </c>
      <c r="H2648" t="s">
        <v>5193</v>
      </c>
      <c r="I2648" t="s">
        <v>36</v>
      </c>
      <c r="J2648" s="1">
        <v>45292</v>
      </c>
      <c r="K2648">
        <v>-5790000</v>
      </c>
    </row>
    <row r="2649" spans="5:11" x14ac:dyDescent="0.25">
      <c r="E2649" t="s">
        <v>5194</v>
      </c>
      <c r="F2649">
        <v>1463913</v>
      </c>
      <c r="G2649" s="1">
        <v>45382</v>
      </c>
      <c r="H2649" t="s">
        <v>5195</v>
      </c>
      <c r="I2649" t="s">
        <v>106</v>
      </c>
      <c r="J2649" s="1">
        <v>45292</v>
      </c>
      <c r="K2649">
        <v>13957</v>
      </c>
    </row>
    <row r="2650" spans="5:11" x14ac:dyDescent="0.25">
      <c r="E2650" t="s">
        <v>5196</v>
      </c>
      <c r="F2650">
        <v>1463972</v>
      </c>
      <c r="G2650" s="1">
        <v>45382</v>
      </c>
      <c r="H2650" t="s">
        <v>5197</v>
      </c>
      <c r="I2650" t="s">
        <v>57</v>
      </c>
      <c r="J2650" s="1">
        <v>45292</v>
      </c>
      <c r="K2650">
        <v>-10047582</v>
      </c>
    </row>
    <row r="2651" spans="5:11" x14ac:dyDescent="0.25">
      <c r="E2651" t="s">
        <v>5198</v>
      </c>
      <c r="F2651">
        <v>1464343</v>
      </c>
      <c r="G2651" s="1">
        <v>45382</v>
      </c>
      <c r="H2651" t="s">
        <v>5199</v>
      </c>
      <c r="I2651" t="s">
        <v>64</v>
      </c>
      <c r="J2651" s="1">
        <v>45292</v>
      </c>
      <c r="K2651">
        <v>26170000</v>
      </c>
    </row>
    <row r="2652" spans="5:11" x14ac:dyDescent="0.25">
      <c r="E2652" t="s">
        <v>5200</v>
      </c>
      <c r="F2652">
        <v>1464423</v>
      </c>
      <c r="G2652" s="1">
        <v>45382</v>
      </c>
      <c r="H2652" t="s">
        <v>5201</v>
      </c>
      <c r="I2652" t="s">
        <v>36</v>
      </c>
      <c r="J2652" s="1">
        <v>45292</v>
      </c>
      <c r="K2652">
        <v>47608000</v>
      </c>
    </row>
    <row r="2653" spans="5:11" x14ac:dyDescent="0.25">
      <c r="E2653" t="s">
        <v>5202</v>
      </c>
      <c r="F2653">
        <v>1464790</v>
      </c>
      <c r="G2653" s="1">
        <v>45382</v>
      </c>
      <c r="H2653" t="s">
        <v>5203</v>
      </c>
      <c r="I2653" t="s">
        <v>36</v>
      </c>
      <c r="J2653" s="1">
        <v>45292</v>
      </c>
      <c r="K2653">
        <v>-49165000</v>
      </c>
    </row>
    <row r="2654" spans="5:11" x14ac:dyDescent="0.25">
      <c r="E2654" t="s">
        <v>10484</v>
      </c>
      <c r="F2654">
        <v>1464865</v>
      </c>
      <c r="G2654" s="1">
        <v>45382</v>
      </c>
      <c r="H2654" t="s">
        <v>5204</v>
      </c>
      <c r="I2654" t="s">
        <v>172</v>
      </c>
      <c r="J2654" s="1">
        <v>45292</v>
      </c>
      <c r="K2654">
        <v>-73306</v>
      </c>
    </row>
    <row r="2655" spans="5:11" x14ac:dyDescent="0.25">
      <c r="E2655" t="s">
        <v>5205</v>
      </c>
      <c r="F2655">
        <v>1465128</v>
      </c>
      <c r="G2655" s="1">
        <v>45382</v>
      </c>
      <c r="H2655" t="s">
        <v>5206</v>
      </c>
      <c r="I2655" t="s">
        <v>27</v>
      </c>
      <c r="J2655" s="1">
        <v>45292</v>
      </c>
      <c r="K2655">
        <v>154332000</v>
      </c>
    </row>
    <row r="2656" spans="5:11" x14ac:dyDescent="0.25">
      <c r="E2656" t="s">
        <v>10485</v>
      </c>
      <c r="F2656">
        <v>1465740</v>
      </c>
      <c r="G2656" s="1">
        <v>45382</v>
      </c>
      <c r="H2656" t="s">
        <v>5207</v>
      </c>
      <c r="I2656" t="s">
        <v>213</v>
      </c>
      <c r="J2656" s="1">
        <v>45292</v>
      </c>
      <c r="K2656">
        <v>203588000</v>
      </c>
    </row>
    <row r="2657" spans="5:11" x14ac:dyDescent="0.25">
      <c r="E2657" t="s">
        <v>5208</v>
      </c>
      <c r="F2657">
        <v>1466026</v>
      </c>
      <c r="G2657" s="1">
        <v>45382</v>
      </c>
      <c r="H2657" t="s">
        <v>5209</v>
      </c>
      <c r="I2657" t="s">
        <v>19</v>
      </c>
      <c r="J2657" s="1">
        <v>45292</v>
      </c>
      <c r="K2657">
        <v>13885000</v>
      </c>
    </row>
    <row r="2658" spans="5:11" x14ac:dyDescent="0.25">
      <c r="E2658" t="s">
        <v>5210</v>
      </c>
      <c r="F2658">
        <v>1466085</v>
      </c>
      <c r="G2658" s="1">
        <v>45382</v>
      </c>
      <c r="H2658" t="s">
        <v>5211</v>
      </c>
      <c r="I2658" t="s">
        <v>39</v>
      </c>
      <c r="J2658" s="1">
        <v>45292</v>
      </c>
      <c r="K2658">
        <v>17577000</v>
      </c>
    </row>
    <row r="2659" spans="5:11" x14ac:dyDescent="0.25">
      <c r="E2659" t="s">
        <v>5212</v>
      </c>
      <c r="F2659">
        <v>1466258</v>
      </c>
      <c r="G2659" s="1">
        <v>45382</v>
      </c>
      <c r="H2659" t="s">
        <v>5213</v>
      </c>
      <c r="I2659" t="s">
        <v>927</v>
      </c>
      <c r="J2659" s="1">
        <v>45292</v>
      </c>
      <c r="K2659">
        <v>436300000</v>
      </c>
    </row>
    <row r="2660" spans="5:11" x14ac:dyDescent="0.25">
      <c r="E2660" t="s">
        <v>5214</v>
      </c>
      <c r="F2660">
        <v>1466593</v>
      </c>
      <c r="G2660" s="1">
        <v>45382</v>
      </c>
      <c r="H2660" t="s">
        <v>5215</v>
      </c>
      <c r="I2660" t="s">
        <v>213</v>
      </c>
      <c r="J2660" s="1">
        <v>45292</v>
      </c>
      <c r="K2660">
        <v>74338000</v>
      </c>
    </row>
    <row r="2661" spans="5:11" x14ac:dyDescent="0.25">
      <c r="E2661" t="s">
        <v>5216</v>
      </c>
      <c r="F2661">
        <v>1467373</v>
      </c>
      <c r="G2661" s="1">
        <v>45351</v>
      </c>
      <c r="H2661" t="s">
        <v>5217</v>
      </c>
      <c r="I2661" t="s">
        <v>927</v>
      </c>
      <c r="J2661" s="1">
        <v>45261</v>
      </c>
      <c r="K2661">
        <v>1674859000</v>
      </c>
    </row>
    <row r="2662" spans="5:11" x14ac:dyDescent="0.25">
      <c r="E2662" t="s">
        <v>5218</v>
      </c>
      <c r="F2662">
        <v>1467623</v>
      </c>
      <c r="G2662" s="1">
        <v>45382</v>
      </c>
      <c r="H2662" t="s">
        <v>5219</v>
      </c>
      <c r="I2662" t="s">
        <v>36</v>
      </c>
      <c r="J2662" s="1">
        <v>45292</v>
      </c>
      <c r="K2662">
        <v>132300000</v>
      </c>
    </row>
    <row r="2663" spans="5:11" x14ac:dyDescent="0.25">
      <c r="E2663" t="s">
        <v>10486</v>
      </c>
      <c r="F2663">
        <v>1467760</v>
      </c>
      <c r="G2663" s="1">
        <v>45382</v>
      </c>
      <c r="H2663" t="s">
        <v>5220</v>
      </c>
      <c r="I2663" t="s">
        <v>57</v>
      </c>
      <c r="J2663" s="1">
        <v>45292</v>
      </c>
      <c r="K2663">
        <v>-104524000</v>
      </c>
    </row>
    <row r="2664" spans="5:11" x14ac:dyDescent="0.25">
      <c r="E2664" t="s">
        <v>5221</v>
      </c>
      <c r="F2664">
        <v>1467761</v>
      </c>
      <c r="G2664" s="1">
        <v>45382</v>
      </c>
      <c r="H2664" t="s">
        <v>5222</v>
      </c>
      <c r="I2664" t="s">
        <v>896</v>
      </c>
      <c r="J2664" s="1">
        <v>45292</v>
      </c>
      <c r="K2664">
        <v>-3258955</v>
      </c>
    </row>
    <row r="2665" spans="5:11" x14ac:dyDescent="0.25">
      <c r="E2665" t="s">
        <v>5223</v>
      </c>
      <c r="F2665">
        <v>1467858</v>
      </c>
      <c r="G2665" s="1">
        <v>45382</v>
      </c>
      <c r="H2665" t="s">
        <v>5224</v>
      </c>
      <c r="I2665" t="s">
        <v>329</v>
      </c>
      <c r="J2665" s="1">
        <v>45292</v>
      </c>
      <c r="K2665">
        <v>2980000000</v>
      </c>
    </row>
    <row r="2666" spans="5:11" x14ac:dyDescent="0.25">
      <c r="E2666" t="s">
        <v>5225</v>
      </c>
      <c r="F2666">
        <v>1468174</v>
      </c>
      <c r="G2666" s="1">
        <v>45382</v>
      </c>
      <c r="H2666" t="s">
        <v>5226</v>
      </c>
      <c r="I2666" t="s">
        <v>19</v>
      </c>
      <c r="J2666" s="1">
        <v>45292</v>
      </c>
      <c r="K2666">
        <v>522000000</v>
      </c>
    </row>
    <row r="2667" spans="5:11" x14ac:dyDescent="0.25">
      <c r="E2667" t="s">
        <v>5227</v>
      </c>
      <c r="F2667">
        <v>1468327</v>
      </c>
      <c r="G2667" s="1">
        <v>45412</v>
      </c>
      <c r="H2667" t="s">
        <v>5228</v>
      </c>
      <c r="I2667" t="s">
        <v>57</v>
      </c>
      <c r="J2667" s="1">
        <v>45323</v>
      </c>
      <c r="K2667">
        <v>-22000000</v>
      </c>
    </row>
    <row r="2668" spans="5:11" x14ac:dyDescent="0.25">
      <c r="E2668" t="s">
        <v>5229</v>
      </c>
      <c r="F2668">
        <v>1468328</v>
      </c>
      <c r="G2668" s="1">
        <v>45382</v>
      </c>
      <c r="H2668" t="s">
        <v>5230</v>
      </c>
      <c r="I2668" t="s">
        <v>30</v>
      </c>
      <c r="J2668" s="1">
        <v>45292</v>
      </c>
      <c r="K2668">
        <v>15830000</v>
      </c>
    </row>
    <row r="2669" spans="5:11" x14ac:dyDescent="0.25">
      <c r="E2669" t="s">
        <v>5231</v>
      </c>
      <c r="F2669">
        <v>1468666</v>
      </c>
      <c r="G2669" s="1">
        <v>45415</v>
      </c>
      <c r="H2669" t="s">
        <v>5232</v>
      </c>
      <c r="I2669" t="s">
        <v>64</v>
      </c>
      <c r="J2669" s="1">
        <v>45325</v>
      </c>
      <c r="K2669">
        <v>-36076000</v>
      </c>
    </row>
    <row r="2670" spans="5:11" x14ac:dyDescent="0.25">
      <c r="E2670" t="s">
        <v>5233</v>
      </c>
      <c r="F2670">
        <v>1468748</v>
      </c>
      <c r="G2670" s="1">
        <v>45382</v>
      </c>
      <c r="H2670" t="s">
        <v>5234</v>
      </c>
      <c r="I2670" t="s">
        <v>36</v>
      </c>
      <c r="J2670" s="1">
        <v>45292</v>
      </c>
      <c r="K2670">
        <v>-43039000</v>
      </c>
    </row>
    <row r="2671" spans="5:11" x14ac:dyDescent="0.25">
      <c r="E2671" t="s">
        <v>5235</v>
      </c>
      <c r="F2671">
        <v>1468929</v>
      </c>
      <c r="G2671" s="1">
        <v>45382</v>
      </c>
      <c r="H2671" t="s">
        <v>5236</v>
      </c>
      <c r="I2671" t="s">
        <v>39</v>
      </c>
      <c r="J2671" s="1">
        <v>45292</v>
      </c>
      <c r="K2671">
        <v>-853000</v>
      </c>
    </row>
    <row r="2672" spans="5:11" x14ac:dyDescent="0.25">
      <c r="E2672" t="s">
        <v>5237</v>
      </c>
      <c r="F2672">
        <v>1469115</v>
      </c>
      <c r="G2672" s="1">
        <v>45382</v>
      </c>
      <c r="H2672" t="s">
        <v>5238</v>
      </c>
      <c r="I2672" t="s">
        <v>64</v>
      </c>
      <c r="J2672" s="1">
        <v>45292</v>
      </c>
      <c r="K2672">
        <v>-18140</v>
      </c>
    </row>
    <row r="2673" spans="5:11" x14ac:dyDescent="0.25">
      <c r="E2673" t="s">
        <v>5239</v>
      </c>
      <c r="F2673">
        <v>1469367</v>
      </c>
      <c r="G2673" s="1">
        <v>45382</v>
      </c>
      <c r="H2673" t="s">
        <v>5240</v>
      </c>
      <c r="I2673" t="s">
        <v>36</v>
      </c>
      <c r="J2673" s="1">
        <v>45292</v>
      </c>
      <c r="K2673">
        <v>-87818000</v>
      </c>
    </row>
    <row r="2674" spans="5:11" x14ac:dyDescent="0.25">
      <c r="E2674" t="s">
        <v>5241</v>
      </c>
      <c r="F2674">
        <v>1469443</v>
      </c>
      <c r="G2674" s="1">
        <v>45382</v>
      </c>
      <c r="H2674" t="s">
        <v>5242</v>
      </c>
      <c r="I2674" t="s">
        <v>30</v>
      </c>
      <c r="J2674" s="1">
        <v>45292</v>
      </c>
      <c r="K2674">
        <v>-2423000</v>
      </c>
    </row>
    <row r="2675" spans="5:11" x14ac:dyDescent="0.25">
      <c r="E2675" t="s">
        <v>5243</v>
      </c>
      <c r="F2675">
        <v>1471265</v>
      </c>
      <c r="G2675" s="1">
        <v>45382</v>
      </c>
      <c r="H2675" t="s">
        <v>5244</v>
      </c>
      <c r="I2675" t="s">
        <v>60</v>
      </c>
      <c r="J2675" s="1">
        <v>45292</v>
      </c>
      <c r="K2675">
        <v>29163000</v>
      </c>
    </row>
    <row r="2676" spans="5:11" x14ac:dyDescent="0.25">
      <c r="E2676" t="s">
        <v>5245</v>
      </c>
      <c r="F2676">
        <v>1471727</v>
      </c>
      <c r="G2676" s="1">
        <v>45382</v>
      </c>
      <c r="H2676" t="s">
        <v>5246</v>
      </c>
      <c r="I2676" t="s">
        <v>33</v>
      </c>
      <c r="J2676" s="1">
        <v>45292</v>
      </c>
      <c r="K2676">
        <v>-2830000</v>
      </c>
    </row>
    <row r="2677" spans="5:11" x14ac:dyDescent="0.25">
      <c r="E2677" t="s">
        <v>5247</v>
      </c>
      <c r="F2677">
        <v>1471781</v>
      </c>
      <c r="G2677" s="1">
        <v>45382</v>
      </c>
      <c r="H2677" t="s">
        <v>5248</v>
      </c>
      <c r="I2677" t="s">
        <v>36</v>
      </c>
      <c r="J2677" s="1">
        <v>45292</v>
      </c>
      <c r="K2677">
        <v>7161989</v>
      </c>
    </row>
    <row r="2678" spans="5:11" x14ac:dyDescent="0.25">
      <c r="E2678" t="s">
        <v>5249</v>
      </c>
      <c r="F2678">
        <v>1471824</v>
      </c>
      <c r="G2678" s="1">
        <v>45382</v>
      </c>
      <c r="H2678" t="s">
        <v>5250</v>
      </c>
      <c r="I2678" t="s">
        <v>992</v>
      </c>
      <c r="J2678" s="1">
        <v>45292</v>
      </c>
      <c r="K2678">
        <v>-23502498</v>
      </c>
    </row>
    <row r="2679" spans="5:11" x14ac:dyDescent="0.25">
      <c r="E2679" t="s">
        <v>5251</v>
      </c>
      <c r="F2679">
        <v>1472012</v>
      </c>
      <c r="G2679" s="1">
        <v>45382</v>
      </c>
      <c r="H2679" t="s">
        <v>5252</v>
      </c>
      <c r="I2679" t="s">
        <v>504</v>
      </c>
      <c r="J2679" s="1">
        <v>45292</v>
      </c>
      <c r="K2679">
        <v>-129492000</v>
      </c>
    </row>
    <row r="2680" spans="5:11" x14ac:dyDescent="0.25">
      <c r="E2680" t="s">
        <v>5253</v>
      </c>
      <c r="F2680">
        <v>1472091</v>
      </c>
      <c r="G2680" s="1">
        <v>45382</v>
      </c>
      <c r="H2680" t="s">
        <v>5254</v>
      </c>
      <c r="I2680" t="s">
        <v>46</v>
      </c>
      <c r="J2680" s="1">
        <v>45292</v>
      </c>
      <c r="K2680">
        <v>-10603477</v>
      </c>
    </row>
    <row r="2681" spans="5:11" x14ac:dyDescent="0.25">
      <c r="E2681" t="s">
        <v>5255</v>
      </c>
      <c r="F2681">
        <v>1472494</v>
      </c>
      <c r="G2681" s="1">
        <v>45382</v>
      </c>
      <c r="H2681" t="s">
        <v>5256</v>
      </c>
      <c r="I2681" t="s">
        <v>36</v>
      </c>
      <c r="J2681" s="1">
        <v>45292</v>
      </c>
      <c r="K2681">
        <v>20216876</v>
      </c>
    </row>
    <row r="2682" spans="5:11" x14ac:dyDescent="0.25">
      <c r="E2682" t="s">
        <v>5257</v>
      </c>
      <c r="F2682">
        <v>1472787</v>
      </c>
      <c r="G2682" s="1">
        <v>45382</v>
      </c>
      <c r="H2682" t="s">
        <v>5258</v>
      </c>
      <c r="I2682" t="s">
        <v>36</v>
      </c>
      <c r="J2682" s="1">
        <v>45292</v>
      </c>
      <c r="K2682">
        <v>46700000</v>
      </c>
    </row>
    <row r="2683" spans="5:11" x14ac:dyDescent="0.25">
      <c r="E2683" t="s">
        <v>5259</v>
      </c>
      <c r="F2683">
        <v>1473334</v>
      </c>
      <c r="G2683" s="1">
        <v>45382</v>
      </c>
      <c r="H2683" t="s">
        <v>5260</v>
      </c>
      <c r="I2683" t="s">
        <v>36</v>
      </c>
      <c r="J2683" s="1">
        <v>45292</v>
      </c>
      <c r="K2683">
        <v>-1462756</v>
      </c>
    </row>
    <row r="2684" spans="5:11" x14ac:dyDescent="0.25">
      <c r="E2684" t="s">
        <v>5261</v>
      </c>
      <c r="F2684">
        <v>1473490</v>
      </c>
      <c r="G2684" s="1">
        <v>45382</v>
      </c>
      <c r="H2684" t="s">
        <v>5262</v>
      </c>
      <c r="I2684" t="s">
        <v>33</v>
      </c>
      <c r="J2684" s="1">
        <v>45292</v>
      </c>
      <c r="K2684">
        <v>-346210</v>
      </c>
    </row>
    <row r="2685" spans="5:11" x14ac:dyDescent="0.25">
      <c r="E2685" t="s">
        <v>5263</v>
      </c>
      <c r="F2685">
        <v>1473844</v>
      </c>
      <c r="G2685" s="1">
        <v>45382</v>
      </c>
      <c r="H2685" t="s">
        <v>5264</v>
      </c>
      <c r="I2685" t="s">
        <v>30</v>
      </c>
      <c r="J2685" s="1">
        <v>45292</v>
      </c>
      <c r="K2685">
        <v>26147000</v>
      </c>
    </row>
    <row r="2686" spans="5:11" x14ac:dyDescent="0.25">
      <c r="E2686" t="s">
        <v>5265</v>
      </c>
      <c r="F2686">
        <v>1474098</v>
      </c>
      <c r="G2686" s="1">
        <v>45382</v>
      </c>
      <c r="H2686" t="s">
        <v>5266</v>
      </c>
      <c r="I2686" t="s">
        <v>299</v>
      </c>
      <c r="J2686" s="1">
        <v>45292</v>
      </c>
      <c r="K2686">
        <v>-28350000</v>
      </c>
    </row>
    <row r="2687" spans="5:11" x14ac:dyDescent="0.25">
      <c r="E2687" t="s">
        <v>5267</v>
      </c>
      <c r="F2687">
        <v>1474167</v>
      </c>
      <c r="G2687" s="1">
        <v>45382</v>
      </c>
      <c r="H2687" t="s">
        <v>5268</v>
      </c>
      <c r="I2687" t="s">
        <v>5269</v>
      </c>
      <c r="J2687" s="1">
        <v>45292</v>
      </c>
      <c r="K2687">
        <v>-1866690</v>
      </c>
    </row>
    <row r="2688" spans="5:11" x14ac:dyDescent="0.25">
      <c r="E2688" t="s">
        <v>5270</v>
      </c>
      <c r="F2688">
        <v>1474432</v>
      </c>
      <c r="G2688" s="1">
        <v>45417</v>
      </c>
      <c r="H2688" t="s">
        <v>5271</v>
      </c>
      <c r="I2688" t="s">
        <v>36</v>
      </c>
      <c r="J2688" s="1">
        <v>45327</v>
      </c>
      <c r="K2688">
        <v>-35009000</v>
      </c>
    </row>
    <row r="2689" spans="5:11" x14ac:dyDescent="0.25">
      <c r="E2689" t="s">
        <v>5272</v>
      </c>
      <c r="F2689">
        <v>1474558</v>
      </c>
      <c r="G2689" s="1">
        <v>45351</v>
      </c>
      <c r="H2689" t="s">
        <v>5273</v>
      </c>
      <c r="I2689" t="s">
        <v>33</v>
      </c>
      <c r="J2689" s="1">
        <v>45261</v>
      </c>
      <c r="K2689">
        <v>-6533</v>
      </c>
    </row>
    <row r="2690" spans="5:11" x14ac:dyDescent="0.25">
      <c r="E2690" t="s">
        <v>5274</v>
      </c>
      <c r="F2690">
        <v>1474735</v>
      </c>
      <c r="G2690" s="1">
        <v>45382</v>
      </c>
      <c r="H2690" t="s">
        <v>5275</v>
      </c>
      <c r="I2690" t="s">
        <v>83</v>
      </c>
      <c r="J2690" s="1">
        <v>45292</v>
      </c>
      <c r="K2690">
        <v>26232000</v>
      </c>
    </row>
    <row r="2691" spans="5:11" x14ac:dyDescent="0.25">
      <c r="E2691" t="s">
        <v>5276</v>
      </c>
      <c r="F2691">
        <v>1474903</v>
      </c>
      <c r="G2691" s="1">
        <v>45382</v>
      </c>
      <c r="H2691" t="s">
        <v>5277</v>
      </c>
      <c r="I2691" t="s">
        <v>30</v>
      </c>
      <c r="J2691" s="1">
        <v>45292</v>
      </c>
      <c r="K2691">
        <v>-792</v>
      </c>
    </row>
    <row r="2692" spans="5:11" x14ac:dyDescent="0.25">
      <c r="E2692" t="s">
        <v>5278</v>
      </c>
      <c r="F2692">
        <v>1475115</v>
      </c>
      <c r="G2692" s="1">
        <v>45382</v>
      </c>
      <c r="H2692" t="s">
        <v>5279</v>
      </c>
      <c r="I2692" t="s">
        <v>36</v>
      </c>
      <c r="J2692" s="1">
        <v>45292</v>
      </c>
      <c r="K2692">
        <v>-4490000</v>
      </c>
    </row>
    <row r="2693" spans="5:11" x14ac:dyDescent="0.25">
      <c r="E2693" t="s">
        <v>5280</v>
      </c>
      <c r="F2693">
        <v>1475841</v>
      </c>
      <c r="G2693" s="1">
        <v>45382</v>
      </c>
      <c r="H2693" t="s">
        <v>5281</v>
      </c>
      <c r="I2693" t="s">
        <v>92</v>
      </c>
      <c r="J2693" s="1">
        <v>45292</v>
      </c>
      <c r="K2693">
        <v>31391000</v>
      </c>
    </row>
    <row r="2694" spans="5:11" x14ac:dyDescent="0.25">
      <c r="E2694" t="s">
        <v>5282</v>
      </c>
      <c r="F2694">
        <v>1475922</v>
      </c>
      <c r="G2694" s="1">
        <v>45382</v>
      </c>
      <c r="H2694" t="s">
        <v>5283</v>
      </c>
      <c r="I2694" t="s">
        <v>64</v>
      </c>
      <c r="J2694" s="1">
        <v>45292</v>
      </c>
      <c r="K2694">
        <v>137904000</v>
      </c>
    </row>
    <row r="2695" spans="5:11" x14ac:dyDescent="0.25">
      <c r="E2695" t="s">
        <v>5284</v>
      </c>
      <c r="F2695">
        <v>1476034</v>
      </c>
      <c r="G2695" s="1">
        <v>45382</v>
      </c>
      <c r="H2695" t="s">
        <v>5285</v>
      </c>
      <c r="I2695" t="s">
        <v>57</v>
      </c>
      <c r="J2695" s="1">
        <v>45292</v>
      </c>
      <c r="K2695">
        <v>16203000</v>
      </c>
    </row>
    <row r="2696" spans="5:11" x14ac:dyDescent="0.25">
      <c r="E2696" t="s">
        <v>5286</v>
      </c>
      <c r="F2696">
        <v>1476045</v>
      </c>
      <c r="G2696" s="1">
        <v>45382</v>
      </c>
      <c r="H2696" t="s">
        <v>5287</v>
      </c>
      <c r="I2696" t="s">
        <v>33</v>
      </c>
      <c r="J2696" s="1">
        <v>45292</v>
      </c>
      <c r="K2696">
        <v>-5225000</v>
      </c>
    </row>
    <row r="2697" spans="5:11" x14ac:dyDescent="0.25">
      <c r="E2697" t="s">
        <v>5288</v>
      </c>
      <c r="F2697">
        <v>1476150</v>
      </c>
      <c r="G2697" s="1">
        <v>45382</v>
      </c>
      <c r="H2697" t="s">
        <v>5289</v>
      </c>
      <c r="I2697" t="s">
        <v>504</v>
      </c>
      <c r="J2697" s="1">
        <v>45292</v>
      </c>
      <c r="K2697">
        <v>36059000</v>
      </c>
    </row>
    <row r="2698" spans="5:11" x14ac:dyDescent="0.25">
      <c r="E2698" t="s">
        <v>5290</v>
      </c>
      <c r="F2698">
        <v>1476204</v>
      </c>
      <c r="G2698" s="1">
        <v>45382</v>
      </c>
      <c r="H2698" t="s">
        <v>5291</v>
      </c>
      <c r="I2698" t="s">
        <v>60</v>
      </c>
      <c r="J2698" s="1">
        <v>45292</v>
      </c>
      <c r="K2698">
        <v>17670000</v>
      </c>
    </row>
    <row r="2699" spans="5:11" x14ac:dyDescent="0.25">
      <c r="E2699" t="s">
        <v>5292</v>
      </c>
      <c r="F2699">
        <v>1476765</v>
      </c>
      <c r="G2699" s="1">
        <v>45382</v>
      </c>
      <c r="H2699" t="s">
        <v>5293</v>
      </c>
      <c r="I2699" t="s">
        <v>57</v>
      </c>
      <c r="J2699" s="1">
        <v>45292</v>
      </c>
      <c r="K2699">
        <v>93558000</v>
      </c>
    </row>
    <row r="2700" spans="5:11" x14ac:dyDescent="0.25">
      <c r="E2700" t="s">
        <v>5294</v>
      </c>
      <c r="F2700">
        <v>1476840</v>
      </c>
      <c r="G2700" s="1">
        <v>45382</v>
      </c>
      <c r="H2700" t="s">
        <v>5295</v>
      </c>
      <c r="I2700" t="s">
        <v>963</v>
      </c>
      <c r="J2700" s="1">
        <v>45292</v>
      </c>
      <c r="K2700">
        <v>-3781000</v>
      </c>
    </row>
    <row r="2701" spans="5:11" x14ac:dyDescent="0.25">
      <c r="E2701" t="s">
        <v>5296</v>
      </c>
      <c r="F2701">
        <v>1476963</v>
      </c>
      <c r="G2701" s="1">
        <v>45382</v>
      </c>
      <c r="H2701" t="s">
        <v>5297</v>
      </c>
      <c r="I2701" t="s">
        <v>172</v>
      </c>
      <c r="J2701" s="1">
        <v>45292</v>
      </c>
      <c r="K2701">
        <v>-4417549</v>
      </c>
    </row>
    <row r="2702" spans="5:11" x14ac:dyDescent="0.25">
      <c r="E2702" t="s">
        <v>5298</v>
      </c>
      <c r="F2702">
        <v>1477009</v>
      </c>
      <c r="G2702" s="1">
        <v>45382</v>
      </c>
      <c r="H2702" t="s">
        <v>5299</v>
      </c>
      <c r="I2702" t="s">
        <v>92</v>
      </c>
      <c r="J2702" s="1">
        <v>45292</v>
      </c>
      <c r="K2702">
        <v>-1389762</v>
      </c>
    </row>
    <row r="2703" spans="5:11" x14ac:dyDescent="0.25">
      <c r="E2703" t="s">
        <v>5300</v>
      </c>
      <c r="F2703">
        <v>1477246</v>
      </c>
      <c r="G2703" s="1">
        <v>45382</v>
      </c>
      <c r="H2703" t="s">
        <v>5301</v>
      </c>
      <c r="I2703" t="s">
        <v>92</v>
      </c>
      <c r="J2703" s="1">
        <v>45292</v>
      </c>
      <c r="K2703">
        <v>-5500537</v>
      </c>
    </row>
    <row r="2704" spans="5:11" x14ac:dyDescent="0.25">
      <c r="E2704" t="s">
        <v>5302</v>
      </c>
      <c r="F2704">
        <v>1477294</v>
      </c>
      <c r="G2704" s="1">
        <v>45382</v>
      </c>
      <c r="H2704" t="s">
        <v>5303</v>
      </c>
      <c r="I2704" t="s">
        <v>24</v>
      </c>
      <c r="J2704" s="1">
        <v>45292</v>
      </c>
      <c r="K2704">
        <v>76021000</v>
      </c>
    </row>
    <row r="2705" spans="5:11" x14ac:dyDescent="0.25">
      <c r="E2705" t="s">
        <v>5304</v>
      </c>
      <c r="F2705">
        <v>1477333</v>
      </c>
      <c r="G2705" s="1">
        <v>45382</v>
      </c>
      <c r="H2705" t="s">
        <v>5305</v>
      </c>
      <c r="I2705" t="s">
        <v>36</v>
      </c>
      <c r="J2705" s="1">
        <v>45292</v>
      </c>
      <c r="K2705">
        <v>-35543000</v>
      </c>
    </row>
    <row r="2706" spans="5:11" x14ac:dyDescent="0.25">
      <c r="E2706" t="s">
        <v>5306</v>
      </c>
      <c r="F2706">
        <v>1477449</v>
      </c>
      <c r="G2706" s="1">
        <v>45382</v>
      </c>
      <c r="H2706" t="s">
        <v>5307</v>
      </c>
      <c r="I2706" t="s">
        <v>57</v>
      </c>
      <c r="J2706" s="1">
        <v>45292</v>
      </c>
      <c r="K2706">
        <v>-81889000</v>
      </c>
    </row>
    <row r="2707" spans="5:11" x14ac:dyDescent="0.25">
      <c r="E2707" t="s">
        <v>5308</v>
      </c>
      <c r="F2707">
        <v>1477720</v>
      </c>
      <c r="G2707" s="1">
        <v>45412</v>
      </c>
      <c r="H2707" t="s">
        <v>5309</v>
      </c>
      <c r="I2707" t="s">
        <v>36</v>
      </c>
      <c r="J2707" s="1">
        <v>45323</v>
      </c>
      <c r="K2707">
        <v>-63722000</v>
      </c>
    </row>
    <row r="2708" spans="5:11" x14ac:dyDescent="0.25">
      <c r="E2708" t="s">
        <v>5310</v>
      </c>
      <c r="F2708">
        <v>1477815</v>
      </c>
      <c r="G2708" s="1">
        <v>45382</v>
      </c>
      <c r="H2708" t="s">
        <v>5311</v>
      </c>
      <c r="I2708" t="s">
        <v>36</v>
      </c>
      <c r="J2708" s="1">
        <v>45292</v>
      </c>
      <c r="K2708">
        <v>-26067000</v>
      </c>
    </row>
    <row r="2709" spans="5:11" x14ac:dyDescent="0.25">
      <c r="E2709" t="s">
        <v>5312</v>
      </c>
      <c r="F2709">
        <v>1477845</v>
      </c>
      <c r="G2709" s="1">
        <v>45382</v>
      </c>
      <c r="H2709" t="s">
        <v>5313</v>
      </c>
      <c r="I2709" t="s">
        <v>39</v>
      </c>
      <c r="J2709" s="1">
        <v>45292</v>
      </c>
      <c r="K2709">
        <v>-1066947</v>
      </c>
    </row>
    <row r="2710" spans="5:11" x14ac:dyDescent="0.25">
      <c r="E2710" t="s">
        <v>5314</v>
      </c>
      <c r="F2710">
        <v>1477960</v>
      </c>
      <c r="G2710" s="1">
        <v>45382</v>
      </c>
      <c r="H2710" t="s">
        <v>5315</v>
      </c>
      <c r="I2710" t="s">
        <v>5316</v>
      </c>
      <c r="J2710" s="1">
        <v>45292</v>
      </c>
      <c r="K2710">
        <v>-774220</v>
      </c>
    </row>
    <row r="2711" spans="5:11" x14ac:dyDescent="0.25">
      <c r="E2711" t="s">
        <v>5317</v>
      </c>
      <c r="F2711">
        <v>1478242</v>
      </c>
      <c r="G2711" s="1">
        <v>45382</v>
      </c>
      <c r="H2711" t="s">
        <v>5318</v>
      </c>
      <c r="I2711" t="s">
        <v>172</v>
      </c>
      <c r="J2711" s="1">
        <v>45292</v>
      </c>
      <c r="K2711">
        <v>288000000</v>
      </c>
    </row>
    <row r="2712" spans="5:11" x14ac:dyDescent="0.25">
      <c r="E2712" t="s">
        <v>5319</v>
      </c>
      <c r="F2712">
        <v>1478320</v>
      </c>
      <c r="G2712" s="1">
        <v>45382</v>
      </c>
      <c r="H2712" t="s">
        <v>5320</v>
      </c>
      <c r="I2712" t="s">
        <v>504</v>
      </c>
      <c r="J2712" s="1">
        <v>45292</v>
      </c>
      <c r="K2712">
        <v>-47507000</v>
      </c>
    </row>
    <row r="2713" spans="5:11" x14ac:dyDescent="0.25">
      <c r="E2713" t="s">
        <v>5321</v>
      </c>
      <c r="F2713">
        <v>1478454</v>
      </c>
      <c r="G2713" s="1">
        <v>45382</v>
      </c>
      <c r="H2713" t="s">
        <v>5322</v>
      </c>
      <c r="I2713" t="s">
        <v>772</v>
      </c>
      <c r="J2713" s="1">
        <v>45292</v>
      </c>
      <c r="K2713">
        <v>1898000</v>
      </c>
    </row>
    <row r="2714" spans="5:11" x14ac:dyDescent="0.25">
      <c r="E2714" t="s">
        <v>5323</v>
      </c>
      <c r="F2714">
        <v>1479094</v>
      </c>
      <c r="G2714" s="1">
        <v>45382</v>
      </c>
      <c r="H2714" t="s">
        <v>5324</v>
      </c>
      <c r="I2714" t="s">
        <v>24</v>
      </c>
      <c r="J2714" s="1">
        <v>45292</v>
      </c>
      <c r="K2714">
        <v>36627000</v>
      </c>
    </row>
    <row r="2715" spans="5:11" x14ac:dyDescent="0.25">
      <c r="E2715" t="s">
        <v>5325</v>
      </c>
      <c r="F2715">
        <v>1479290</v>
      </c>
      <c r="G2715" s="1">
        <v>45382</v>
      </c>
      <c r="H2715" t="s">
        <v>5326</v>
      </c>
      <c r="I2715" t="s">
        <v>69</v>
      </c>
      <c r="J2715" s="1">
        <v>45292</v>
      </c>
      <c r="K2715">
        <v>-53152000</v>
      </c>
    </row>
    <row r="2716" spans="5:11" x14ac:dyDescent="0.25">
      <c r="E2716" t="s">
        <v>5327</v>
      </c>
      <c r="F2716">
        <v>1479419</v>
      </c>
      <c r="G2716" s="1">
        <v>45382</v>
      </c>
      <c r="H2716" t="s">
        <v>5328</v>
      </c>
      <c r="I2716" t="s">
        <v>24</v>
      </c>
      <c r="J2716" s="1">
        <v>45292</v>
      </c>
      <c r="K2716">
        <v>-11807000</v>
      </c>
    </row>
    <row r="2717" spans="5:11" x14ac:dyDescent="0.25">
      <c r="E2717" t="s">
        <v>5329</v>
      </c>
      <c r="F2717">
        <v>1479681</v>
      </c>
      <c r="G2717" s="1">
        <v>45382</v>
      </c>
      <c r="H2717" t="s">
        <v>5330</v>
      </c>
      <c r="I2717" t="s">
        <v>30</v>
      </c>
      <c r="J2717" s="1">
        <v>45292</v>
      </c>
      <c r="K2717">
        <v>-364075</v>
      </c>
    </row>
    <row r="2718" spans="5:11" x14ac:dyDescent="0.25">
      <c r="E2718" t="s">
        <v>5331</v>
      </c>
      <c r="F2718">
        <v>1479915</v>
      </c>
      <c r="G2718" s="1">
        <v>45382</v>
      </c>
      <c r="H2718" t="s">
        <v>5332</v>
      </c>
      <c r="I2718" t="s">
        <v>213</v>
      </c>
      <c r="J2718" s="1">
        <v>45292</v>
      </c>
      <c r="K2718">
        <v>-994633</v>
      </c>
    </row>
    <row r="2719" spans="5:11" x14ac:dyDescent="0.25">
      <c r="E2719" t="s">
        <v>5333</v>
      </c>
      <c r="F2719">
        <v>1481028</v>
      </c>
      <c r="G2719" s="1">
        <v>45382</v>
      </c>
      <c r="H2719" t="s">
        <v>5334</v>
      </c>
      <c r="I2719" t="s">
        <v>95</v>
      </c>
      <c r="J2719" s="1">
        <v>45292</v>
      </c>
      <c r="K2719">
        <v>-4022164</v>
      </c>
    </row>
    <row r="2720" spans="5:11" x14ac:dyDescent="0.25">
      <c r="E2720" t="s">
        <v>5335</v>
      </c>
      <c r="F2720">
        <v>1481443</v>
      </c>
      <c r="G2720" s="1">
        <v>45382</v>
      </c>
      <c r="H2720" t="s">
        <v>5336</v>
      </c>
      <c r="I2720" t="s">
        <v>5316</v>
      </c>
      <c r="J2720" s="1">
        <v>45292</v>
      </c>
      <c r="K2720">
        <v>-12121</v>
      </c>
    </row>
    <row r="2721" spans="5:11" x14ac:dyDescent="0.25">
      <c r="E2721" t="s">
        <v>5337</v>
      </c>
      <c r="F2721">
        <v>1481504</v>
      </c>
      <c r="G2721" s="1">
        <v>45382</v>
      </c>
      <c r="H2721" t="s">
        <v>5338</v>
      </c>
      <c r="I2721" t="s">
        <v>33</v>
      </c>
      <c r="J2721" s="1">
        <v>45292</v>
      </c>
      <c r="K2721">
        <v>-384096</v>
      </c>
    </row>
    <row r="2722" spans="5:11" x14ac:dyDescent="0.25">
      <c r="E2722" t="s">
        <v>5339</v>
      </c>
      <c r="F2722">
        <v>1481582</v>
      </c>
      <c r="G2722" s="1">
        <v>45382</v>
      </c>
      <c r="H2722" t="s">
        <v>5340</v>
      </c>
      <c r="I2722" t="s">
        <v>19</v>
      </c>
      <c r="J2722" s="1">
        <v>45292</v>
      </c>
      <c r="K2722">
        <v>-7600000</v>
      </c>
    </row>
    <row r="2723" spans="5:11" x14ac:dyDescent="0.25">
      <c r="E2723" t="s">
        <v>10487</v>
      </c>
      <c r="F2723">
        <v>1481792</v>
      </c>
      <c r="G2723" s="1">
        <v>45382</v>
      </c>
      <c r="H2723" t="s">
        <v>5341</v>
      </c>
      <c r="I2723" t="s">
        <v>83</v>
      </c>
      <c r="J2723" s="1">
        <v>45292</v>
      </c>
      <c r="K2723">
        <v>-28100000</v>
      </c>
    </row>
    <row r="2724" spans="5:11" x14ac:dyDescent="0.25">
      <c r="E2724" t="s">
        <v>5342</v>
      </c>
      <c r="F2724">
        <v>1482430</v>
      </c>
      <c r="G2724" s="1">
        <v>45382</v>
      </c>
      <c r="H2724" t="s">
        <v>5343</v>
      </c>
      <c r="I2724" t="s">
        <v>36</v>
      </c>
      <c r="J2724" s="1">
        <v>45292</v>
      </c>
      <c r="K2724">
        <v>37574000</v>
      </c>
    </row>
    <row r="2725" spans="5:11" x14ac:dyDescent="0.25">
      <c r="E2725" t="s">
        <v>5344</v>
      </c>
      <c r="F2725">
        <v>1482541</v>
      </c>
      <c r="G2725" s="1">
        <v>45382</v>
      </c>
      <c r="H2725" t="s">
        <v>5345</v>
      </c>
      <c r="I2725" t="s">
        <v>92</v>
      </c>
      <c r="J2725" s="1">
        <v>45292</v>
      </c>
      <c r="K2725">
        <v>-916603</v>
      </c>
    </row>
    <row r="2726" spans="5:11" x14ac:dyDescent="0.25">
      <c r="E2726" t="s">
        <v>5346</v>
      </c>
      <c r="F2726">
        <v>1482554</v>
      </c>
      <c r="G2726" s="1">
        <v>45412</v>
      </c>
      <c r="H2726" t="s">
        <v>5347</v>
      </c>
      <c r="I2726" t="s">
        <v>36</v>
      </c>
      <c r="J2726" s="1">
        <v>45323</v>
      </c>
      <c r="K2726">
        <v>53780</v>
      </c>
    </row>
    <row r="2727" spans="5:11" x14ac:dyDescent="0.25">
      <c r="E2727" t="s">
        <v>5348</v>
      </c>
      <c r="F2727">
        <v>1482981</v>
      </c>
      <c r="G2727" s="1">
        <v>45382</v>
      </c>
      <c r="H2727" t="s">
        <v>5349</v>
      </c>
      <c r="I2727" t="s">
        <v>57</v>
      </c>
      <c r="J2727" s="1">
        <v>45292</v>
      </c>
      <c r="K2727">
        <v>14238000</v>
      </c>
    </row>
    <row r="2728" spans="5:11" x14ac:dyDescent="0.25">
      <c r="E2728" t="s">
        <v>5350</v>
      </c>
      <c r="F2728">
        <v>1483386</v>
      </c>
      <c r="G2728" s="1">
        <v>45382</v>
      </c>
      <c r="H2728" t="s">
        <v>5351</v>
      </c>
      <c r="I2728" t="s">
        <v>39</v>
      </c>
      <c r="J2728" s="1">
        <v>45292</v>
      </c>
      <c r="K2728">
        <v>31556000</v>
      </c>
    </row>
    <row r="2729" spans="5:11" x14ac:dyDescent="0.25">
      <c r="E2729" t="s">
        <v>5352</v>
      </c>
      <c r="F2729">
        <v>1484565</v>
      </c>
      <c r="G2729" s="1">
        <v>45382</v>
      </c>
      <c r="H2729" t="s">
        <v>5353</v>
      </c>
      <c r="I2729" t="s">
        <v>36</v>
      </c>
      <c r="J2729" s="1">
        <v>45292</v>
      </c>
      <c r="K2729">
        <v>-21398000</v>
      </c>
    </row>
    <row r="2730" spans="5:11" x14ac:dyDescent="0.25">
      <c r="E2730" t="s">
        <v>5354</v>
      </c>
      <c r="F2730">
        <v>1484612</v>
      </c>
      <c r="G2730" s="1">
        <v>45382</v>
      </c>
      <c r="H2730" t="s">
        <v>5355</v>
      </c>
      <c r="I2730" t="s">
        <v>36</v>
      </c>
      <c r="J2730" s="1">
        <v>45292</v>
      </c>
      <c r="K2730">
        <v>-39944000</v>
      </c>
    </row>
    <row r="2731" spans="5:11" x14ac:dyDescent="0.25">
      <c r="E2731" t="s">
        <v>5356</v>
      </c>
      <c r="F2731">
        <v>1484769</v>
      </c>
      <c r="G2731" s="1">
        <v>45382</v>
      </c>
      <c r="H2731" t="s">
        <v>5357</v>
      </c>
      <c r="I2731" t="s">
        <v>57</v>
      </c>
      <c r="J2731" s="1">
        <v>45292</v>
      </c>
      <c r="K2731">
        <v>-56010000</v>
      </c>
    </row>
    <row r="2732" spans="5:11" x14ac:dyDescent="0.25">
      <c r="E2732" t="s">
        <v>5358</v>
      </c>
      <c r="F2732">
        <v>1484778</v>
      </c>
      <c r="G2732" s="1">
        <v>45382</v>
      </c>
      <c r="H2732" t="s">
        <v>5359</v>
      </c>
      <c r="I2732" t="s">
        <v>36</v>
      </c>
      <c r="J2732" s="1">
        <v>45292</v>
      </c>
      <c r="K2732">
        <v>-16554000</v>
      </c>
    </row>
    <row r="2733" spans="5:11" x14ac:dyDescent="0.25">
      <c r="E2733" t="s">
        <v>5360</v>
      </c>
      <c r="F2733">
        <v>1485003</v>
      </c>
      <c r="G2733" s="1">
        <v>45382</v>
      </c>
      <c r="H2733" t="s">
        <v>5361</v>
      </c>
      <c r="I2733" t="s">
        <v>39</v>
      </c>
      <c r="J2733" s="1">
        <v>45292</v>
      </c>
      <c r="K2733">
        <v>-18978000</v>
      </c>
    </row>
    <row r="2734" spans="5:11" x14ac:dyDescent="0.25">
      <c r="E2734" t="s">
        <v>5362</v>
      </c>
      <c r="F2734">
        <v>1485029</v>
      </c>
      <c r="G2734" s="1">
        <v>45382</v>
      </c>
      <c r="H2734" t="s">
        <v>5363</v>
      </c>
      <c r="I2734" t="s">
        <v>30</v>
      </c>
      <c r="J2734" s="1">
        <v>45292</v>
      </c>
      <c r="K2734">
        <v>-40136</v>
      </c>
    </row>
    <row r="2735" spans="5:11" x14ac:dyDescent="0.25">
      <c r="E2735" t="s">
        <v>5364</v>
      </c>
      <c r="F2735">
        <v>1485074</v>
      </c>
      <c r="G2735" s="1">
        <v>45382</v>
      </c>
      <c r="H2735" t="s">
        <v>5365</v>
      </c>
      <c r="I2735" t="s">
        <v>36</v>
      </c>
      <c r="J2735" s="1">
        <v>45292</v>
      </c>
      <c r="K2735">
        <v>-218098</v>
      </c>
    </row>
    <row r="2736" spans="5:11" x14ac:dyDescent="0.25">
      <c r="E2736" t="s">
        <v>5366</v>
      </c>
      <c r="F2736">
        <v>1486159</v>
      </c>
      <c r="G2736" s="1">
        <v>45382</v>
      </c>
      <c r="H2736" t="s">
        <v>5367</v>
      </c>
      <c r="I2736" t="s">
        <v>30</v>
      </c>
      <c r="J2736" s="1">
        <v>45292</v>
      </c>
      <c r="K2736">
        <v>199353000</v>
      </c>
    </row>
    <row r="2737" spans="5:11" x14ac:dyDescent="0.25">
      <c r="E2737" t="s">
        <v>5368</v>
      </c>
      <c r="F2737">
        <v>1486957</v>
      </c>
      <c r="G2737" s="1">
        <v>45382</v>
      </c>
      <c r="H2737" t="s">
        <v>5369</v>
      </c>
      <c r="I2737" t="s">
        <v>123</v>
      </c>
      <c r="J2737" s="1">
        <v>45292</v>
      </c>
      <c r="K2737">
        <v>68468000</v>
      </c>
    </row>
    <row r="2738" spans="5:11" x14ac:dyDescent="0.25">
      <c r="E2738" t="s">
        <v>5370</v>
      </c>
      <c r="F2738">
        <v>1487091</v>
      </c>
      <c r="G2738" s="1">
        <v>45382</v>
      </c>
      <c r="H2738" t="s">
        <v>5371</v>
      </c>
      <c r="I2738" t="s">
        <v>2552</v>
      </c>
      <c r="J2738" s="1">
        <v>45292</v>
      </c>
      <c r="K2738">
        <v>-332310</v>
      </c>
    </row>
    <row r="2739" spans="5:11" x14ac:dyDescent="0.25">
      <c r="E2739" t="s">
        <v>5372</v>
      </c>
      <c r="F2739">
        <v>1487197</v>
      </c>
      <c r="G2739" s="1">
        <v>45382</v>
      </c>
      <c r="H2739" t="s">
        <v>5373</v>
      </c>
      <c r="I2739" t="s">
        <v>36</v>
      </c>
      <c r="J2739" s="1">
        <v>45292</v>
      </c>
      <c r="K2739">
        <v>-449000</v>
      </c>
    </row>
    <row r="2740" spans="5:11" x14ac:dyDescent="0.25">
      <c r="E2740" t="s">
        <v>5374</v>
      </c>
      <c r="F2740">
        <v>1487428</v>
      </c>
      <c r="G2740" s="1">
        <v>45382</v>
      </c>
      <c r="H2740" t="s">
        <v>5375</v>
      </c>
      <c r="I2740" t="s">
        <v>27</v>
      </c>
      <c r="J2740" s="1">
        <v>45292</v>
      </c>
      <c r="K2740">
        <v>8653000</v>
      </c>
    </row>
    <row r="2741" spans="5:11" x14ac:dyDescent="0.25">
      <c r="E2741" t="s">
        <v>5376</v>
      </c>
      <c r="F2741">
        <v>1487712</v>
      </c>
      <c r="G2741" s="1">
        <v>45382</v>
      </c>
      <c r="H2741" t="s">
        <v>5377</v>
      </c>
      <c r="I2741" t="s">
        <v>36</v>
      </c>
      <c r="J2741" s="1">
        <v>45292</v>
      </c>
      <c r="K2741">
        <v>107866000</v>
      </c>
    </row>
    <row r="2742" spans="5:11" x14ac:dyDescent="0.25">
      <c r="E2742" t="s">
        <v>5378</v>
      </c>
      <c r="F2742">
        <v>1487718</v>
      </c>
      <c r="G2742" s="1">
        <v>45382</v>
      </c>
      <c r="H2742" t="s">
        <v>5379</v>
      </c>
      <c r="I2742" t="s">
        <v>27</v>
      </c>
      <c r="J2742" s="1">
        <v>45292</v>
      </c>
      <c r="K2742">
        <v>-863883</v>
      </c>
    </row>
    <row r="2743" spans="5:11" x14ac:dyDescent="0.25">
      <c r="E2743" t="s">
        <v>5380</v>
      </c>
      <c r="F2743">
        <v>1487918</v>
      </c>
      <c r="G2743" s="1">
        <v>45382</v>
      </c>
      <c r="H2743" t="s">
        <v>5381</v>
      </c>
      <c r="I2743" t="s">
        <v>19</v>
      </c>
      <c r="J2743" s="1">
        <v>45292</v>
      </c>
      <c r="K2743">
        <v>-9049000</v>
      </c>
    </row>
    <row r="2744" spans="5:11" x14ac:dyDescent="0.25">
      <c r="E2744" t="s">
        <v>5382</v>
      </c>
      <c r="F2744">
        <v>1487952</v>
      </c>
      <c r="G2744" s="1">
        <v>45381</v>
      </c>
      <c r="H2744" t="s">
        <v>5383</v>
      </c>
      <c r="I2744" t="s">
        <v>39</v>
      </c>
      <c r="J2744" s="1">
        <v>45292</v>
      </c>
      <c r="K2744">
        <v>5891000</v>
      </c>
    </row>
    <row r="2745" spans="5:11" x14ac:dyDescent="0.25">
      <c r="E2745" t="s">
        <v>5384</v>
      </c>
      <c r="F2745">
        <v>1488039</v>
      </c>
      <c r="G2745" s="1">
        <v>45382</v>
      </c>
      <c r="H2745" t="s">
        <v>5385</v>
      </c>
      <c r="I2745" t="s">
        <v>504</v>
      </c>
      <c r="J2745" s="1">
        <v>45292</v>
      </c>
      <c r="K2745">
        <v>-5878000</v>
      </c>
    </row>
    <row r="2746" spans="5:11" x14ac:dyDescent="0.25">
      <c r="E2746" t="s">
        <v>5386</v>
      </c>
      <c r="F2746">
        <v>1488139</v>
      </c>
      <c r="G2746" s="1">
        <v>45382</v>
      </c>
      <c r="H2746" t="s">
        <v>5387</v>
      </c>
      <c r="I2746" t="s">
        <v>24</v>
      </c>
      <c r="J2746" s="1">
        <v>45292</v>
      </c>
      <c r="K2746">
        <v>-2937000</v>
      </c>
    </row>
    <row r="2747" spans="5:11" x14ac:dyDescent="0.25">
      <c r="E2747" t="s">
        <v>5388</v>
      </c>
      <c r="F2747">
        <v>1488813</v>
      </c>
      <c r="G2747" s="1">
        <v>45382</v>
      </c>
      <c r="H2747" t="s">
        <v>5389</v>
      </c>
      <c r="I2747" t="s">
        <v>39</v>
      </c>
      <c r="J2747" s="1">
        <v>45292</v>
      </c>
      <c r="K2747">
        <v>49726000</v>
      </c>
    </row>
    <row r="2748" spans="5:11" x14ac:dyDescent="0.25">
      <c r="E2748" t="s">
        <v>5390</v>
      </c>
      <c r="F2748">
        <v>1488917</v>
      </c>
      <c r="G2748" s="1">
        <v>45382</v>
      </c>
      <c r="H2748" t="s">
        <v>5391</v>
      </c>
      <c r="I2748" t="s">
        <v>213</v>
      </c>
      <c r="J2748" s="1">
        <v>45292</v>
      </c>
      <c r="K2748">
        <v>1493000</v>
      </c>
    </row>
    <row r="2749" spans="5:11" x14ac:dyDescent="0.25">
      <c r="E2749" t="s">
        <v>5392</v>
      </c>
      <c r="F2749">
        <v>1489300</v>
      </c>
      <c r="G2749" s="1">
        <v>45382</v>
      </c>
      <c r="H2749" t="s">
        <v>5393</v>
      </c>
      <c r="I2749" t="s">
        <v>2273</v>
      </c>
      <c r="J2749" s="1">
        <v>45292</v>
      </c>
      <c r="K2749">
        <v>-4516</v>
      </c>
    </row>
    <row r="2750" spans="5:11" x14ac:dyDescent="0.25">
      <c r="E2750" t="s">
        <v>5394</v>
      </c>
      <c r="F2750">
        <v>1489874</v>
      </c>
      <c r="G2750" s="1">
        <v>45382</v>
      </c>
      <c r="H2750" t="s">
        <v>5395</v>
      </c>
      <c r="I2750" t="s">
        <v>518</v>
      </c>
      <c r="J2750" s="1">
        <v>45292</v>
      </c>
      <c r="K2750">
        <v>1496000</v>
      </c>
    </row>
    <row r="2751" spans="5:11" x14ac:dyDescent="0.25">
      <c r="E2751" t="s">
        <v>5396</v>
      </c>
      <c r="F2751">
        <v>1490161</v>
      </c>
      <c r="G2751" s="1">
        <v>45382</v>
      </c>
      <c r="H2751" t="s">
        <v>5397</v>
      </c>
      <c r="I2751" t="s">
        <v>30</v>
      </c>
      <c r="J2751" s="1">
        <v>45292</v>
      </c>
      <c r="K2751">
        <v>510588</v>
      </c>
    </row>
    <row r="2752" spans="5:11" x14ac:dyDescent="0.25">
      <c r="E2752" t="s">
        <v>5398</v>
      </c>
      <c r="F2752">
        <v>1490281</v>
      </c>
      <c r="G2752" s="1">
        <v>45382</v>
      </c>
      <c r="H2752" t="s">
        <v>5399</v>
      </c>
      <c r="I2752" t="s">
        <v>19</v>
      </c>
      <c r="J2752" s="1">
        <v>45292</v>
      </c>
      <c r="K2752">
        <v>-12271000</v>
      </c>
    </row>
    <row r="2753" spans="5:11" x14ac:dyDescent="0.25">
      <c r="E2753" t="s">
        <v>10488</v>
      </c>
      <c r="F2753">
        <v>1490873</v>
      </c>
      <c r="G2753" s="1">
        <v>45412</v>
      </c>
      <c r="H2753" t="s">
        <v>10489</v>
      </c>
      <c r="I2753" t="s">
        <v>36</v>
      </c>
      <c r="J2753" s="1">
        <v>45323</v>
      </c>
      <c r="K2753">
        <v>-294613</v>
      </c>
    </row>
    <row r="2754" spans="5:11" x14ac:dyDescent="0.25">
      <c r="E2754" t="s">
        <v>5400</v>
      </c>
      <c r="F2754">
        <v>1490906</v>
      </c>
      <c r="G2754" s="1">
        <v>45382</v>
      </c>
      <c r="H2754" t="s">
        <v>5401</v>
      </c>
      <c r="I2754" t="s">
        <v>106</v>
      </c>
      <c r="J2754" s="1">
        <v>45292</v>
      </c>
      <c r="K2754">
        <v>13762000</v>
      </c>
    </row>
    <row r="2755" spans="5:11" x14ac:dyDescent="0.25">
      <c r="E2755" t="s">
        <v>5402</v>
      </c>
      <c r="F2755">
        <v>1490978</v>
      </c>
      <c r="G2755" s="1">
        <v>45382</v>
      </c>
      <c r="H2755" t="s">
        <v>5403</v>
      </c>
      <c r="I2755" t="s">
        <v>57</v>
      </c>
      <c r="J2755" s="1">
        <v>45292</v>
      </c>
      <c r="K2755">
        <v>-54724000</v>
      </c>
    </row>
    <row r="2756" spans="5:11" x14ac:dyDescent="0.25">
      <c r="E2756" t="s">
        <v>5404</v>
      </c>
      <c r="F2756">
        <v>1491829</v>
      </c>
      <c r="G2756" s="1">
        <v>45382</v>
      </c>
      <c r="H2756" t="s">
        <v>5405</v>
      </c>
      <c r="I2756" t="s">
        <v>36</v>
      </c>
      <c r="J2756" s="1">
        <v>45292</v>
      </c>
      <c r="K2756">
        <v>-78681</v>
      </c>
    </row>
    <row r="2757" spans="5:11" x14ac:dyDescent="0.25">
      <c r="E2757" t="s">
        <v>5406</v>
      </c>
      <c r="F2757">
        <v>1492298</v>
      </c>
      <c r="G2757" s="1">
        <v>45382</v>
      </c>
      <c r="H2757" t="s">
        <v>5407</v>
      </c>
      <c r="I2757" t="s">
        <v>36</v>
      </c>
      <c r="J2757" s="1">
        <v>45292</v>
      </c>
      <c r="K2757">
        <v>26254000</v>
      </c>
    </row>
    <row r="2758" spans="5:11" x14ac:dyDescent="0.25">
      <c r="E2758" t="s">
        <v>5408</v>
      </c>
      <c r="F2758">
        <v>1492422</v>
      </c>
      <c r="G2758" s="1">
        <v>45382</v>
      </c>
      <c r="H2758" t="s">
        <v>5409</v>
      </c>
      <c r="I2758" t="s">
        <v>24</v>
      </c>
      <c r="J2758" s="1">
        <v>45292</v>
      </c>
      <c r="K2758">
        <v>-66423000</v>
      </c>
    </row>
    <row r="2759" spans="5:11" x14ac:dyDescent="0.25">
      <c r="E2759" t="s">
        <v>10490</v>
      </c>
      <c r="F2759">
        <v>1492617</v>
      </c>
      <c r="G2759" s="1">
        <v>45382</v>
      </c>
      <c r="H2759" t="s">
        <v>5410</v>
      </c>
      <c r="I2759" t="s">
        <v>142</v>
      </c>
      <c r="J2759" s="1">
        <v>45292</v>
      </c>
      <c r="K2759">
        <v>-68333</v>
      </c>
    </row>
    <row r="2760" spans="5:11" x14ac:dyDescent="0.25">
      <c r="E2760" t="s">
        <v>5411</v>
      </c>
      <c r="F2760">
        <v>1492674</v>
      </c>
      <c r="G2760" s="1">
        <v>45382</v>
      </c>
      <c r="H2760" t="s">
        <v>5412</v>
      </c>
      <c r="I2760" t="s">
        <v>24</v>
      </c>
      <c r="J2760" s="1">
        <v>45292</v>
      </c>
      <c r="K2760">
        <v>-13534000</v>
      </c>
    </row>
    <row r="2761" spans="5:11" x14ac:dyDescent="0.25">
      <c r="E2761" t="s">
        <v>5413</v>
      </c>
      <c r="F2761">
        <v>1492691</v>
      </c>
      <c r="G2761" s="1">
        <v>45382</v>
      </c>
      <c r="H2761" t="s">
        <v>5414</v>
      </c>
      <c r="I2761" t="s">
        <v>113</v>
      </c>
      <c r="J2761" s="1">
        <v>45292</v>
      </c>
      <c r="K2761">
        <v>-2635000</v>
      </c>
    </row>
    <row r="2762" spans="5:11" x14ac:dyDescent="0.25">
      <c r="E2762" t="s">
        <v>5415</v>
      </c>
      <c r="F2762">
        <v>1493137</v>
      </c>
      <c r="G2762" s="1">
        <v>45382</v>
      </c>
      <c r="H2762" t="s">
        <v>5416</v>
      </c>
      <c r="I2762" t="s">
        <v>92</v>
      </c>
      <c r="J2762" s="1">
        <v>45292</v>
      </c>
      <c r="K2762">
        <v>-283806</v>
      </c>
    </row>
    <row r="2763" spans="5:11" x14ac:dyDescent="0.25">
      <c r="E2763" t="s">
        <v>5417</v>
      </c>
      <c r="F2763">
        <v>1493225</v>
      </c>
      <c r="G2763" s="1">
        <v>45382</v>
      </c>
      <c r="H2763" t="s">
        <v>5418</v>
      </c>
      <c r="I2763" t="s">
        <v>46</v>
      </c>
      <c r="J2763" s="1">
        <v>45292</v>
      </c>
      <c r="K2763">
        <v>6214000</v>
      </c>
    </row>
    <row r="2764" spans="5:11" x14ac:dyDescent="0.25">
      <c r="E2764" t="s">
        <v>5419</v>
      </c>
      <c r="F2764">
        <v>1493594</v>
      </c>
      <c r="G2764" s="1">
        <v>45380</v>
      </c>
      <c r="H2764" t="s">
        <v>5420</v>
      </c>
      <c r="I2764" t="s">
        <v>24</v>
      </c>
      <c r="J2764" s="1">
        <v>45290</v>
      </c>
      <c r="K2764">
        <v>14980000</v>
      </c>
    </row>
    <row r="2765" spans="5:11" x14ac:dyDescent="0.25">
      <c r="E2765" t="s">
        <v>5421</v>
      </c>
      <c r="F2765">
        <v>1493761</v>
      </c>
      <c r="G2765" s="1">
        <v>45382</v>
      </c>
      <c r="H2765" t="s">
        <v>5422</v>
      </c>
      <c r="I2765" t="s">
        <v>57</v>
      </c>
      <c r="J2765" s="1">
        <v>45292</v>
      </c>
      <c r="K2765">
        <v>155000</v>
      </c>
    </row>
    <row r="2766" spans="5:11" x14ac:dyDescent="0.25">
      <c r="E2766" t="s">
        <v>5423</v>
      </c>
      <c r="F2766">
        <v>1494259</v>
      </c>
      <c r="G2766" s="1">
        <v>45382</v>
      </c>
      <c r="H2766" t="s">
        <v>5424</v>
      </c>
      <c r="I2766" t="s">
        <v>24</v>
      </c>
      <c r="J2766" s="1">
        <v>45292</v>
      </c>
      <c r="K2766">
        <v>21301000</v>
      </c>
    </row>
    <row r="2767" spans="5:11" x14ac:dyDescent="0.25">
      <c r="E2767" t="s">
        <v>5425</v>
      </c>
      <c r="F2767">
        <v>1494413</v>
      </c>
      <c r="G2767" s="1">
        <v>45382</v>
      </c>
      <c r="H2767" t="s">
        <v>5426</v>
      </c>
      <c r="I2767" t="s">
        <v>912</v>
      </c>
      <c r="J2767" s="1">
        <v>45292</v>
      </c>
      <c r="K2767">
        <v>-782146</v>
      </c>
    </row>
    <row r="2768" spans="5:11" x14ac:dyDescent="0.25">
      <c r="E2768" t="s">
        <v>5427</v>
      </c>
      <c r="F2768">
        <v>1494582</v>
      </c>
      <c r="G2768" s="1">
        <v>45382</v>
      </c>
      <c r="H2768" t="s">
        <v>5428</v>
      </c>
      <c r="I2768" t="s">
        <v>763</v>
      </c>
      <c r="J2768" s="1">
        <v>45292</v>
      </c>
      <c r="K2768">
        <v>-2808081</v>
      </c>
    </row>
    <row r="2769" spans="5:11" x14ac:dyDescent="0.25">
      <c r="E2769" t="s">
        <v>5429</v>
      </c>
      <c r="F2769">
        <v>1494650</v>
      </c>
      <c r="G2769" s="1">
        <v>45382</v>
      </c>
      <c r="H2769" t="s">
        <v>5430</v>
      </c>
      <c r="I2769" t="s">
        <v>39</v>
      </c>
      <c r="J2769" s="1">
        <v>45292</v>
      </c>
      <c r="K2769">
        <v>-14067000</v>
      </c>
    </row>
    <row r="2770" spans="5:11" x14ac:dyDescent="0.25">
      <c r="E2770" t="s">
        <v>5431</v>
      </c>
      <c r="F2770">
        <v>1494891</v>
      </c>
      <c r="G2770" s="1">
        <v>45382</v>
      </c>
      <c r="H2770" t="s">
        <v>5432</v>
      </c>
      <c r="I2770" t="s">
        <v>33</v>
      </c>
      <c r="J2770" s="1">
        <v>45292</v>
      </c>
      <c r="K2770">
        <v>2274000</v>
      </c>
    </row>
    <row r="2771" spans="5:11" x14ac:dyDescent="0.25">
      <c r="E2771" t="s">
        <v>5433</v>
      </c>
      <c r="F2771">
        <v>1494904</v>
      </c>
      <c r="G2771" s="1">
        <v>45382</v>
      </c>
      <c r="H2771" t="s">
        <v>5434</v>
      </c>
      <c r="I2771" t="s">
        <v>186</v>
      </c>
      <c r="J2771" s="1">
        <v>45292</v>
      </c>
      <c r="K2771">
        <v>11366000</v>
      </c>
    </row>
    <row r="2772" spans="5:11" x14ac:dyDescent="0.25">
      <c r="E2772" t="s">
        <v>5435</v>
      </c>
      <c r="F2772">
        <v>1495231</v>
      </c>
      <c r="G2772" s="1">
        <v>45382</v>
      </c>
      <c r="H2772" t="s">
        <v>5436</v>
      </c>
      <c r="I2772" t="s">
        <v>33</v>
      </c>
      <c r="J2772" s="1">
        <v>45292</v>
      </c>
      <c r="K2772">
        <v>-3265850</v>
      </c>
    </row>
    <row r="2773" spans="5:11" x14ac:dyDescent="0.25">
      <c r="E2773" t="s">
        <v>5437</v>
      </c>
      <c r="F2773">
        <v>1495240</v>
      </c>
      <c r="G2773" s="1">
        <v>45382</v>
      </c>
      <c r="H2773" t="s">
        <v>5438</v>
      </c>
      <c r="I2773" t="s">
        <v>123</v>
      </c>
      <c r="J2773" s="1">
        <v>45292</v>
      </c>
      <c r="K2773">
        <v>13567000</v>
      </c>
    </row>
    <row r="2774" spans="5:11" x14ac:dyDescent="0.25">
      <c r="E2774" t="s">
        <v>5439</v>
      </c>
      <c r="F2774">
        <v>1495320</v>
      </c>
      <c r="G2774" s="1">
        <v>45416</v>
      </c>
      <c r="H2774" t="s">
        <v>5440</v>
      </c>
      <c r="I2774" t="s">
        <v>288</v>
      </c>
      <c r="J2774" s="1">
        <v>45326</v>
      </c>
      <c r="K2774">
        <v>-8121000</v>
      </c>
    </row>
    <row r="2775" spans="5:11" x14ac:dyDescent="0.25">
      <c r="E2775" t="s">
        <v>5441</v>
      </c>
      <c r="F2775">
        <v>1495584</v>
      </c>
      <c r="G2775" s="1">
        <v>45382</v>
      </c>
      <c r="H2775" t="s">
        <v>5442</v>
      </c>
      <c r="I2775" t="s">
        <v>36</v>
      </c>
      <c r="J2775" s="1">
        <v>45292</v>
      </c>
      <c r="K2775">
        <v>-1092451</v>
      </c>
    </row>
    <row r="2776" spans="5:11" x14ac:dyDescent="0.25">
      <c r="E2776" t="s">
        <v>5443</v>
      </c>
      <c r="F2776">
        <v>1496099</v>
      </c>
      <c r="G2776" s="1">
        <v>45382</v>
      </c>
      <c r="H2776" t="s">
        <v>5444</v>
      </c>
      <c r="I2776" t="s">
        <v>57</v>
      </c>
      <c r="J2776" s="1">
        <v>45292</v>
      </c>
      <c r="K2776">
        <v>27408000</v>
      </c>
    </row>
    <row r="2777" spans="5:11" x14ac:dyDescent="0.25">
      <c r="E2777" t="s">
        <v>5445</v>
      </c>
      <c r="F2777">
        <v>1496323</v>
      </c>
      <c r="G2777" s="1">
        <v>45382</v>
      </c>
      <c r="H2777" t="s">
        <v>5446</v>
      </c>
      <c r="I2777" t="s">
        <v>36</v>
      </c>
      <c r="J2777" s="1">
        <v>45292</v>
      </c>
      <c r="K2777">
        <v>-49816000</v>
      </c>
    </row>
    <row r="2778" spans="5:11" x14ac:dyDescent="0.25">
      <c r="E2778" t="s">
        <v>5447</v>
      </c>
      <c r="F2778">
        <v>1496443</v>
      </c>
      <c r="G2778" s="1">
        <v>45382</v>
      </c>
      <c r="H2778" t="s">
        <v>5448</v>
      </c>
      <c r="I2778" t="s">
        <v>142</v>
      </c>
      <c r="J2778" s="1">
        <v>45292</v>
      </c>
      <c r="K2778">
        <v>309096</v>
      </c>
    </row>
    <row r="2779" spans="5:11" x14ac:dyDescent="0.25">
      <c r="E2779" t="s">
        <v>5449</v>
      </c>
      <c r="F2779">
        <v>1496454</v>
      </c>
      <c r="G2779" s="1">
        <v>45382</v>
      </c>
      <c r="H2779" t="s">
        <v>5450</v>
      </c>
      <c r="I2779" t="s">
        <v>33</v>
      </c>
      <c r="J2779" s="1">
        <v>45292</v>
      </c>
      <c r="K2779">
        <v>-5035000</v>
      </c>
    </row>
    <row r="2780" spans="5:11" x14ac:dyDescent="0.25">
      <c r="E2780" t="s">
        <v>5451</v>
      </c>
      <c r="F2780">
        <v>1496963</v>
      </c>
      <c r="G2780" s="1">
        <v>45382</v>
      </c>
      <c r="H2780" t="s">
        <v>5452</v>
      </c>
      <c r="I2780" t="s">
        <v>57</v>
      </c>
      <c r="J2780" s="1">
        <v>45292</v>
      </c>
      <c r="K2780">
        <v>144000</v>
      </c>
    </row>
    <row r="2781" spans="5:11" x14ac:dyDescent="0.25">
      <c r="E2781" t="s">
        <v>5453</v>
      </c>
      <c r="F2781">
        <v>1497230</v>
      </c>
      <c r="G2781" s="1">
        <v>45382</v>
      </c>
      <c r="H2781" t="s">
        <v>5454</v>
      </c>
      <c r="I2781" t="s">
        <v>33</v>
      </c>
      <c r="J2781" s="1">
        <v>45292</v>
      </c>
      <c r="K2781">
        <v>155813</v>
      </c>
    </row>
    <row r="2782" spans="5:11" x14ac:dyDescent="0.25">
      <c r="E2782" t="s">
        <v>5455</v>
      </c>
      <c r="F2782">
        <v>1497649</v>
      </c>
      <c r="G2782" s="1">
        <v>45382</v>
      </c>
      <c r="H2782" t="s">
        <v>5456</v>
      </c>
      <c r="I2782" t="s">
        <v>113</v>
      </c>
      <c r="J2782" s="1">
        <v>45292</v>
      </c>
      <c r="K2782">
        <v>-376326</v>
      </c>
    </row>
    <row r="2783" spans="5:11" x14ac:dyDescent="0.25">
      <c r="E2783" t="s">
        <v>5457</v>
      </c>
      <c r="F2783">
        <v>1497770</v>
      </c>
      <c r="G2783" s="1">
        <v>45382</v>
      </c>
      <c r="H2783" t="s">
        <v>5458</v>
      </c>
      <c r="I2783" t="s">
        <v>299</v>
      </c>
      <c r="J2783" s="1">
        <v>45292</v>
      </c>
      <c r="K2783">
        <v>11866000</v>
      </c>
    </row>
    <row r="2784" spans="5:11" x14ac:dyDescent="0.25">
      <c r="E2784" t="s">
        <v>5459</v>
      </c>
      <c r="F2784">
        <v>1498233</v>
      </c>
      <c r="G2784" s="1">
        <v>45382</v>
      </c>
      <c r="H2784" t="s">
        <v>5460</v>
      </c>
      <c r="I2784" t="s">
        <v>36</v>
      </c>
      <c r="J2784" s="1">
        <v>45292</v>
      </c>
      <c r="K2784">
        <v>-6833000</v>
      </c>
    </row>
    <row r="2785" spans="5:11" x14ac:dyDescent="0.25">
      <c r="E2785" t="s">
        <v>5461</v>
      </c>
      <c r="F2785">
        <v>1498372</v>
      </c>
      <c r="G2785" s="1">
        <v>45382</v>
      </c>
      <c r="H2785" t="s">
        <v>5462</v>
      </c>
      <c r="I2785" t="s">
        <v>142</v>
      </c>
      <c r="J2785" s="1">
        <v>45292</v>
      </c>
      <c r="K2785">
        <v>-47466</v>
      </c>
    </row>
    <row r="2786" spans="5:11" x14ac:dyDescent="0.25">
      <c r="E2786" t="s">
        <v>5463</v>
      </c>
      <c r="F2786">
        <v>1498382</v>
      </c>
      <c r="G2786" s="1">
        <v>45382</v>
      </c>
      <c r="H2786" t="s">
        <v>5464</v>
      </c>
      <c r="I2786" t="s">
        <v>36</v>
      </c>
      <c r="J2786" s="1">
        <v>45292</v>
      </c>
      <c r="K2786">
        <v>-2011000</v>
      </c>
    </row>
    <row r="2787" spans="5:11" x14ac:dyDescent="0.25">
      <c r="E2787" t="s">
        <v>5465</v>
      </c>
      <c r="F2787">
        <v>1498547</v>
      </c>
      <c r="G2787" s="1">
        <v>45382</v>
      </c>
      <c r="H2787" t="s">
        <v>5466</v>
      </c>
      <c r="I2787" t="s">
        <v>113</v>
      </c>
      <c r="J2787" s="1">
        <v>45292</v>
      </c>
      <c r="K2787">
        <v>-38542000</v>
      </c>
    </row>
    <row r="2788" spans="5:11" x14ac:dyDescent="0.25">
      <c r="E2788" t="s">
        <v>5467</v>
      </c>
      <c r="F2788">
        <v>1498710</v>
      </c>
      <c r="G2788" s="1">
        <v>45382</v>
      </c>
      <c r="H2788" t="s">
        <v>5468</v>
      </c>
      <c r="I2788" t="s">
        <v>33</v>
      </c>
      <c r="J2788" s="1">
        <v>45292</v>
      </c>
      <c r="K2788">
        <v>-142635000</v>
      </c>
    </row>
    <row r="2789" spans="5:11" x14ac:dyDescent="0.25">
      <c r="E2789" t="s">
        <v>10491</v>
      </c>
      <c r="F2789">
        <v>1499200</v>
      </c>
      <c r="G2789" s="1">
        <v>45382</v>
      </c>
      <c r="H2789" t="s">
        <v>5469</v>
      </c>
      <c r="I2789" t="s">
        <v>30</v>
      </c>
      <c r="J2789" s="1">
        <v>45292</v>
      </c>
      <c r="K2789">
        <v>665000000</v>
      </c>
    </row>
    <row r="2790" spans="5:11" x14ac:dyDescent="0.25">
      <c r="E2790" t="s">
        <v>5470</v>
      </c>
      <c r="F2790">
        <v>1499717</v>
      </c>
      <c r="G2790" s="1">
        <v>45381</v>
      </c>
      <c r="H2790" t="s">
        <v>5471</v>
      </c>
      <c r="I2790" t="s">
        <v>57</v>
      </c>
      <c r="J2790" s="1">
        <v>45291</v>
      </c>
      <c r="K2790">
        <v>-2556000</v>
      </c>
    </row>
    <row r="2791" spans="5:11" x14ac:dyDescent="0.25">
      <c r="E2791" t="s">
        <v>5472</v>
      </c>
      <c r="F2791">
        <v>1499832</v>
      </c>
      <c r="G2791" s="1">
        <v>45382</v>
      </c>
      <c r="H2791" t="s">
        <v>5473</v>
      </c>
      <c r="I2791" t="s">
        <v>57</v>
      </c>
      <c r="J2791" s="1">
        <v>45292</v>
      </c>
      <c r="K2791">
        <v>1136000</v>
      </c>
    </row>
    <row r="2792" spans="5:11" x14ac:dyDescent="0.25">
      <c r="E2792" t="s">
        <v>5474</v>
      </c>
      <c r="F2792">
        <v>1499961</v>
      </c>
      <c r="G2792" s="1">
        <v>45382</v>
      </c>
      <c r="H2792" t="s">
        <v>5475</v>
      </c>
      <c r="I2792" t="s">
        <v>36</v>
      </c>
      <c r="J2792" s="1">
        <v>45292</v>
      </c>
      <c r="K2792">
        <v>-132431960</v>
      </c>
    </row>
    <row r="2793" spans="5:11" x14ac:dyDescent="0.25">
      <c r="E2793" t="s">
        <v>5476</v>
      </c>
      <c r="F2793">
        <v>1500198</v>
      </c>
      <c r="G2793" s="1">
        <v>45382</v>
      </c>
      <c r="H2793" t="s">
        <v>5477</v>
      </c>
      <c r="I2793" t="s">
        <v>213</v>
      </c>
      <c r="J2793" s="1">
        <v>45292</v>
      </c>
      <c r="K2793">
        <v>-2855090</v>
      </c>
    </row>
    <row r="2794" spans="5:11" x14ac:dyDescent="0.25">
      <c r="E2794" t="s">
        <v>5478</v>
      </c>
      <c r="F2794">
        <v>1500305</v>
      </c>
      <c r="G2794" s="1">
        <v>45382</v>
      </c>
      <c r="H2794" t="s">
        <v>5479</v>
      </c>
      <c r="I2794" t="s">
        <v>4063</v>
      </c>
      <c r="J2794" s="1">
        <v>45292</v>
      </c>
      <c r="K2794">
        <v>-872608</v>
      </c>
    </row>
    <row r="2795" spans="5:11" x14ac:dyDescent="0.25">
      <c r="E2795" t="s">
        <v>5480</v>
      </c>
      <c r="F2795">
        <v>1500375</v>
      </c>
      <c r="G2795" s="1">
        <v>45382</v>
      </c>
      <c r="H2795" t="s">
        <v>5481</v>
      </c>
      <c r="I2795" t="s">
        <v>179</v>
      </c>
      <c r="J2795" s="1">
        <v>45292</v>
      </c>
      <c r="K2795">
        <v>732000</v>
      </c>
    </row>
    <row r="2796" spans="5:11" x14ac:dyDescent="0.25">
      <c r="E2796" t="s">
        <v>5482</v>
      </c>
      <c r="F2796">
        <v>1500435</v>
      </c>
      <c r="G2796" s="1">
        <v>45382</v>
      </c>
      <c r="H2796" t="s">
        <v>5483</v>
      </c>
      <c r="I2796" t="s">
        <v>36</v>
      </c>
      <c r="J2796" s="1">
        <v>45292</v>
      </c>
      <c r="K2796">
        <v>-339088000</v>
      </c>
    </row>
    <row r="2797" spans="5:11" x14ac:dyDescent="0.25">
      <c r="E2797" t="s">
        <v>5484</v>
      </c>
      <c r="F2797">
        <v>1501570</v>
      </c>
      <c r="G2797" s="1">
        <v>45382</v>
      </c>
      <c r="H2797" t="s">
        <v>5485</v>
      </c>
      <c r="I2797" t="s">
        <v>30</v>
      </c>
      <c r="J2797" s="1">
        <v>45292</v>
      </c>
      <c r="K2797">
        <v>24156000</v>
      </c>
    </row>
    <row r="2798" spans="5:11" x14ac:dyDescent="0.25">
      <c r="E2798" t="s">
        <v>5486</v>
      </c>
      <c r="F2798">
        <v>1501585</v>
      </c>
      <c r="G2798" s="1">
        <v>45382</v>
      </c>
      <c r="H2798" t="s">
        <v>5487</v>
      </c>
      <c r="I2798" t="s">
        <v>123</v>
      </c>
      <c r="J2798" s="1">
        <v>45292</v>
      </c>
      <c r="K2798">
        <v>153000000</v>
      </c>
    </row>
    <row r="2799" spans="5:11" x14ac:dyDescent="0.25">
      <c r="E2799" t="s">
        <v>5488</v>
      </c>
      <c r="F2799">
        <v>1501697</v>
      </c>
      <c r="G2799" s="1">
        <v>45382</v>
      </c>
      <c r="H2799" t="s">
        <v>5489</v>
      </c>
      <c r="I2799" t="s">
        <v>24</v>
      </c>
      <c r="J2799" s="1">
        <v>45292</v>
      </c>
      <c r="K2799">
        <v>-51766000</v>
      </c>
    </row>
    <row r="2800" spans="5:11" x14ac:dyDescent="0.25">
      <c r="E2800" t="s">
        <v>5490</v>
      </c>
      <c r="F2800">
        <v>1501729</v>
      </c>
      <c r="G2800" s="1">
        <v>45382</v>
      </c>
      <c r="H2800" t="s">
        <v>5491</v>
      </c>
      <c r="I2800" t="s">
        <v>39</v>
      </c>
      <c r="J2800" s="1">
        <v>45292</v>
      </c>
      <c r="K2800">
        <v>18111000</v>
      </c>
    </row>
    <row r="2801" spans="5:11" x14ac:dyDescent="0.25">
      <c r="E2801" t="s">
        <v>5492</v>
      </c>
      <c r="F2801">
        <v>1501756</v>
      </c>
      <c r="G2801" s="1">
        <v>45382</v>
      </c>
      <c r="H2801" t="s">
        <v>5493</v>
      </c>
      <c r="I2801" t="s">
        <v>36</v>
      </c>
      <c r="J2801" s="1">
        <v>45292</v>
      </c>
      <c r="K2801">
        <v>-24787000</v>
      </c>
    </row>
    <row r="2802" spans="5:11" x14ac:dyDescent="0.25">
      <c r="E2802" t="s">
        <v>5494</v>
      </c>
      <c r="F2802">
        <v>1501796</v>
      </c>
      <c r="G2802" s="1">
        <v>45382</v>
      </c>
      <c r="H2802" t="s">
        <v>5495</v>
      </c>
      <c r="I2802" t="s">
        <v>24</v>
      </c>
      <c r="J2802" s="1">
        <v>45292</v>
      </c>
      <c r="K2802">
        <v>-19706000</v>
      </c>
    </row>
    <row r="2803" spans="5:11" x14ac:dyDescent="0.25">
      <c r="E2803" t="s">
        <v>5496</v>
      </c>
      <c r="F2803">
        <v>1501989</v>
      </c>
      <c r="G2803" s="1">
        <v>45382</v>
      </c>
      <c r="H2803" t="s">
        <v>5497</v>
      </c>
      <c r="I2803" t="s">
        <v>36</v>
      </c>
      <c r="J2803" s="1">
        <v>45292</v>
      </c>
      <c r="K2803">
        <v>13791000</v>
      </c>
    </row>
    <row r="2804" spans="5:11" x14ac:dyDescent="0.25">
      <c r="E2804" t="s">
        <v>5498</v>
      </c>
      <c r="F2804">
        <v>1502152</v>
      </c>
      <c r="G2804" s="1">
        <v>45382</v>
      </c>
      <c r="H2804" t="s">
        <v>5499</v>
      </c>
      <c r="I2804" t="s">
        <v>57</v>
      </c>
      <c r="J2804" s="1">
        <v>45292</v>
      </c>
      <c r="K2804">
        <v>-174962</v>
      </c>
    </row>
    <row r="2805" spans="5:11" x14ac:dyDescent="0.25">
      <c r="E2805" t="s">
        <v>5500</v>
      </c>
      <c r="F2805">
        <v>1502292</v>
      </c>
      <c r="G2805" s="1">
        <v>45382</v>
      </c>
      <c r="H2805" t="s">
        <v>5501</v>
      </c>
      <c r="I2805" t="s">
        <v>329</v>
      </c>
      <c r="J2805" s="1">
        <v>45292</v>
      </c>
      <c r="K2805">
        <v>74000</v>
      </c>
    </row>
    <row r="2806" spans="5:11" x14ac:dyDescent="0.25">
      <c r="E2806" t="s">
        <v>5502</v>
      </c>
      <c r="F2806">
        <v>1502377</v>
      </c>
      <c r="G2806" s="1">
        <v>45382</v>
      </c>
      <c r="H2806" t="s">
        <v>5503</v>
      </c>
      <c r="I2806" t="s">
        <v>3643</v>
      </c>
      <c r="J2806" s="1">
        <v>45292</v>
      </c>
      <c r="K2806">
        <v>-20497239</v>
      </c>
    </row>
    <row r="2807" spans="5:11" x14ac:dyDescent="0.25">
      <c r="E2807" t="s">
        <v>5504</v>
      </c>
      <c r="F2807">
        <v>1502557</v>
      </c>
      <c r="G2807" s="1">
        <v>45382</v>
      </c>
      <c r="H2807" t="s">
        <v>5505</v>
      </c>
      <c r="I2807" t="s">
        <v>1164</v>
      </c>
      <c r="J2807" s="1">
        <v>45292</v>
      </c>
      <c r="K2807">
        <v>-577001</v>
      </c>
    </row>
    <row r="2808" spans="5:11" x14ac:dyDescent="0.25">
      <c r="E2808" t="s">
        <v>5506</v>
      </c>
      <c r="F2808">
        <v>1502966</v>
      </c>
      <c r="G2808" s="1">
        <v>45382</v>
      </c>
      <c r="H2808" t="s">
        <v>5507</v>
      </c>
      <c r="I2808" t="s">
        <v>142</v>
      </c>
      <c r="J2808" s="1">
        <v>45292</v>
      </c>
      <c r="K2808">
        <v>235821</v>
      </c>
    </row>
    <row r="2809" spans="5:11" x14ac:dyDescent="0.25">
      <c r="E2809" t="s">
        <v>5508</v>
      </c>
      <c r="F2809">
        <v>1503274</v>
      </c>
      <c r="G2809" s="1">
        <v>45382</v>
      </c>
      <c r="H2809" t="s">
        <v>5509</v>
      </c>
      <c r="I2809" t="s">
        <v>24</v>
      </c>
      <c r="J2809" s="1">
        <v>45292</v>
      </c>
      <c r="K2809">
        <v>-10072000</v>
      </c>
    </row>
    <row r="2810" spans="5:11" x14ac:dyDescent="0.25">
      <c r="E2810" t="s">
        <v>5510</v>
      </c>
      <c r="F2810">
        <v>1503658</v>
      </c>
      <c r="G2810" s="1">
        <v>45382</v>
      </c>
      <c r="H2810" t="s">
        <v>5511</v>
      </c>
      <c r="I2810" t="s">
        <v>299</v>
      </c>
      <c r="J2810" s="1">
        <v>45292</v>
      </c>
      <c r="K2810">
        <v>1096967</v>
      </c>
    </row>
    <row r="2811" spans="5:11" x14ac:dyDescent="0.25">
      <c r="E2811" t="s">
        <v>5512</v>
      </c>
      <c r="F2811">
        <v>1503802</v>
      </c>
      <c r="G2811" s="1">
        <v>45382</v>
      </c>
      <c r="H2811" t="s">
        <v>5513</v>
      </c>
      <c r="I2811" t="s">
        <v>24</v>
      </c>
      <c r="J2811" s="1">
        <v>45292</v>
      </c>
      <c r="K2811">
        <v>-37362000</v>
      </c>
    </row>
    <row r="2812" spans="5:11" x14ac:dyDescent="0.25">
      <c r="E2812" t="s">
        <v>5514</v>
      </c>
      <c r="F2812">
        <v>1504008</v>
      </c>
      <c r="G2812" s="1">
        <v>45382</v>
      </c>
      <c r="H2812" t="s">
        <v>5515</v>
      </c>
      <c r="I2812" t="s">
        <v>33</v>
      </c>
      <c r="J2812" s="1">
        <v>45292</v>
      </c>
      <c r="K2812">
        <v>47980000</v>
      </c>
    </row>
    <row r="2813" spans="5:11" x14ac:dyDescent="0.25">
      <c r="E2813" t="s">
        <v>5516</v>
      </c>
      <c r="F2813">
        <v>1504619</v>
      </c>
      <c r="G2813" s="1">
        <v>45382</v>
      </c>
      <c r="H2813" t="s">
        <v>5517</v>
      </c>
      <c r="I2813" t="s">
        <v>33</v>
      </c>
      <c r="J2813" s="1">
        <v>45292</v>
      </c>
      <c r="K2813">
        <v>31111000</v>
      </c>
    </row>
    <row r="2814" spans="5:11" x14ac:dyDescent="0.25">
      <c r="E2814" t="s">
        <v>5518</v>
      </c>
      <c r="F2814">
        <v>1504776</v>
      </c>
      <c r="G2814" s="1">
        <v>45382</v>
      </c>
      <c r="H2814" t="s">
        <v>5519</v>
      </c>
      <c r="I2814" t="s">
        <v>57</v>
      </c>
      <c r="J2814" s="1">
        <v>45292</v>
      </c>
      <c r="K2814">
        <v>-2679000</v>
      </c>
    </row>
    <row r="2815" spans="5:11" x14ac:dyDescent="0.25">
      <c r="E2815" t="s">
        <v>5520</v>
      </c>
      <c r="F2815">
        <v>1505155</v>
      </c>
      <c r="G2815" s="1">
        <v>45382</v>
      </c>
      <c r="H2815" t="s">
        <v>5521</v>
      </c>
      <c r="I2815" t="s">
        <v>30</v>
      </c>
      <c r="J2815" s="1">
        <v>45292</v>
      </c>
      <c r="K2815">
        <v>-96130000</v>
      </c>
    </row>
    <row r="2816" spans="5:11" x14ac:dyDescent="0.25">
      <c r="E2816" t="s">
        <v>5522</v>
      </c>
      <c r="F2816">
        <v>1505497</v>
      </c>
      <c r="G2816" s="1">
        <v>45382</v>
      </c>
      <c r="H2816" t="s">
        <v>5523</v>
      </c>
      <c r="I2816" t="s">
        <v>57</v>
      </c>
      <c r="J2816" s="1">
        <v>45292</v>
      </c>
      <c r="K2816">
        <v>-2223255</v>
      </c>
    </row>
    <row r="2817" spans="5:11" x14ac:dyDescent="0.25">
      <c r="E2817" t="s">
        <v>5524</v>
      </c>
      <c r="F2817">
        <v>1505512</v>
      </c>
      <c r="G2817" s="1">
        <v>45382</v>
      </c>
      <c r="H2817" t="s">
        <v>5525</v>
      </c>
      <c r="I2817" t="s">
        <v>36</v>
      </c>
      <c r="J2817" s="1">
        <v>45292</v>
      </c>
      <c r="K2817">
        <v>-8469000</v>
      </c>
    </row>
    <row r="2818" spans="5:11" x14ac:dyDescent="0.25">
      <c r="E2818" t="s">
        <v>5526</v>
      </c>
      <c r="F2818">
        <v>1505611</v>
      </c>
      <c r="G2818" s="1">
        <v>45382</v>
      </c>
      <c r="H2818" t="s">
        <v>5527</v>
      </c>
      <c r="I2818" t="s">
        <v>33</v>
      </c>
      <c r="J2818" s="1">
        <v>45292</v>
      </c>
      <c r="K2818">
        <v>-832000</v>
      </c>
    </row>
    <row r="2819" spans="5:11" x14ac:dyDescent="0.25">
      <c r="E2819" t="s">
        <v>5528</v>
      </c>
      <c r="F2819">
        <v>1505732</v>
      </c>
      <c r="G2819" s="1">
        <v>45382</v>
      </c>
      <c r="H2819" t="s">
        <v>5529</v>
      </c>
      <c r="I2819" t="s">
        <v>27</v>
      </c>
      <c r="J2819" s="1">
        <v>45292</v>
      </c>
      <c r="K2819">
        <v>3763000</v>
      </c>
    </row>
    <row r="2820" spans="5:11" x14ac:dyDescent="0.25">
      <c r="E2820" t="s">
        <v>5530</v>
      </c>
      <c r="F2820">
        <v>1505952</v>
      </c>
      <c r="G2820" s="1">
        <v>45412</v>
      </c>
      <c r="H2820" t="s">
        <v>5531</v>
      </c>
      <c r="I2820" t="s">
        <v>406</v>
      </c>
      <c r="J2820" s="1">
        <v>45323</v>
      </c>
      <c r="K2820">
        <v>-26007000</v>
      </c>
    </row>
    <row r="2821" spans="5:11" x14ac:dyDescent="0.25">
      <c r="E2821" t="s">
        <v>5532</v>
      </c>
      <c r="F2821">
        <v>1506251</v>
      </c>
      <c r="G2821" s="1">
        <v>45382</v>
      </c>
      <c r="H2821" t="s">
        <v>5533</v>
      </c>
      <c r="I2821" t="s">
        <v>46</v>
      </c>
      <c r="J2821" s="1">
        <v>45292</v>
      </c>
      <c r="K2821">
        <v>-8544154</v>
      </c>
    </row>
    <row r="2822" spans="5:11" x14ac:dyDescent="0.25">
      <c r="E2822" t="s">
        <v>5534</v>
      </c>
      <c r="F2822">
        <v>1506293</v>
      </c>
      <c r="G2822" s="1">
        <v>45382</v>
      </c>
      <c r="H2822" t="s">
        <v>5535</v>
      </c>
      <c r="I2822" t="s">
        <v>36</v>
      </c>
      <c r="J2822" s="1">
        <v>45292</v>
      </c>
      <c r="K2822">
        <v>-24812000</v>
      </c>
    </row>
    <row r="2823" spans="5:11" x14ac:dyDescent="0.25">
      <c r="E2823" t="s">
        <v>5536</v>
      </c>
      <c r="F2823">
        <v>1506307</v>
      </c>
      <c r="G2823" s="1">
        <v>45382</v>
      </c>
      <c r="H2823" t="s">
        <v>5537</v>
      </c>
      <c r="I2823" t="s">
        <v>30</v>
      </c>
      <c r="J2823" s="1">
        <v>45292</v>
      </c>
      <c r="K2823">
        <v>746000000</v>
      </c>
    </row>
    <row r="2824" spans="5:11" x14ac:dyDescent="0.25">
      <c r="E2824" t="s">
        <v>5538</v>
      </c>
      <c r="F2824">
        <v>1506492</v>
      </c>
      <c r="G2824" s="1">
        <v>45382</v>
      </c>
      <c r="H2824" t="s">
        <v>5539</v>
      </c>
      <c r="I2824" t="s">
        <v>213</v>
      </c>
      <c r="J2824" s="1">
        <v>45292</v>
      </c>
      <c r="K2824">
        <v>-4330000</v>
      </c>
    </row>
    <row r="2825" spans="5:11" x14ac:dyDescent="0.25">
      <c r="E2825" t="s">
        <v>5540</v>
      </c>
      <c r="F2825">
        <v>1506928</v>
      </c>
      <c r="G2825" s="1">
        <v>45382</v>
      </c>
      <c r="H2825" t="s">
        <v>5541</v>
      </c>
      <c r="I2825" t="s">
        <v>36</v>
      </c>
      <c r="J2825" s="1">
        <v>45292</v>
      </c>
      <c r="K2825">
        <v>-5517000</v>
      </c>
    </row>
    <row r="2826" spans="5:11" x14ac:dyDescent="0.25">
      <c r="E2826" t="s">
        <v>5542</v>
      </c>
      <c r="F2826">
        <v>1506929</v>
      </c>
      <c r="G2826" s="1">
        <v>45382</v>
      </c>
      <c r="H2826" t="s">
        <v>5543</v>
      </c>
      <c r="I2826" t="s">
        <v>137</v>
      </c>
      <c r="J2826" s="1">
        <v>45292</v>
      </c>
      <c r="K2826">
        <v>-865772</v>
      </c>
    </row>
    <row r="2827" spans="5:11" x14ac:dyDescent="0.25">
      <c r="E2827" t="s">
        <v>5544</v>
      </c>
      <c r="F2827">
        <v>1506983</v>
      </c>
      <c r="G2827" s="1">
        <v>45382</v>
      </c>
      <c r="H2827" t="s">
        <v>5545</v>
      </c>
      <c r="I2827" t="s">
        <v>46</v>
      </c>
      <c r="J2827" s="1">
        <v>45292</v>
      </c>
      <c r="K2827">
        <v>-2927000</v>
      </c>
    </row>
    <row r="2828" spans="5:11" x14ac:dyDescent="0.25">
      <c r="E2828" t="s">
        <v>10492</v>
      </c>
      <c r="F2828">
        <v>1507079</v>
      </c>
      <c r="G2828" s="1">
        <v>45379</v>
      </c>
      <c r="H2828" t="s">
        <v>5546</v>
      </c>
      <c r="I2828" t="s">
        <v>64</v>
      </c>
      <c r="J2828" s="1">
        <v>45289</v>
      </c>
      <c r="K2828">
        <v>50032000</v>
      </c>
    </row>
    <row r="2829" spans="5:11" x14ac:dyDescent="0.25">
      <c r="E2829" t="s">
        <v>5547</v>
      </c>
      <c r="F2829">
        <v>1507605</v>
      </c>
      <c r="G2829" s="1">
        <v>45382</v>
      </c>
      <c r="H2829" t="s">
        <v>5548</v>
      </c>
      <c r="I2829" t="s">
        <v>33</v>
      </c>
      <c r="J2829" s="1">
        <v>45292</v>
      </c>
      <c r="K2829">
        <v>337173000</v>
      </c>
    </row>
    <row r="2830" spans="5:11" x14ac:dyDescent="0.25">
      <c r="E2830" t="s">
        <v>5549</v>
      </c>
      <c r="F2830">
        <v>1507957</v>
      </c>
      <c r="G2830" s="1">
        <v>45382</v>
      </c>
      <c r="H2830" t="s">
        <v>5550</v>
      </c>
      <c r="I2830" t="s">
        <v>30</v>
      </c>
      <c r="J2830" s="1">
        <v>45292</v>
      </c>
      <c r="K2830">
        <v>-2469626</v>
      </c>
    </row>
    <row r="2831" spans="5:11" x14ac:dyDescent="0.25">
      <c r="E2831" t="s">
        <v>5551</v>
      </c>
      <c r="F2831">
        <v>1508348</v>
      </c>
      <c r="G2831" s="1">
        <v>45382</v>
      </c>
      <c r="H2831" t="s">
        <v>5552</v>
      </c>
      <c r="I2831" t="s">
        <v>92</v>
      </c>
      <c r="J2831" s="1">
        <v>45292</v>
      </c>
      <c r="K2831">
        <v>-166091</v>
      </c>
    </row>
    <row r="2832" spans="5:11" x14ac:dyDescent="0.25">
      <c r="E2832" t="s">
        <v>5553</v>
      </c>
      <c r="F2832">
        <v>1509223</v>
      </c>
      <c r="G2832" s="1">
        <v>45382</v>
      </c>
      <c r="H2832" t="s">
        <v>5554</v>
      </c>
      <c r="I2832" t="s">
        <v>113</v>
      </c>
      <c r="J2832" s="1">
        <v>45292</v>
      </c>
      <c r="K2832">
        <v>-2814000</v>
      </c>
    </row>
    <row r="2833" spans="5:11" x14ac:dyDescent="0.25">
      <c r="E2833" t="s">
        <v>5555</v>
      </c>
      <c r="F2833">
        <v>1509261</v>
      </c>
      <c r="G2833" s="1">
        <v>45382</v>
      </c>
      <c r="H2833" t="s">
        <v>5556</v>
      </c>
      <c r="I2833" t="s">
        <v>36</v>
      </c>
      <c r="J2833" s="1">
        <v>45292</v>
      </c>
      <c r="K2833">
        <v>-17050000</v>
      </c>
    </row>
    <row r="2834" spans="5:11" x14ac:dyDescent="0.25">
      <c r="E2834" t="s">
        <v>5557</v>
      </c>
      <c r="F2834">
        <v>1509470</v>
      </c>
      <c r="G2834" s="1">
        <v>45382</v>
      </c>
      <c r="H2834" t="s">
        <v>5558</v>
      </c>
      <c r="I2834" t="s">
        <v>57</v>
      </c>
      <c r="J2834" s="1">
        <v>45292</v>
      </c>
      <c r="K2834">
        <v>-22065346</v>
      </c>
    </row>
    <row r="2835" spans="5:11" x14ac:dyDescent="0.25">
      <c r="E2835" t="s">
        <v>5559</v>
      </c>
      <c r="F2835">
        <v>1509745</v>
      </c>
      <c r="G2835" s="1">
        <v>45382</v>
      </c>
      <c r="H2835" t="s">
        <v>5560</v>
      </c>
      <c r="I2835" t="s">
        <v>24</v>
      </c>
      <c r="J2835" s="1">
        <v>45292</v>
      </c>
      <c r="K2835">
        <v>-13820000</v>
      </c>
    </row>
    <row r="2836" spans="5:11" x14ac:dyDescent="0.25">
      <c r="E2836" t="s">
        <v>5561</v>
      </c>
      <c r="F2836">
        <v>1509957</v>
      </c>
      <c r="G2836" s="1">
        <v>45382</v>
      </c>
      <c r="H2836" t="s">
        <v>5562</v>
      </c>
      <c r="I2836" t="s">
        <v>57</v>
      </c>
      <c r="J2836" s="1">
        <v>45292</v>
      </c>
      <c r="K2836">
        <v>-6161169</v>
      </c>
    </row>
    <row r="2837" spans="5:11" x14ac:dyDescent="0.25">
      <c r="E2837" t="s">
        <v>5563</v>
      </c>
      <c r="F2837">
        <v>1509991</v>
      </c>
      <c r="G2837" s="1">
        <v>45382</v>
      </c>
      <c r="H2837" t="s">
        <v>5564</v>
      </c>
      <c r="I2837" t="s">
        <v>30</v>
      </c>
      <c r="J2837" s="1">
        <v>45292</v>
      </c>
      <c r="K2837">
        <v>91686000</v>
      </c>
    </row>
    <row r="2838" spans="5:11" x14ac:dyDescent="0.25">
      <c r="E2838" t="s">
        <v>5565</v>
      </c>
      <c r="F2838">
        <v>1510295</v>
      </c>
      <c r="G2838" s="1">
        <v>45382</v>
      </c>
      <c r="H2838" t="s">
        <v>5566</v>
      </c>
      <c r="I2838" t="s">
        <v>60</v>
      </c>
      <c r="J2838" s="1">
        <v>45292</v>
      </c>
      <c r="K2838">
        <v>937000000</v>
      </c>
    </row>
    <row r="2839" spans="5:11" x14ac:dyDescent="0.25">
      <c r="E2839" t="s">
        <v>5567</v>
      </c>
      <c r="F2839">
        <v>1510964</v>
      </c>
      <c r="G2839" s="1">
        <v>45382</v>
      </c>
      <c r="H2839" t="s">
        <v>5568</v>
      </c>
      <c r="I2839" t="s">
        <v>36</v>
      </c>
      <c r="J2839" s="1">
        <v>45292</v>
      </c>
      <c r="K2839">
        <v>-628000</v>
      </c>
    </row>
    <row r="2840" spans="5:11" x14ac:dyDescent="0.25">
      <c r="E2840" t="s">
        <v>5569</v>
      </c>
      <c r="F2840">
        <v>1511337</v>
      </c>
      <c r="G2840" s="1">
        <v>45382</v>
      </c>
      <c r="H2840" t="s">
        <v>5570</v>
      </c>
      <c r="I2840" t="s">
        <v>299</v>
      </c>
      <c r="J2840" s="1">
        <v>45292</v>
      </c>
      <c r="K2840">
        <v>4937000</v>
      </c>
    </row>
    <row r="2841" spans="5:11" x14ac:dyDescent="0.25">
      <c r="E2841" t="s">
        <v>5571</v>
      </c>
      <c r="F2841">
        <v>1511737</v>
      </c>
      <c r="G2841" s="1">
        <v>45382</v>
      </c>
      <c r="H2841" t="s">
        <v>5572</v>
      </c>
      <c r="I2841" t="s">
        <v>57</v>
      </c>
      <c r="J2841" s="1">
        <v>45292</v>
      </c>
      <c r="K2841">
        <v>76290000</v>
      </c>
    </row>
    <row r="2842" spans="5:11" x14ac:dyDescent="0.25">
      <c r="E2842" t="s">
        <v>10493</v>
      </c>
      <c r="F2842">
        <v>1511820</v>
      </c>
      <c r="G2842" s="1">
        <v>45382</v>
      </c>
      <c r="H2842" t="s">
        <v>5573</v>
      </c>
      <c r="I2842" t="s">
        <v>33</v>
      </c>
      <c r="J2842" s="1">
        <v>45292</v>
      </c>
      <c r="K2842">
        <v>-1418350</v>
      </c>
    </row>
    <row r="2843" spans="5:11" x14ac:dyDescent="0.25">
      <c r="E2843" t="s">
        <v>5574</v>
      </c>
      <c r="F2843">
        <v>1512228</v>
      </c>
      <c r="G2843" s="1">
        <v>45382</v>
      </c>
      <c r="H2843" t="s">
        <v>5575</v>
      </c>
      <c r="I2843" t="s">
        <v>92</v>
      </c>
      <c r="J2843" s="1">
        <v>45292</v>
      </c>
      <c r="K2843">
        <v>-4225000</v>
      </c>
    </row>
    <row r="2844" spans="5:11" x14ac:dyDescent="0.25">
      <c r="E2844" t="s">
        <v>5576</v>
      </c>
      <c r="F2844">
        <v>1512499</v>
      </c>
      <c r="G2844" s="1">
        <v>45382</v>
      </c>
      <c r="H2844" t="s">
        <v>5577</v>
      </c>
      <c r="I2844" t="s">
        <v>57</v>
      </c>
      <c r="J2844" s="1">
        <v>45292</v>
      </c>
      <c r="K2844">
        <v>-3979000</v>
      </c>
    </row>
    <row r="2845" spans="5:11" x14ac:dyDescent="0.25">
      <c r="E2845" t="s">
        <v>5578</v>
      </c>
      <c r="F2845">
        <v>1512673</v>
      </c>
      <c r="G2845" s="1">
        <v>45382</v>
      </c>
      <c r="H2845" t="s">
        <v>5579</v>
      </c>
      <c r="I2845" t="s">
        <v>36</v>
      </c>
      <c r="J2845" s="1">
        <v>45292</v>
      </c>
      <c r="K2845">
        <v>472005000</v>
      </c>
    </row>
    <row r="2846" spans="5:11" x14ac:dyDescent="0.25">
      <c r="E2846" t="s">
        <v>5580</v>
      </c>
      <c r="F2846">
        <v>1512762</v>
      </c>
      <c r="G2846" s="1">
        <v>45382</v>
      </c>
      <c r="H2846" t="s">
        <v>5581</v>
      </c>
      <c r="I2846" t="s">
        <v>36</v>
      </c>
      <c r="J2846" s="1">
        <v>45292</v>
      </c>
      <c r="K2846">
        <v>102875000</v>
      </c>
    </row>
    <row r="2847" spans="5:11" x14ac:dyDescent="0.25">
      <c r="E2847" t="s">
        <v>5582</v>
      </c>
      <c r="F2847">
        <v>1512931</v>
      </c>
      <c r="G2847" s="1">
        <v>45382</v>
      </c>
      <c r="H2847" t="s">
        <v>5583</v>
      </c>
      <c r="I2847" t="s">
        <v>19</v>
      </c>
      <c r="J2847" s="1">
        <v>45292</v>
      </c>
      <c r="K2847">
        <v>3195000</v>
      </c>
    </row>
    <row r="2848" spans="5:11" x14ac:dyDescent="0.25">
      <c r="E2848" t="s">
        <v>5584</v>
      </c>
      <c r="F2848">
        <v>1513525</v>
      </c>
      <c r="G2848" s="1">
        <v>45382</v>
      </c>
      <c r="H2848" t="s">
        <v>5585</v>
      </c>
      <c r="I2848" t="s">
        <v>123</v>
      </c>
      <c r="J2848" s="1">
        <v>45292</v>
      </c>
      <c r="K2848">
        <v>-6476560</v>
      </c>
    </row>
    <row r="2849" spans="5:11" x14ac:dyDescent="0.25">
      <c r="E2849" t="s">
        <v>5586</v>
      </c>
      <c r="F2849">
        <v>1513761</v>
      </c>
      <c r="G2849" s="1">
        <v>45382</v>
      </c>
      <c r="H2849" t="s">
        <v>5587</v>
      </c>
      <c r="I2849" t="s">
        <v>33</v>
      </c>
      <c r="J2849" s="1">
        <v>45292</v>
      </c>
      <c r="K2849">
        <v>17353000</v>
      </c>
    </row>
    <row r="2850" spans="5:11" x14ac:dyDescent="0.25">
      <c r="E2850" t="s">
        <v>5588</v>
      </c>
      <c r="F2850">
        <v>1514056</v>
      </c>
      <c r="G2850" s="1">
        <v>45382</v>
      </c>
      <c r="H2850" t="s">
        <v>5589</v>
      </c>
      <c r="I2850" t="s">
        <v>329</v>
      </c>
      <c r="J2850" s="1">
        <v>45292</v>
      </c>
      <c r="K2850">
        <v>-2258944</v>
      </c>
    </row>
    <row r="2851" spans="5:11" x14ac:dyDescent="0.25">
      <c r="E2851" t="s">
        <v>5590</v>
      </c>
      <c r="F2851">
        <v>1514183</v>
      </c>
      <c r="G2851" s="1">
        <v>45382</v>
      </c>
      <c r="H2851" t="s">
        <v>5591</v>
      </c>
      <c r="I2851" t="s">
        <v>33</v>
      </c>
      <c r="J2851" s="1">
        <v>45292</v>
      </c>
      <c r="K2851">
        <v>-801667</v>
      </c>
    </row>
    <row r="2852" spans="5:11" x14ac:dyDescent="0.25">
      <c r="E2852" t="s">
        <v>5592</v>
      </c>
      <c r="F2852">
        <v>1514281</v>
      </c>
      <c r="G2852" s="1">
        <v>45382</v>
      </c>
      <c r="H2852" t="s">
        <v>5593</v>
      </c>
      <c r="I2852" t="s">
        <v>57</v>
      </c>
      <c r="J2852" s="1">
        <v>45292</v>
      </c>
      <c r="K2852">
        <v>20890000</v>
      </c>
    </row>
    <row r="2853" spans="5:11" x14ac:dyDescent="0.25">
      <c r="E2853" t="s">
        <v>10494</v>
      </c>
      <c r="F2853">
        <v>1514416</v>
      </c>
      <c r="G2853" s="1">
        <v>45382</v>
      </c>
      <c r="H2853" t="s">
        <v>5594</v>
      </c>
      <c r="I2853" t="s">
        <v>172</v>
      </c>
      <c r="J2853" s="1">
        <v>45292</v>
      </c>
      <c r="K2853">
        <v>-9233000</v>
      </c>
    </row>
    <row r="2854" spans="5:11" x14ac:dyDescent="0.25">
      <c r="E2854" t="s">
        <v>5595</v>
      </c>
      <c r="F2854">
        <v>1514443</v>
      </c>
      <c r="G2854" s="1">
        <v>45382</v>
      </c>
      <c r="H2854" t="s">
        <v>5596</v>
      </c>
      <c r="I2854" t="s">
        <v>36</v>
      </c>
      <c r="J2854" s="1">
        <v>45292</v>
      </c>
      <c r="K2854">
        <v>-849272</v>
      </c>
    </row>
    <row r="2855" spans="5:11" x14ac:dyDescent="0.25">
      <c r="E2855" t="s">
        <v>5597</v>
      </c>
      <c r="F2855">
        <v>1514705</v>
      </c>
      <c r="G2855" s="1">
        <v>45382</v>
      </c>
      <c r="H2855" t="s">
        <v>5598</v>
      </c>
      <c r="I2855" t="s">
        <v>19</v>
      </c>
      <c r="J2855" s="1">
        <v>45292</v>
      </c>
      <c r="K2855">
        <v>20000000</v>
      </c>
    </row>
    <row r="2856" spans="5:11" x14ac:dyDescent="0.25">
      <c r="E2856" t="s">
        <v>5599</v>
      </c>
      <c r="F2856">
        <v>1514743</v>
      </c>
      <c r="G2856" s="1">
        <v>45382</v>
      </c>
      <c r="H2856" t="s">
        <v>5600</v>
      </c>
      <c r="I2856" t="s">
        <v>19</v>
      </c>
      <c r="J2856" s="1">
        <v>45292</v>
      </c>
      <c r="K2856">
        <v>708000</v>
      </c>
    </row>
    <row r="2857" spans="5:11" x14ac:dyDescent="0.25">
      <c r="E2857" t="s">
        <v>5601</v>
      </c>
      <c r="F2857">
        <v>1514946</v>
      </c>
      <c r="G2857" s="1">
        <v>45382</v>
      </c>
      <c r="H2857" t="s">
        <v>5602</v>
      </c>
      <c r="I2857" t="s">
        <v>36</v>
      </c>
      <c r="J2857" s="1">
        <v>45292</v>
      </c>
      <c r="K2857">
        <v>-292299</v>
      </c>
    </row>
    <row r="2858" spans="5:11" x14ac:dyDescent="0.25">
      <c r="E2858" t="s">
        <v>5603</v>
      </c>
      <c r="F2858">
        <v>1514991</v>
      </c>
      <c r="G2858" s="1">
        <v>45382</v>
      </c>
      <c r="H2858" t="s">
        <v>5604</v>
      </c>
      <c r="I2858" t="s">
        <v>57</v>
      </c>
      <c r="J2858" s="1">
        <v>45292</v>
      </c>
      <c r="K2858">
        <v>45803000</v>
      </c>
    </row>
    <row r="2859" spans="5:11" x14ac:dyDescent="0.25">
      <c r="E2859" t="s">
        <v>5605</v>
      </c>
      <c r="F2859">
        <v>1515139</v>
      </c>
      <c r="G2859" s="1">
        <v>45382</v>
      </c>
      <c r="H2859" t="s">
        <v>5606</v>
      </c>
      <c r="I2859" t="s">
        <v>36</v>
      </c>
      <c r="J2859" s="1">
        <v>45292</v>
      </c>
      <c r="K2859">
        <v>-539605</v>
      </c>
    </row>
    <row r="2860" spans="5:11" x14ac:dyDescent="0.25">
      <c r="E2860" t="s">
        <v>5607</v>
      </c>
      <c r="F2860">
        <v>1515156</v>
      </c>
      <c r="G2860" s="1">
        <v>45382</v>
      </c>
      <c r="H2860" t="s">
        <v>5608</v>
      </c>
      <c r="I2860" t="s">
        <v>92</v>
      </c>
      <c r="J2860" s="1">
        <v>45292</v>
      </c>
      <c r="K2860">
        <v>-3419000</v>
      </c>
    </row>
    <row r="2861" spans="5:11" x14ac:dyDescent="0.25">
      <c r="E2861" t="s">
        <v>5609</v>
      </c>
      <c r="F2861">
        <v>1515317</v>
      </c>
      <c r="G2861" s="1">
        <v>45382</v>
      </c>
      <c r="H2861" t="s">
        <v>5610</v>
      </c>
      <c r="I2861" t="s">
        <v>1071</v>
      </c>
      <c r="J2861" s="1">
        <v>45292</v>
      </c>
      <c r="K2861">
        <v>-130265</v>
      </c>
    </row>
    <row r="2862" spans="5:11" x14ac:dyDescent="0.25">
      <c r="E2862" t="s">
        <v>5611</v>
      </c>
      <c r="F2862">
        <v>1515673</v>
      </c>
      <c r="G2862" s="1">
        <v>45382</v>
      </c>
      <c r="H2862" t="s">
        <v>5612</v>
      </c>
      <c r="I2862" t="s">
        <v>36</v>
      </c>
      <c r="J2862" s="1">
        <v>45292</v>
      </c>
      <c r="K2862">
        <v>-170684000</v>
      </c>
    </row>
    <row r="2863" spans="5:11" x14ac:dyDescent="0.25">
      <c r="E2863" t="s">
        <v>5613</v>
      </c>
      <c r="F2863">
        <v>1515816</v>
      </c>
      <c r="G2863" s="1">
        <v>45382</v>
      </c>
      <c r="H2863" t="s">
        <v>5614</v>
      </c>
      <c r="I2863" t="s">
        <v>24</v>
      </c>
      <c r="J2863" s="1">
        <v>45292</v>
      </c>
      <c r="K2863">
        <v>6218000</v>
      </c>
    </row>
    <row r="2864" spans="5:11" x14ac:dyDescent="0.25">
      <c r="E2864" t="s">
        <v>5615</v>
      </c>
      <c r="F2864">
        <v>1516551</v>
      </c>
      <c r="G2864" s="1">
        <v>45382</v>
      </c>
      <c r="H2864" t="s">
        <v>5616</v>
      </c>
      <c r="I2864" t="s">
        <v>36</v>
      </c>
      <c r="J2864" s="1">
        <v>45292</v>
      </c>
      <c r="K2864">
        <v>-5019531</v>
      </c>
    </row>
    <row r="2865" spans="5:11" x14ac:dyDescent="0.25">
      <c r="E2865" t="s">
        <v>5617</v>
      </c>
      <c r="F2865">
        <v>1516912</v>
      </c>
      <c r="G2865" s="1">
        <v>45382</v>
      </c>
      <c r="H2865" t="s">
        <v>5618</v>
      </c>
      <c r="I2865" t="s">
        <v>179</v>
      </c>
      <c r="J2865" s="1">
        <v>45292</v>
      </c>
      <c r="K2865">
        <v>22632000</v>
      </c>
    </row>
    <row r="2866" spans="5:11" x14ac:dyDescent="0.25">
      <c r="E2866" t="s">
        <v>5619</v>
      </c>
      <c r="F2866">
        <v>1517006</v>
      </c>
      <c r="G2866" s="1">
        <v>45382</v>
      </c>
      <c r="H2866" t="s">
        <v>5620</v>
      </c>
      <c r="I2866" t="s">
        <v>2552</v>
      </c>
      <c r="J2866" s="1">
        <v>45292</v>
      </c>
      <c r="K2866">
        <v>2532000</v>
      </c>
    </row>
    <row r="2867" spans="5:11" x14ac:dyDescent="0.25">
      <c r="E2867" t="s">
        <v>5621</v>
      </c>
      <c r="F2867">
        <v>1517022</v>
      </c>
      <c r="G2867" s="1">
        <v>45382</v>
      </c>
      <c r="H2867" t="s">
        <v>5622</v>
      </c>
      <c r="I2867" t="s">
        <v>24</v>
      </c>
      <c r="J2867" s="1">
        <v>45292</v>
      </c>
      <c r="K2867">
        <v>-17985000</v>
      </c>
    </row>
    <row r="2868" spans="5:11" x14ac:dyDescent="0.25">
      <c r="E2868" t="s">
        <v>10495</v>
      </c>
      <c r="F2868">
        <v>1517175</v>
      </c>
      <c r="G2868" s="1">
        <v>45380</v>
      </c>
      <c r="H2868" t="s">
        <v>5623</v>
      </c>
      <c r="I2868" t="s">
        <v>27</v>
      </c>
      <c r="J2868" s="1">
        <v>45290</v>
      </c>
      <c r="K2868">
        <v>1931000</v>
      </c>
    </row>
    <row r="2869" spans="5:11" x14ac:dyDescent="0.25">
      <c r="E2869" t="s">
        <v>5624</v>
      </c>
      <c r="F2869">
        <v>1517228</v>
      </c>
      <c r="G2869" s="1">
        <v>45382</v>
      </c>
      <c r="H2869" t="s">
        <v>5625</v>
      </c>
      <c r="I2869" t="s">
        <v>172</v>
      </c>
      <c r="J2869" s="1">
        <v>45292</v>
      </c>
      <c r="K2869">
        <v>-359200000</v>
      </c>
    </row>
    <row r="2870" spans="5:11" x14ac:dyDescent="0.25">
      <c r="E2870" t="s">
        <v>5626</v>
      </c>
      <c r="F2870">
        <v>1517302</v>
      </c>
      <c r="G2870" s="1">
        <v>45382</v>
      </c>
      <c r="H2870" t="s">
        <v>5627</v>
      </c>
      <c r="I2870" t="s">
        <v>83</v>
      </c>
      <c r="J2870" s="1">
        <v>45292</v>
      </c>
      <c r="K2870">
        <v>59481000</v>
      </c>
    </row>
    <row r="2871" spans="5:11" x14ac:dyDescent="0.25">
      <c r="E2871" t="s">
        <v>5628</v>
      </c>
      <c r="F2871">
        <v>1517375</v>
      </c>
      <c r="G2871" s="1">
        <v>45382</v>
      </c>
      <c r="H2871" t="s">
        <v>5629</v>
      </c>
      <c r="I2871" t="s">
        <v>19</v>
      </c>
      <c r="J2871" s="1">
        <v>45292</v>
      </c>
      <c r="K2871">
        <v>-13575000</v>
      </c>
    </row>
    <row r="2872" spans="5:11" x14ac:dyDescent="0.25">
      <c r="E2872" t="s">
        <v>5630</v>
      </c>
      <c r="F2872">
        <v>1517396</v>
      </c>
      <c r="G2872" s="1">
        <v>45382</v>
      </c>
      <c r="H2872" t="s">
        <v>5631</v>
      </c>
      <c r="I2872" t="s">
        <v>1511</v>
      </c>
      <c r="J2872" s="1">
        <v>45292</v>
      </c>
      <c r="K2872">
        <v>-25983000</v>
      </c>
    </row>
    <row r="2873" spans="5:11" x14ac:dyDescent="0.25">
      <c r="E2873" t="s">
        <v>5632</v>
      </c>
      <c r="F2873">
        <v>1517413</v>
      </c>
      <c r="G2873" s="1">
        <v>45382</v>
      </c>
      <c r="H2873" t="s">
        <v>5633</v>
      </c>
      <c r="I2873" t="s">
        <v>36</v>
      </c>
      <c r="J2873" s="1">
        <v>45292</v>
      </c>
      <c r="K2873">
        <v>-43427000</v>
      </c>
    </row>
    <row r="2874" spans="5:11" x14ac:dyDescent="0.25">
      <c r="E2874" t="s">
        <v>5634</v>
      </c>
      <c r="F2874">
        <v>1517681</v>
      </c>
      <c r="G2874" s="1">
        <v>45382</v>
      </c>
      <c r="H2874" t="s">
        <v>5635</v>
      </c>
      <c r="I2874" t="s">
        <v>5013</v>
      </c>
      <c r="J2874" s="1">
        <v>45292</v>
      </c>
      <c r="K2874">
        <v>-526700</v>
      </c>
    </row>
    <row r="2875" spans="5:11" x14ac:dyDescent="0.25">
      <c r="E2875" t="s">
        <v>5636</v>
      </c>
      <c r="F2875">
        <v>1518336</v>
      </c>
      <c r="G2875" s="1">
        <v>45382</v>
      </c>
      <c r="H2875" t="s">
        <v>5637</v>
      </c>
      <c r="I2875" t="s">
        <v>46</v>
      </c>
      <c r="J2875" s="1">
        <v>45292</v>
      </c>
      <c r="K2875">
        <v>-122618</v>
      </c>
    </row>
    <row r="2876" spans="5:11" x14ac:dyDescent="0.25">
      <c r="E2876" t="s">
        <v>5638</v>
      </c>
      <c r="F2876">
        <v>1518461</v>
      </c>
      <c r="G2876" s="1">
        <v>45382</v>
      </c>
      <c r="H2876" t="s">
        <v>5639</v>
      </c>
      <c r="I2876" t="s">
        <v>57</v>
      </c>
      <c r="J2876" s="1">
        <v>45292</v>
      </c>
      <c r="K2876">
        <v>-4655161</v>
      </c>
    </row>
    <row r="2877" spans="5:11" x14ac:dyDescent="0.25">
      <c r="E2877" t="s">
        <v>5640</v>
      </c>
      <c r="F2877">
        <v>1518621</v>
      </c>
      <c r="G2877" s="1">
        <v>45382</v>
      </c>
      <c r="H2877" t="s">
        <v>5641</v>
      </c>
      <c r="I2877" t="s">
        <v>33</v>
      </c>
      <c r="J2877" s="1">
        <v>45292</v>
      </c>
      <c r="K2877">
        <v>19776000</v>
      </c>
    </row>
    <row r="2878" spans="5:11" x14ac:dyDescent="0.25">
      <c r="E2878" t="s">
        <v>5642</v>
      </c>
      <c r="F2878">
        <v>1518715</v>
      </c>
      <c r="G2878" s="1">
        <v>45382</v>
      </c>
      <c r="H2878" t="s">
        <v>5643</v>
      </c>
      <c r="I2878" t="s">
        <v>504</v>
      </c>
      <c r="J2878" s="1">
        <v>45292</v>
      </c>
      <c r="K2878">
        <v>-7497000</v>
      </c>
    </row>
    <row r="2879" spans="5:11" x14ac:dyDescent="0.25">
      <c r="E2879" t="s">
        <v>5644</v>
      </c>
      <c r="F2879">
        <v>1519061</v>
      </c>
      <c r="G2879" s="1">
        <v>45382</v>
      </c>
      <c r="H2879" t="s">
        <v>5645</v>
      </c>
      <c r="I2879" t="s">
        <v>39</v>
      </c>
      <c r="J2879" s="1">
        <v>45292</v>
      </c>
      <c r="K2879">
        <v>-75500000</v>
      </c>
    </row>
    <row r="2880" spans="5:11" x14ac:dyDescent="0.25">
      <c r="E2880" t="s">
        <v>5646</v>
      </c>
      <c r="F2880">
        <v>1519401</v>
      </c>
      <c r="G2880" s="1">
        <v>45382</v>
      </c>
      <c r="H2880" t="s">
        <v>5647</v>
      </c>
      <c r="I2880" t="s">
        <v>686</v>
      </c>
      <c r="J2880" s="1">
        <v>45292</v>
      </c>
      <c r="K2880">
        <v>15205000</v>
      </c>
    </row>
    <row r="2881" spans="5:11" x14ac:dyDescent="0.25">
      <c r="E2881" t="s">
        <v>5648</v>
      </c>
      <c r="F2881">
        <v>1519449</v>
      </c>
      <c r="G2881" s="1">
        <v>45382</v>
      </c>
      <c r="H2881" t="s">
        <v>5649</v>
      </c>
      <c r="I2881" t="s">
        <v>30</v>
      </c>
      <c r="J2881" s="1">
        <v>45292</v>
      </c>
      <c r="K2881">
        <v>36784000</v>
      </c>
    </row>
    <row r="2882" spans="5:11" x14ac:dyDescent="0.25">
      <c r="E2882" t="s">
        <v>5650</v>
      </c>
      <c r="F2882">
        <v>1519472</v>
      </c>
      <c r="G2882" s="1">
        <v>45382</v>
      </c>
      <c r="H2882" t="s">
        <v>5651</v>
      </c>
      <c r="I2882" t="s">
        <v>36</v>
      </c>
      <c r="J2882" s="1">
        <v>45292</v>
      </c>
      <c r="K2882">
        <v>-19271787</v>
      </c>
    </row>
    <row r="2883" spans="5:11" x14ac:dyDescent="0.25">
      <c r="E2883" t="s">
        <v>5652</v>
      </c>
      <c r="F2883">
        <v>1520006</v>
      </c>
      <c r="G2883" s="1">
        <v>45382</v>
      </c>
      <c r="H2883" t="s">
        <v>5653</v>
      </c>
      <c r="I2883" t="s">
        <v>30</v>
      </c>
      <c r="J2883" s="1">
        <v>45292</v>
      </c>
      <c r="K2883">
        <v>193729000</v>
      </c>
    </row>
    <row r="2884" spans="5:11" x14ac:dyDescent="0.25">
      <c r="E2884" t="s">
        <v>5654</v>
      </c>
      <c r="F2884">
        <v>1520118</v>
      </c>
      <c r="G2884" s="1">
        <v>45382</v>
      </c>
      <c r="H2884" t="s">
        <v>5655</v>
      </c>
      <c r="I2884" t="s">
        <v>39</v>
      </c>
      <c r="J2884" s="1">
        <v>45292</v>
      </c>
      <c r="K2884">
        <v>297283</v>
      </c>
    </row>
    <row r="2885" spans="5:11" x14ac:dyDescent="0.25">
      <c r="E2885" t="s">
        <v>10496</v>
      </c>
      <c r="F2885">
        <v>1520262</v>
      </c>
      <c r="G2885" s="1">
        <v>45382</v>
      </c>
      <c r="H2885" t="s">
        <v>5656</v>
      </c>
      <c r="I2885" t="s">
        <v>927</v>
      </c>
      <c r="J2885" s="1">
        <v>45292</v>
      </c>
      <c r="K2885">
        <v>36828000</v>
      </c>
    </row>
    <row r="2886" spans="5:11" x14ac:dyDescent="0.25">
      <c r="E2886" t="s">
        <v>5657</v>
      </c>
      <c r="F2886">
        <v>1520358</v>
      </c>
      <c r="G2886" s="1">
        <v>45412</v>
      </c>
      <c r="H2886" t="s">
        <v>5658</v>
      </c>
      <c r="I2886" t="s">
        <v>46</v>
      </c>
      <c r="J2886" s="1">
        <v>45323</v>
      </c>
      <c r="K2886">
        <v>553000</v>
      </c>
    </row>
    <row r="2887" spans="5:11" x14ac:dyDescent="0.25">
      <c r="E2887" t="s">
        <v>10497</v>
      </c>
      <c r="F2887">
        <v>1520697</v>
      </c>
      <c r="G2887" s="1">
        <v>45382</v>
      </c>
      <c r="H2887" t="s">
        <v>5659</v>
      </c>
      <c r="I2887" t="s">
        <v>69</v>
      </c>
      <c r="J2887" s="1">
        <v>45292</v>
      </c>
      <c r="K2887">
        <v>76383000</v>
      </c>
    </row>
    <row r="2888" spans="5:11" x14ac:dyDescent="0.25">
      <c r="E2888" t="s">
        <v>5660</v>
      </c>
      <c r="F2888">
        <v>1521036</v>
      </c>
      <c r="G2888" s="1">
        <v>45382</v>
      </c>
      <c r="H2888" t="s">
        <v>5661</v>
      </c>
      <c r="I2888" t="s">
        <v>24</v>
      </c>
      <c r="J2888" s="1">
        <v>45292</v>
      </c>
      <c r="K2888">
        <v>131066000</v>
      </c>
    </row>
    <row r="2889" spans="5:11" x14ac:dyDescent="0.25">
      <c r="E2889" t="s">
        <v>5662</v>
      </c>
      <c r="F2889">
        <v>1521332</v>
      </c>
      <c r="G2889" s="1">
        <v>45382</v>
      </c>
      <c r="H2889" t="s">
        <v>5663</v>
      </c>
      <c r="I2889" t="s">
        <v>927</v>
      </c>
      <c r="J2889" s="1">
        <v>45292</v>
      </c>
      <c r="K2889">
        <v>218000000</v>
      </c>
    </row>
    <row r="2890" spans="5:11" x14ac:dyDescent="0.25">
      <c r="E2890" t="s">
        <v>5664</v>
      </c>
      <c r="F2890">
        <v>1521945</v>
      </c>
      <c r="G2890" s="1">
        <v>45382</v>
      </c>
      <c r="H2890" t="s">
        <v>5665</v>
      </c>
      <c r="I2890" t="s">
        <v>57</v>
      </c>
      <c r="J2890" s="1">
        <v>45292</v>
      </c>
      <c r="K2890">
        <v>-677253</v>
      </c>
    </row>
    <row r="2891" spans="5:11" x14ac:dyDescent="0.25">
      <c r="E2891" t="s">
        <v>10498</v>
      </c>
      <c r="F2891">
        <v>1521951</v>
      </c>
      <c r="G2891" s="1">
        <v>45382</v>
      </c>
      <c r="H2891" t="s">
        <v>5666</v>
      </c>
      <c r="I2891" t="s">
        <v>83</v>
      </c>
      <c r="J2891" s="1">
        <v>45292</v>
      </c>
      <c r="K2891">
        <v>8848000</v>
      </c>
    </row>
    <row r="2892" spans="5:11" x14ac:dyDescent="0.25">
      <c r="E2892" t="s">
        <v>5667</v>
      </c>
      <c r="F2892">
        <v>1522222</v>
      </c>
      <c r="G2892" s="1">
        <v>45351</v>
      </c>
      <c r="H2892" t="s">
        <v>5668</v>
      </c>
      <c r="I2892" t="s">
        <v>142</v>
      </c>
      <c r="J2892" s="1">
        <v>45261</v>
      </c>
      <c r="K2892">
        <v>-4369144</v>
      </c>
    </row>
    <row r="2893" spans="5:11" x14ac:dyDescent="0.25">
      <c r="E2893" t="s">
        <v>5669</v>
      </c>
      <c r="F2893">
        <v>1522540</v>
      </c>
      <c r="G2893" s="1">
        <v>45382</v>
      </c>
      <c r="H2893" t="s">
        <v>5670</v>
      </c>
      <c r="I2893" t="s">
        <v>36</v>
      </c>
      <c r="J2893" s="1">
        <v>45292</v>
      </c>
      <c r="K2893">
        <v>-36060000</v>
      </c>
    </row>
    <row r="2894" spans="5:11" x14ac:dyDescent="0.25">
      <c r="E2894" t="s">
        <v>5671</v>
      </c>
      <c r="F2894">
        <v>1522727</v>
      </c>
      <c r="G2894" s="1">
        <v>45382</v>
      </c>
      <c r="H2894" t="s">
        <v>5672</v>
      </c>
      <c r="I2894" t="s">
        <v>30</v>
      </c>
      <c r="J2894" s="1">
        <v>45292</v>
      </c>
      <c r="K2894">
        <v>23573000</v>
      </c>
    </row>
    <row r="2895" spans="5:11" x14ac:dyDescent="0.25">
      <c r="E2895" t="s">
        <v>5673</v>
      </c>
      <c r="F2895">
        <v>1522767</v>
      </c>
      <c r="G2895" s="1">
        <v>45382</v>
      </c>
      <c r="H2895" t="s">
        <v>5674</v>
      </c>
      <c r="I2895" t="s">
        <v>24</v>
      </c>
      <c r="J2895" s="1">
        <v>45292</v>
      </c>
      <c r="K2895">
        <v>-1298000</v>
      </c>
    </row>
    <row r="2896" spans="5:11" x14ac:dyDescent="0.25">
      <c r="E2896" t="s">
        <v>5675</v>
      </c>
      <c r="F2896">
        <v>1522860</v>
      </c>
      <c r="G2896" s="1">
        <v>45382</v>
      </c>
      <c r="H2896" t="s">
        <v>5676</v>
      </c>
      <c r="I2896" t="s">
        <v>36</v>
      </c>
      <c r="J2896" s="1">
        <v>45292</v>
      </c>
      <c r="K2896">
        <v>-1620000</v>
      </c>
    </row>
    <row r="2897" spans="5:11" x14ac:dyDescent="0.25">
      <c r="E2897" t="s">
        <v>5677</v>
      </c>
      <c r="F2897">
        <v>1524025</v>
      </c>
      <c r="G2897" s="1">
        <v>45416</v>
      </c>
      <c r="H2897" t="s">
        <v>5678</v>
      </c>
      <c r="I2897" t="s">
        <v>36</v>
      </c>
      <c r="J2897" s="1">
        <v>45326</v>
      </c>
      <c r="K2897">
        <v>-19621000</v>
      </c>
    </row>
    <row r="2898" spans="5:11" x14ac:dyDescent="0.25">
      <c r="E2898" t="s">
        <v>5679</v>
      </c>
      <c r="F2898">
        <v>1524358</v>
      </c>
      <c r="G2898" s="1">
        <v>45382</v>
      </c>
      <c r="H2898" t="s">
        <v>5680</v>
      </c>
      <c r="I2898" t="s">
        <v>33</v>
      </c>
      <c r="J2898" s="1">
        <v>45292</v>
      </c>
      <c r="K2898">
        <v>47000000</v>
      </c>
    </row>
    <row r="2899" spans="5:11" x14ac:dyDescent="0.25">
      <c r="E2899" t="s">
        <v>5681</v>
      </c>
      <c r="F2899">
        <v>1524472</v>
      </c>
      <c r="G2899" s="1">
        <v>45382</v>
      </c>
      <c r="H2899" t="s">
        <v>5682</v>
      </c>
      <c r="I2899" t="s">
        <v>899</v>
      </c>
      <c r="J2899" s="1">
        <v>45292</v>
      </c>
      <c r="K2899">
        <v>153000000</v>
      </c>
    </row>
    <row r="2900" spans="5:11" x14ac:dyDescent="0.25">
      <c r="E2900" t="s">
        <v>5683</v>
      </c>
      <c r="F2900">
        <v>1524741</v>
      </c>
      <c r="G2900" s="1">
        <v>45382</v>
      </c>
      <c r="H2900" t="s">
        <v>5684</v>
      </c>
      <c r="I2900" t="s">
        <v>30</v>
      </c>
      <c r="J2900" s="1">
        <v>45292</v>
      </c>
      <c r="K2900">
        <v>13688000</v>
      </c>
    </row>
    <row r="2901" spans="5:11" x14ac:dyDescent="0.25">
      <c r="E2901" t="s">
        <v>5685</v>
      </c>
      <c r="F2901">
        <v>1524872</v>
      </c>
      <c r="G2901" s="1">
        <v>45382</v>
      </c>
      <c r="H2901" t="s">
        <v>5686</v>
      </c>
      <c r="I2901" t="s">
        <v>64</v>
      </c>
      <c r="J2901" s="1">
        <v>45292</v>
      </c>
      <c r="K2901">
        <v>-2182710</v>
      </c>
    </row>
    <row r="2902" spans="5:11" x14ac:dyDescent="0.25">
      <c r="E2902" t="s">
        <v>5687</v>
      </c>
      <c r="F2902">
        <v>1524931</v>
      </c>
      <c r="G2902" s="1">
        <v>45382</v>
      </c>
      <c r="H2902" t="s">
        <v>5688</v>
      </c>
      <c r="I2902" t="s">
        <v>30</v>
      </c>
      <c r="J2902" s="1">
        <v>45292</v>
      </c>
      <c r="K2902">
        <v>6916000</v>
      </c>
    </row>
    <row r="2903" spans="5:11" x14ac:dyDescent="0.25">
      <c r="E2903" t="s">
        <v>5689</v>
      </c>
      <c r="F2903">
        <v>1525221</v>
      </c>
      <c r="G2903" s="1">
        <v>45382</v>
      </c>
      <c r="H2903" t="s">
        <v>5690</v>
      </c>
      <c r="I2903" t="s">
        <v>30</v>
      </c>
      <c r="J2903" s="1">
        <v>45292</v>
      </c>
      <c r="K2903">
        <v>6605000</v>
      </c>
    </row>
    <row r="2904" spans="5:11" x14ac:dyDescent="0.25">
      <c r="E2904" t="s">
        <v>5691</v>
      </c>
      <c r="F2904">
        <v>1525306</v>
      </c>
      <c r="G2904" s="1">
        <v>45382</v>
      </c>
      <c r="H2904" t="s">
        <v>5692</v>
      </c>
      <c r="I2904" t="s">
        <v>19</v>
      </c>
      <c r="J2904" s="1">
        <v>45292</v>
      </c>
      <c r="K2904">
        <v>-7400</v>
      </c>
    </row>
    <row r="2905" spans="5:11" x14ac:dyDescent="0.25">
      <c r="E2905" t="s">
        <v>5693</v>
      </c>
      <c r="F2905">
        <v>1526119</v>
      </c>
      <c r="G2905" s="1">
        <v>45382</v>
      </c>
      <c r="H2905" t="s">
        <v>5694</v>
      </c>
      <c r="I2905" t="s">
        <v>24</v>
      </c>
      <c r="J2905" s="1">
        <v>45292</v>
      </c>
      <c r="K2905">
        <v>-33863000</v>
      </c>
    </row>
    <row r="2906" spans="5:11" x14ac:dyDescent="0.25">
      <c r="E2906" t="s">
        <v>5695</v>
      </c>
      <c r="F2906">
        <v>1526243</v>
      </c>
      <c r="G2906" s="1">
        <v>45382</v>
      </c>
      <c r="H2906" t="s">
        <v>5696</v>
      </c>
      <c r="I2906" t="s">
        <v>1071</v>
      </c>
      <c r="J2906" s="1">
        <v>45292</v>
      </c>
      <c r="K2906">
        <v>-2944525</v>
      </c>
    </row>
    <row r="2907" spans="5:11" x14ac:dyDescent="0.25">
      <c r="E2907" t="s">
        <v>5697</v>
      </c>
      <c r="F2907">
        <v>1526520</v>
      </c>
      <c r="G2907" s="1">
        <v>45382</v>
      </c>
      <c r="H2907" t="s">
        <v>5698</v>
      </c>
      <c r="I2907" t="s">
        <v>24</v>
      </c>
      <c r="J2907" s="1">
        <v>45292</v>
      </c>
      <c r="K2907">
        <v>-59000000</v>
      </c>
    </row>
    <row r="2908" spans="5:11" x14ac:dyDescent="0.25">
      <c r="E2908" t="s">
        <v>5699</v>
      </c>
      <c r="F2908">
        <v>1527166</v>
      </c>
      <c r="G2908" s="1">
        <v>45382</v>
      </c>
      <c r="H2908" t="s">
        <v>5700</v>
      </c>
      <c r="I2908" t="s">
        <v>899</v>
      </c>
      <c r="J2908" s="1">
        <v>45292</v>
      </c>
      <c r="K2908">
        <v>65600000</v>
      </c>
    </row>
    <row r="2909" spans="5:11" x14ac:dyDescent="0.25">
      <c r="E2909" t="s">
        <v>5701</v>
      </c>
      <c r="F2909">
        <v>1527352</v>
      </c>
      <c r="G2909" s="1">
        <v>45382</v>
      </c>
      <c r="H2909" t="s">
        <v>5702</v>
      </c>
      <c r="I2909" t="s">
        <v>30</v>
      </c>
      <c r="J2909" s="1">
        <v>45292</v>
      </c>
      <c r="K2909">
        <v>-1041157</v>
      </c>
    </row>
    <row r="2910" spans="5:11" x14ac:dyDescent="0.25">
      <c r="E2910" t="s">
        <v>5703</v>
      </c>
      <c r="F2910">
        <v>1527469</v>
      </c>
      <c r="G2910" s="1">
        <v>45382</v>
      </c>
      <c r="H2910" t="s">
        <v>5704</v>
      </c>
      <c r="I2910" t="s">
        <v>95</v>
      </c>
      <c r="J2910" s="1">
        <v>45292</v>
      </c>
      <c r="K2910">
        <v>1192000000</v>
      </c>
    </row>
    <row r="2911" spans="5:11" x14ac:dyDescent="0.25">
      <c r="E2911" t="s">
        <v>5705</v>
      </c>
      <c r="F2911">
        <v>1527508</v>
      </c>
      <c r="G2911" s="1">
        <v>45382</v>
      </c>
      <c r="H2911" t="s">
        <v>5706</v>
      </c>
      <c r="I2911" t="s">
        <v>19</v>
      </c>
      <c r="J2911" s="1">
        <v>45292</v>
      </c>
      <c r="K2911">
        <v>9000000</v>
      </c>
    </row>
    <row r="2912" spans="5:11" x14ac:dyDescent="0.25">
      <c r="E2912" t="s">
        <v>5707</v>
      </c>
      <c r="F2912">
        <v>1527541</v>
      </c>
      <c r="G2912" s="1">
        <v>45382</v>
      </c>
      <c r="H2912" t="s">
        <v>5708</v>
      </c>
      <c r="I2912" t="s">
        <v>123</v>
      </c>
      <c r="J2912" s="1">
        <v>45292</v>
      </c>
      <c r="K2912">
        <v>-8707000</v>
      </c>
    </row>
    <row r="2913" spans="5:11" x14ac:dyDescent="0.25">
      <c r="E2913" t="s">
        <v>5709</v>
      </c>
      <c r="F2913">
        <v>1527599</v>
      </c>
      <c r="G2913" s="1">
        <v>45382</v>
      </c>
      <c r="H2913" t="s">
        <v>5710</v>
      </c>
      <c r="I2913" t="s">
        <v>24</v>
      </c>
      <c r="J2913" s="1">
        <v>45292</v>
      </c>
      <c r="K2913">
        <v>-31564000</v>
      </c>
    </row>
    <row r="2914" spans="5:11" x14ac:dyDescent="0.25">
      <c r="E2914" t="s">
        <v>5711</v>
      </c>
      <c r="F2914">
        <v>1527613</v>
      </c>
      <c r="G2914" s="1">
        <v>45382</v>
      </c>
      <c r="H2914" t="s">
        <v>5712</v>
      </c>
      <c r="I2914" t="s">
        <v>36</v>
      </c>
      <c r="J2914" s="1">
        <v>45292</v>
      </c>
      <c r="K2914">
        <v>-1653931</v>
      </c>
    </row>
    <row r="2915" spans="5:11" x14ac:dyDescent="0.25">
      <c r="E2915" t="s">
        <v>5713</v>
      </c>
      <c r="F2915">
        <v>1527702</v>
      </c>
      <c r="G2915" s="1">
        <v>45382</v>
      </c>
      <c r="H2915" t="s">
        <v>5714</v>
      </c>
      <c r="I2915" t="s">
        <v>33</v>
      </c>
      <c r="J2915" s="1">
        <v>45292</v>
      </c>
      <c r="K2915">
        <v>-580216</v>
      </c>
    </row>
    <row r="2916" spans="5:11" x14ac:dyDescent="0.25">
      <c r="E2916" t="s">
        <v>5715</v>
      </c>
      <c r="F2916">
        <v>1527728</v>
      </c>
      <c r="G2916" s="1">
        <v>45382</v>
      </c>
      <c r="H2916" t="s">
        <v>5716</v>
      </c>
      <c r="I2916" t="s">
        <v>36</v>
      </c>
      <c r="J2916" s="1">
        <v>45292</v>
      </c>
      <c r="K2916">
        <v>-51214414</v>
      </c>
    </row>
    <row r="2917" spans="5:11" x14ac:dyDescent="0.25">
      <c r="E2917" t="s">
        <v>5717</v>
      </c>
      <c r="F2917">
        <v>1527753</v>
      </c>
      <c r="G2917" s="1">
        <v>45382</v>
      </c>
      <c r="H2917" t="s">
        <v>5718</v>
      </c>
      <c r="I2917" t="s">
        <v>36</v>
      </c>
      <c r="J2917" s="1">
        <v>45292</v>
      </c>
      <c r="K2917">
        <v>-12968000</v>
      </c>
    </row>
    <row r="2918" spans="5:11" x14ac:dyDescent="0.25">
      <c r="E2918" t="s">
        <v>5719</v>
      </c>
      <c r="F2918">
        <v>1528115</v>
      </c>
      <c r="G2918" s="1">
        <v>45382</v>
      </c>
      <c r="H2918" t="s">
        <v>5720</v>
      </c>
      <c r="I2918" t="s">
        <v>36</v>
      </c>
      <c r="J2918" s="1">
        <v>45292</v>
      </c>
      <c r="K2918">
        <v>-25176000</v>
      </c>
    </row>
    <row r="2919" spans="5:11" x14ac:dyDescent="0.25">
      <c r="E2919" t="s">
        <v>5721</v>
      </c>
      <c r="F2919">
        <v>1528129</v>
      </c>
      <c r="G2919" s="1">
        <v>45382</v>
      </c>
      <c r="H2919" t="s">
        <v>5722</v>
      </c>
      <c r="I2919" t="s">
        <v>277</v>
      </c>
      <c r="J2919" s="1">
        <v>45292</v>
      </c>
      <c r="K2919">
        <v>-66131000</v>
      </c>
    </row>
    <row r="2920" spans="5:11" x14ac:dyDescent="0.25">
      <c r="E2920" t="s">
        <v>5723</v>
      </c>
      <c r="F2920">
        <v>1528287</v>
      </c>
      <c r="G2920" s="1">
        <v>45382</v>
      </c>
      <c r="H2920" t="s">
        <v>5724</v>
      </c>
      <c r="I2920" t="s">
        <v>36</v>
      </c>
      <c r="J2920" s="1">
        <v>45292</v>
      </c>
      <c r="K2920">
        <v>-8925000</v>
      </c>
    </row>
    <row r="2921" spans="5:11" x14ac:dyDescent="0.25">
      <c r="E2921" t="s">
        <v>5725</v>
      </c>
      <c r="F2921">
        <v>1528356</v>
      </c>
      <c r="G2921" s="1">
        <v>45382</v>
      </c>
      <c r="H2921" t="s">
        <v>5726</v>
      </c>
      <c r="I2921" t="s">
        <v>46</v>
      </c>
      <c r="J2921" s="1">
        <v>45292</v>
      </c>
      <c r="K2921">
        <v>8123000</v>
      </c>
    </row>
    <row r="2922" spans="5:11" x14ac:dyDescent="0.25">
      <c r="E2922" t="s">
        <v>5727</v>
      </c>
      <c r="F2922">
        <v>1528849</v>
      </c>
      <c r="G2922" s="1">
        <v>45416</v>
      </c>
      <c r="H2922" t="s">
        <v>5728</v>
      </c>
      <c r="I2922" t="s">
        <v>36</v>
      </c>
      <c r="J2922" s="1">
        <v>45326</v>
      </c>
      <c r="K2922">
        <v>-3625000</v>
      </c>
    </row>
    <row r="2923" spans="5:11" x14ac:dyDescent="0.25">
      <c r="E2923" t="s">
        <v>5729</v>
      </c>
      <c r="F2923">
        <v>1528985</v>
      </c>
      <c r="G2923" s="1">
        <v>45382</v>
      </c>
      <c r="H2923" t="s">
        <v>5730</v>
      </c>
      <c r="I2923" t="s">
        <v>19</v>
      </c>
      <c r="J2923" s="1">
        <v>45292</v>
      </c>
      <c r="K2923">
        <v>-3338000</v>
      </c>
    </row>
    <row r="2924" spans="5:11" x14ac:dyDescent="0.25">
      <c r="E2924" t="s">
        <v>5731</v>
      </c>
      <c r="F2924">
        <v>1529113</v>
      </c>
      <c r="G2924" s="1">
        <v>45382</v>
      </c>
      <c r="H2924" t="s">
        <v>5732</v>
      </c>
      <c r="I2924" t="s">
        <v>92</v>
      </c>
      <c r="J2924" s="1">
        <v>45292</v>
      </c>
      <c r="K2924">
        <v>-2602000</v>
      </c>
    </row>
    <row r="2925" spans="5:11" x14ac:dyDescent="0.25">
      <c r="E2925" t="s">
        <v>5733</v>
      </c>
      <c r="F2925">
        <v>1529274</v>
      </c>
      <c r="G2925" s="1">
        <v>45382</v>
      </c>
      <c r="H2925" t="s">
        <v>5734</v>
      </c>
      <c r="I2925" t="s">
        <v>30</v>
      </c>
      <c r="J2925" s="1">
        <v>45292</v>
      </c>
      <c r="K2925">
        <v>-11433000</v>
      </c>
    </row>
    <row r="2926" spans="5:11" x14ac:dyDescent="0.25">
      <c r="E2926" t="s">
        <v>5735</v>
      </c>
      <c r="F2926">
        <v>1529377</v>
      </c>
      <c r="G2926" s="1">
        <v>45382</v>
      </c>
      <c r="H2926" t="s">
        <v>5736</v>
      </c>
      <c r="I2926" t="s">
        <v>57</v>
      </c>
      <c r="J2926" s="1">
        <v>45292</v>
      </c>
      <c r="K2926">
        <v>-12323000</v>
      </c>
    </row>
    <row r="2927" spans="5:11" x14ac:dyDescent="0.25">
      <c r="E2927" t="s">
        <v>5737</v>
      </c>
      <c r="F2927">
        <v>1529628</v>
      </c>
      <c r="G2927" s="1">
        <v>45382</v>
      </c>
      <c r="H2927" t="s">
        <v>5738</v>
      </c>
      <c r="I2927" t="s">
        <v>39</v>
      </c>
      <c r="J2927" s="1">
        <v>45292</v>
      </c>
      <c r="K2927">
        <v>-216000</v>
      </c>
    </row>
    <row r="2928" spans="5:11" x14ac:dyDescent="0.25">
      <c r="E2928" t="s">
        <v>5739</v>
      </c>
      <c r="F2928">
        <v>1529864</v>
      </c>
      <c r="G2928" s="1">
        <v>45382</v>
      </c>
      <c r="H2928" t="s">
        <v>5740</v>
      </c>
      <c r="I2928" t="s">
        <v>19</v>
      </c>
      <c r="J2928" s="1">
        <v>45292</v>
      </c>
      <c r="K2928">
        <v>48428000</v>
      </c>
    </row>
    <row r="2929" spans="5:11" x14ac:dyDescent="0.25">
      <c r="E2929" t="s">
        <v>5741</v>
      </c>
      <c r="F2929">
        <v>1530163</v>
      </c>
      <c r="G2929" s="1">
        <v>45382</v>
      </c>
      <c r="H2929" t="s">
        <v>5742</v>
      </c>
      <c r="I2929" t="s">
        <v>57</v>
      </c>
      <c r="J2929" s="1">
        <v>45292</v>
      </c>
      <c r="K2929">
        <v>-1000000</v>
      </c>
    </row>
    <row r="2930" spans="5:11" x14ac:dyDescent="0.25">
      <c r="E2930" t="s">
        <v>5743</v>
      </c>
      <c r="F2930">
        <v>1530185</v>
      </c>
      <c r="G2930" s="1">
        <v>45382</v>
      </c>
      <c r="H2930" t="s">
        <v>5744</v>
      </c>
      <c r="I2930" t="s">
        <v>19</v>
      </c>
      <c r="J2930" s="1">
        <v>45292</v>
      </c>
      <c r="K2930">
        <v>19697</v>
      </c>
    </row>
    <row r="2931" spans="5:11" x14ac:dyDescent="0.25">
      <c r="E2931" t="s">
        <v>5745</v>
      </c>
      <c r="F2931">
        <v>1530249</v>
      </c>
      <c r="G2931" s="1">
        <v>45382</v>
      </c>
      <c r="H2931" t="s">
        <v>5746</v>
      </c>
      <c r="I2931" t="s">
        <v>504</v>
      </c>
      <c r="J2931" s="1">
        <v>45292</v>
      </c>
      <c r="K2931">
        <v>8397000</v>
      </c>
    </row>
    <row r="2932" spans="5:11" x14ac:dyDescent="0.25">
      <c r="E2932" t="s">
        <v>5747</v>
      </c>
      <c r="F2932">
        <v>1530425</v>
      </c>
      <c r="G2932" s="1">
        <v>45382</v>
      </c>
      <c r="H2932" t="s">
        <v>5748</v>
      </c>
      <c r="I2932" t="s">
        <v>504</v>
      </c>
      <c r="J2932" s="1">
        <v>45292</v>
      </c>
      <c r="K2932">
        <v>-7577</v>
      </c>
    </row>
    <row r="2933" spans="5:11" x14ac:dyDescent="0.25">
      <c r="E2933" t="s">
        <v>5749</v>
      </c>
      <c r="F2933">
        <v>1530746</v>
      </c>
      <c r="G2933" s="1">
        <v>45382</v>
      </c>
      <c r="H2933" t="s">
        <v>5750</v>
      </c>
      <c r="I2933" t="s">
        <v>33</v>
      </c>
      <c r="J2933" s="1">
        <v>45292</v>
      </c>
      <c r="K2933">
        <v>-1084992</v>
      </c>
    </row>
    <row r="2934" spans="5:11" x14ac:dyDescent="0.25">
      <c r="E2934" t="s">
        <v>5751</v>
      </c>
      <c r="F2934">
        <v>1530766</v>
      </c>
      <c r="G2934" s="1">
        <v>45382</v>
      </c>
      <c r="H2934" t="s">
        <v>5752</v>
      </c>
      <c r="I2934" t="s">
        <v>27</v>
      </c>
      <c r="J2934" s="1">
        <v>45292</v>
      </c>
      <c r="K2934">
        <v>-3402000</v>
      </c>
    </row>
    <row r="2935" spans="5:11" x14ac:dyDescent="0.25">
      <c r="E2935" t="s">
        <v>5753</v>
      </c>
      <c r="F2935">
        <v>1530804</v>
      </c>
      <c r="G2935" s="1">
        <v>45382</v>
      </c>
      <c r="H2935" t="s">
        <v>5754</v>
      </c>
      <c r="I2935" t="s">
        <v>27</v>
      </c>
      <c r="J2935" s="1">
        <v>45292</v>
      </c>
      <c r="K2935">
        <v>-9000000</v>
      </c>
    </row>
    <row r="2936" spans="5:11" x14ac:dyDescent="0.25">
      <c r="E2936" t="s">
        <v>5755</v>
      </c>
      <c r="F2936">
        <v>1530950</v>
      </c>
      <c r="G2936" s="1">
        <v>45382</v>
      </c>
      <c r="H2936" t="s">
        <v>5756</v>
      </c>
      <c r="I2936" t="s">
        <v>137</v>
      </c>
      <c r="J2936" s="1">
        <v>45292</v>
      </c>
      <c r="K2936">
        <v>97200000</v>
      </c>
    </row>
    <row r="2937" spans="5:11" x14ac:dyDescent="0.25">
      <c r="E2937" t="s">
        <v>5757</v>
      </c>
      <c r="F2937">
        <v>1530979</v>
      </c>
      <c r="G2937" s="1">
        <v>45382</v>
      </c>
      <c r="H2937" t="s">
        <v>5758</v>
      </c>
      <c r="I2937" t="s">
        <v>36</v>
      </c>
      <c r="J2937" s="1">
        <v>45292</v>
      </c>
      <c r="K2937">
        <v>-1403000</v>
      </c>
    </row>
    <row r="2938" spans="5:11" x14ac:dyDescent="0.25">
      <c r="E2938" t="s">
        <v>5759</v>
      </c>
      <c r="F2938">
        <v>1531031</v>
      </c>
      <c r="G2938" s="1">
        <v>45382</v>
      </c>
      <c r="H2938" t="s">
        <v>5760</v>
      </c>
      <c r="I2938" t="s">
        <v>57</v>
      </c>
      <c r="J2938" s="1">
        <v>45292</v>
      </c>
      <c r="K2938">
        <v>10058000</v>
      </c>
    </row>
    <row r="2939" spans="5:11" x14ac:dyDescent="0.25">
      <c r="E2939" t="s">
        <v>10499</v>
      </c>
      <c r="F2939">
        <v>1531048</v>
      </c>
      <c r="G2939" s="1">
        <v>45382</v>
      </c>
      <c r="H2939" t="s">
        <v>5761</v>
      </c>
      <c r="I2939" t="s">
        <v>36</v>
      </c>
      <c r="J2939" s="1">
        <v>45292</v>
      </c>
      <c r="K2939">
        <v>-24202000</v>
      </c>
    </row>
    <row r="2940" spans="5:11" x14ac:dyDescent="0.25">
      <c r="E2940" t="s">
        <v>10500</v>
      </c>
      <c r="F2940">
        <v>1531152</v>
      </c>
      <c r="G2940" s="1">
        <v>45416</v>
      </c>
      <c r="H2940" t="s">
        <v>5762</v>
      </c>
      <c r="I2940" t="s">
        <v>24</v>
      </c>
      <c r="J2940" s="1">
        <v>45326</v>
      </c>
      <c r="K2940">
        <v>111019000</v>
      </c>
    </row>
    <row r="2941" spans="5:11" x14ac:dyDescent="0.25">
      <c r="E2941" t="s">
        <v>5763</v>
      </c>
      <c r="F2941">
        <v>1531177</v>
      </c>
      <c r="G2941" s="1">
        <v>45382</v>
      </c>
      <c r="H2941" t="s">
        <v>5764</v>
      </c>
      <c r="I2941" t="s">
        <v>36</v>
      </c>
      <c r="J2941" s="1">
        <v>45292</v>
      </c>
      <c r="K2941">
        <v>-16266000</v>
      </c>
    </row>
    <row r="2942" spans="5:11" x14ac:dyDescent="0.25">
      <c r="E2942" t="s">
        <v>5765</v>
      </c>
      <c r="F2942">
        <v>1531978</v>
      </c>
      <c r="G2942" s="1">
        <v>45382</v>
      </c>
      <c r="H2942" t="s">
        <v>5766</v>
      </c>
      <c r="I2942" t="s">
        <v>92</v>
      </c>
      <c r="J2942" s="1">
        <v>45292</v>
      </c>
      <c r="K2942">
        <v>-17399000</v>
      </c>
    </row>
    <row r="2943" spans="5:11" x14ac:dyDescent="0.25">
      <c r="E2943" t="s">
        <v>5767</v>
      </c>
      <c r="F2943">
        <v>1532286</v>
      </c>
      <c r="G2943" s="1">
        <v>45382</v>
      </c>
      <c r="H2943" t="s">
        <v>5768</v>
      </c>
      <c r="I2943" t="s">
        <v>30</v>
      </c>
      <c r="J2943" s="1">
        <v>45292</v>
      </c>
      <c r="K2943">
        <v>-8055000</v>
      </c>
    </row>
    <row r="2944" spans="5:11" x14ac:dyDescent="0.25">
      <c r="E2944" t="s">
        <v>5769</v>
      </c>
      <c r="F2944">
        <v>1532383</v>
      </c>
      <c r="G2944" s="1">
        <v>45382</v>
      </c>
      <c r="H2944" t="s">
        <v>5770</v>
      </c>
      <c r="I2944" t="s">
        <v>30</v>
      </c>
      <c r="J2944" s="1">
        <v>45292</v>
      </c>
      <c r="K2944">
        <v>-9539</v>
      </c>
    </row>
    <row r="2945" spans="5:11" x14ac:dyDescent="0.25">
      <c r="E2945" t="s">
        <v>10501</v>
      </c>
      <c r="F2945">
        <v>1532619</v>
      </c>
      <c r="G2945" s="1">
        <v>45382</v>
      </c>
      <c r="H2945" t="s">
        <v>5771</v>
      </c>
      <c r="I2945" t="s">
        <v>57</v>
      </c>
      <c r="J2945" s="1">
        <v>45292</v>
      </c>
      <c r="K2945">
        <v>-2076998</v>
      </c>
    </row>
    <row r="2946" spans="5:11" x14ac:dyDescent="0.25">
      <c r="E2946" t="s">
        <v>5772</v>
      </c>
      <c r="F2946">
        <v>1532961</v>
      </c>
      <c r="G2946" s="1">
        <v>45381</v>
      </c>
      <c r="H2946" t="s">
        <v>5773</v>
      </c>
      <c r="I2946" t="s">
        <v>33</v>
      </c>
      <c r="J2946" s="1">
        <v>45291</v>
      </c>
      <c r="K2946">
        <v>408000</v>
      </c>
    </row>
    <row r="2947" spans="5:11" x14ac:dyDescent="0.25">
      <c r="E2947" t="s">
        <v>5774</v>
      </c>
      <c r="F2947">
        <v>1533030</v>
      </c>
      <c r="G2947" s="1">
        <v>45382</v>
      </c>
      <c r="H2947" t="s">
        <v>5775</v>
      </c>
      <c r="I2947" t="s">
        <v>92</v>
      </c>
      <c r="J2947" s="1">
        <v>45292</v>
      </c>
      <c r="K2947">
        <v>-2554469</v>
      </c>
    </row>
    <row r="2948" spans="5:11" x14ac:dyDescent="0.25">
      <c r="E2948" t="s">
        <v>5776</v>
      </c>
      <c r="F2948">
        <v>1533040</v>
      </c>
      <c r="G2948" s="1">
        <v>45382</v>
      </c>
      <c r="H2948" t="s">
        <v>5777</v>
      </c>
      <c r="I2948" t="s">
        <v>24</v>
      </c>
      <c r="J2948" s="1">
        <v>45292</v>
      </c>
      <c r="K2948">
        <v>-2154000</v>
      </c>
    </row>
    <row r="2949" spans="5:11" x14ac:dyDescent="0.25">
      <c r="E2949" t="s">
        <v>10502</v>
      </c>
      <c r="F2949">
        <v>1533743</v>
      </c>
      <c r="G2949" s="1">
        <v>45382</v>
      </c>
      <c r="H2949" t="s">
        <v>5778</v>
      </c>
      <c r="I2949" t="s">
        <v>299</v>
      </c>
      <c r="J2949" s="1">
        <v>45292</v>
      </c>
      <c r="K2949">
        <v>-2726381</v>
      </c>
    </row>
    <row r="2950" spans="5:11" x14ac:dyDescent="0.25">
      <c r="E2950" t="s">
        <v>5779</v>
      </c>
      <c r="F2950">
        <v>1533924</v>
      </c>
      <c r="G2950" s="1">
        <v>45382</v>
      </c>
      <c r="H2950" t="s">
        <v>5780</v>
      </c>
      <c r="I2950" t="s">
        <v>30</v>
      </c>
      <c r="J2950" s="1">
        <v>45292</v>
      </c>
      <c r="K2950">
        <v>-9396000</v>
      </c>
    </row>
    <row r="2951" spans="5:11" x14ac:dyDescent="0.25">
      <c r="E2951" t="s">
        <v>5781</v>
      </c>
      <c r="F2951">
        <v>1533998</v>
      </c>
      <c r="G2951" s="1">
        <v>45382</v>
      </c>
      <c r="H2951" t="s">
        <v>5782</v>
      </c>
      <c r="I2951" t="s">
        <v>57</v>
      </c>
      <c r="J2951" s="1">
        <v>45292</v>
      </c>
      <c r="K2951">
        <v>-7175000</v>
      </c>
    </row>
    <row r="2952" spans="5:11" x14ac:dyDescent="0.25">
      <c r="E2952" t="s">
        <v>5783</v>
      </c>
      <c r="F2952">
        <v>1534120</v>
      </c>
      <c r="G2952" s="1">
        <v>45382</v>
      </c>
      <c r="H2952" t="s">
        <v>5784</v>
      </c>
      <c r="I2952" t="s">
        <v>299</v>
      </c>
      <c r="J2952" s="1">
        <v>45292</v>
      </c>
      <c r="K2952">
        <v>-121290000</v>
      </c>
    </row>
    <row r="2953" spans="5:11" x14ac:dyDescent="0.25">
      <c r="E2953" t="s">
        <v>5785</v>
      </c>
      <c r="F2953">
        <v>1534133</v>
      </c>
      <c r="G2953" s="1">
        <v>45382</v>
      </c>
      <c r="H2953" t="s">
        <v>5786</v>
      </c>
      <c r="I2953" t="s">
        <v>36</v>
      </c>
      <c r="J2953" s="1">
        <v>45292</v>
      </c>
      <c r="K2953">
        <v>130000</v>
      </c>
    </row>
    <row r="2954" spans="5:11" x14ac:dyDescent="0.25">
      <c r="E2954" t="s">
        <v>5787</v>
      </c>
      <c r="F2954">
        <v>1534154</v>
      </c>
      <c r="G2954" s="1">
        <v>45382</v>
      </c>
      <c r="H2954" t="s">
        <v>5788</v>
      </c>
      <c r="I2954" t="s">
        <v>92</v>
      </c>
      <c r="J2954" s="1">
        <v>45292</v>
      </c>
      <c r="K2954">
        <v>-3057577</v>
      </c>
    </row>
    <row r="2955" spans="5:11" x14ac:dyDescent="0.25">
      <c r="E2955" t="s">
        <v>5789</v>
      </c>
      <c r="F2955">
        <v>1534248</v>
      </c>
      <c r="G2955" s="1">
        <v>45382</v>
      </c>
      <c r="H2955" t="s">
        <v>5790</v>
      </c>
      <c r="I2955" t="s">
        <v>1511</v>
      </c>
      <c r="J2955" s="1">
        <v>45292</v>
      </c>
      <c r="K2955">
        <v>-3868000</v>
      </c>
    </row>
    <row r="2956" spans="5:11" x14ac:dyDescent="0.25">
      <c r="E2956" t="s">
        <v>5791</v>
      </c>
      <c r="F2956">
        <v>1534254</v>
      </c>
      <c r="G2956" s="1">
        <v>45382</v>
      </c>
      <c r="H2956" t="s">
        <v>5792</v>
      </c>
      <c r="I2956" t="s">
        <v>57</v>
      </c>
      <c r="J2956" s="1">
        <v>45292</v>
      </c>
      <c r="K2956">
        <v>6445000</v>
      </c>
    </row>
    <row r="2957" spans="5:11" x14ac:dyDescent="0.25">
      <c r="E2957" t="s">
        <v>5793</v>
      </c>
      <c r="F2957">
        <v>1534504</v>
      </c>
      <c r="G2957" s="1">
        <v>45382</v>
      </c>
      <c r="H2957" t="s">
        <v>5794</v>
      </c>
      <c r="I2957" t="s">
        <v>46</v>
      </c>
      <c r="J2957" s="1">
        <v>45292</v>
      </c>
      <c r="K2957">
        <v>106600000</v>
      </c>
    </row>
    <row r="2958" spans="5:11" x14ac:dyDescent="0.25">
      <c r="E2958" t="s">
        <v>5795</v>
      </c>
      <c r="F2958">
        <v>1534525</v>
      </c>
      <c r="G2958" s="1">
        <v>45382</v>
      </c>
      <c r="H2958" t="s">
        <v>5796</v>
      </c>
      <c r="I2958" t="s">
        <v>24</v>
      </c>
      <c r="J2958" s="1">
        <v>45292</v>
      </c>
      <c r="K2958">
        <v>-1195113</v>
      </c>
    </row>
    <row r="2959" spans="5:11" x14ac:dyDescent="0.25">
      <c r="E2959" t="s">
        <v>5797</v>
      </c>
      <c r="F2959">
        <v>1534675</v>
      </c>
      <c r="G2959" s="1">
        <v>45382</v>
      </c>
      <c r="H2959" t="s">
        <v>5798</v>
      </c>
      <c r="I2959" t="s">
        <v>33</v>
      </c>
      <c r="J2959" s="1">
        <v>45292</v>
      </c>
      <c r="K2959">
        <v>29730000</v>
      </c>
    </row>
    <row r="2960" spans="5:11" x14ac:dyDescent="0.25">
      <c r="E2960" t="s">
        <v>5799</v>
      </c>
      <c r="F2960">
        <v>1534701</v>
      </c>
      <c r="G2960" s="1">
        <v>45382</v>
      </c>
      <c r="H2960" t="s">
        <v>5800</v>
      </c>
      <c r="I2960" t="s">
        <v>30</v>
      </c>
      <c r="J2960" s="1">
        <v>45292</v>
      </c>
      <c r="K2960">
        <v>748000000</v>
      </c>
    </row>
    <row r="2961" spans="5:11" x14ac:dyDescent="0.25">
      <c r="E2961" t="s">
        <v>5801</v>
      </c>
      <c r="F2961">
        <v>1534708</v>
      </c>
      <c r="G2961" s="1">
        <v>45382</v>
      </c>
      <c r="H2961" t="s">
        <v>5802</v>
      </c>
      <c r="I2961" t="s">
        <v>963</v>
      </c>
      <c r="J2961" s="1">
        <v>45292</v>
      </c>
      <c r="K2961">
        <v>-1293000</v>
      </c>
    </row>
    <row r="2962" spans="5:11" x14ac:dyDescent="0.25">
      <c r="E2962" t="s">
        <v>5803</v>
      </c>
      <c r="F2962">
        <v>1534969</v>
      </c>
      <c r="G2962" s="1">
        <v>45382</v>
      </c>
      <c r="H2962" t="s">
        <v>5804</v>
      </c>
      <c r="I2962" t="s">
        <v>406</v>
      </c>
      <c r="J2962" s="1">
        <v>45292</v>
      </c>
      <c r="K2962">
        <v>-8097000</v>
      </c>
    </row>
    <row r="2963" spans="5:11" x14ac:dyDescent="0.25">
      <c r="E2963" t="s">
        <v>5805</v>
      </c>
      <c r="F2963">
        <v>1535079</v>
      </c>
      <c r="G2963" s="1">
        <v>45382</v>
      </c>
      <c r="H2963" t="s">
        <v>5806</v>
      </c>
      <c r="I2963" t="s">
        <v>1071</v>
      </c>
      <c r="J2963" s="1">
        <v>45292</v>
      </c>
      <c r="K2963">
        <v>-10113</v>
      </c>
    </row>
    <row r="2964" spans="5:11" x14ac:dyDescent="0.25">
      <c r="E2964" t="s">
        <v>5807</v>
      </c>
      <c r="F2964">
        <v>1535527</v>
      </c>
      <c r="G2964" s="1">
        <v>45412</v>
      </c>
      <c r="H2964" t="s">
        <v>5808</v>
      </c>
      <c r="I2964" t="s">
        <v>30</v>
      </c>
      <c r="J2964" s="1">
        <v>45323</v>
      </c>
      <c r="K2964">
        <v>42820000</v>
      </c>
    </row>
    <row r="2965" spans="5:11" x14ac:dyDescent="0.25">
      <c r="E2965" t="s">
        <v>5809</v>
      </c>
      <c r="F2965">
        <v>1535778</v>
      </c>
      <c r="G2965" s="1">
        <v>45382</v>
      </c>
      <c r="H2965" t="s">
        <v>5810</v>
      </c>
      <c r="I2965" t="s">
        <v>30</v>
      </c>
      <c r="J2965" s="1">
        <v>45292</v>
      </c>
      <c r="K2965">
        <v>10589000</v>
      </c>
    </row>
    <row r="2966" spans="5:11" x14ac:dyDescent="0.25">
      <c r="E2966" t="s">
        <v>5811</v>
      </c>
      <c r="F2966">
        <v>1535929</v>
      </c>
      <c r="G2966" s="1">
        <v>45382</v>
      </c>
      <c r="H2966" t="s">
        <v>5812</v>
      </c>
      <c r="I2966" t="s">
        <v>57</v>
      </c>
      <c r="J2966" s="1">
        <v>45292</v>
      </c>
      <c r="K2966">
        <v>251000000</v>
      </c>
    </row>
    <row r="2967" spans="5:11" x14ac:dyDescent="0.25">
      <c r="E2967" t="s">
        <v>5813</v>
      </c>
      <c r="F2967">
        <v>1535955</v>
      </c>
      <c r="G2967" s="1">
        <v>45382</v>
      </c>
      <c r="H2967" t="s">
        <v>5814</v>
      </c>
      <c r="I2967" t="s">
        <v>406</v>
      </c>
      <c r="J2967" s="1">
        <v>45292</v>
      </c>
      <c r="K2967">
        <v>3513621</v>
      </c>
    </row>
    <row r="2968" spans="5:11" x14ac:dyDescent="0.25">
      <c r="E2968" t="s">
        <v>5815</v>
      </c>
      <c r="F2968">
        <v>1536089</v>
      </c>
      <c r="G2968" s="1">
        <v>45382</v>
      </c>
      <c r="H2968" t="s">
        <v>5816</v>
      </c>
      <c r="I2968" t="s">
        <v>92</v>
      </c>
      <c r="J2968" s="1">
        <v>45292</v>
      </c>
      <c r="K2968">
        <v>-70511</v>
      </c>
    </row>
    <row r="2969" spans="5:11" x14ac:dyDescent="0.25">
      <c r="E2969" t="s">
        <v>5817</v>
      </c>
      <c r="F2969">
        <v>1536394</v>
      </c>
      <c r="G2969" s="1">
        <v>45382</v>
      </c>
      <c r="H2969" t="s">
        <v>5818</v>
      </c>
      <c r="I2969" t="s">
        <v>60</v>
      </c>
      <c r="J2969" s="1">
        <v>45292</v>
      </c>
      <c r="K2969">
        <v>-438954</v>
      </c>
    </row>
    <row r="2970" spans="5:11" x14ac:dyDescent="0.25">
      <c r="E2970" t="s">
        <v>5819</v>
      </c>
      <c r="F2970">
        <v>1537028</v>
      </c>
      <c r="G2970" s="1">
        <v>45382</v>
      </c>
      <c r="H2970" t="s">
        <v>5820</v>
      </c>
      <c r="I2970" t="s">
        <v>30</v>
      </c>
      <c r="J2970" s="1">
        <v>45292</v>
      </c>
      <c r="K2970">
        <v>-8986000</v>
      </c>
    </row>
    <row r="2971" spans="5:11" x14ac:dyDescent="0.25">
      <c r="E2971" t="s">
        <v>5821</v>
      </c>
      <c r="F2971">
        <v>1537054</v>
      </c>
      <c r="G2971" s="1">
        <v>45382</v>
      </c>
      <c r="H2971" t="s">
        <v>5822</v>
      </c>
      <c r="I2971" t="s">
        <v>1792</v>
      </c>
      <c r="J2971" s="1">
        <v>45292</v>
      </c>
      <c r="K2971">
        <v>30490000</v>
      </c>
    </row>
    <row r="2972" spans="5:11" x14ac:dyDescent="0.25">
      <c r="E2972" t="s">
        <v>5823</v>
      </c>
      <c r="F2972">
        <v>1537435</v>
      </c>
      <c r="G2972" s="1">
        <v>45382</v>
      </c>
      <c r="H2972" t="s">
        <v>5824</v>
      </c>
      <c r="I2972" t="s">
        <v>24</v>
      </c>
      <c r="J2972" s="1">
        <v>45292</v>
      </c>
      <c r="K2972">
        <v>-1104967</v>
      </c>
    </row>
    <row r="2973" spans="5:11" x14ac:dyDescent="0.25">
      <c r="E2973" t="s">
        <v>5825</v>
      </c>
      <c r="F2973">
        <v>1537561</v>
      </c>
      <c r="G2973" s="1">
        <v>45382</v>
      </c>
      <c r="H2973" t="s">
        <v>5826</v>
      </c>
      <c r="I2973" t="s">
        <v>24</v>
      </c>
      <c r="J2973" s="1">
        <v>45292</v>
      </c>
      <c r="K2973">
        <v>-1469139</v>
      </c>
    </row>
    <row r="2974" spans="5:11" x14ac:dyDescent="0.25">
      <c r="E2974" t="s">
        <v>5827</v>
      </c>
      <c r="F2974">
        <v>1538210</v>
      </c>
      <c r="G2974" s="1">
        <v>45382</v>
      </c>
      <c r="H2974" t="s">
        <v>5828</v>
      </c>
      <c r="I2974" t="s">
        <v>299</v>
      </c>
      <c r="J2974" s="1">
        <v>45292</v>
      </c>
      <c r="K2974">
        <v>-3077273</v>
      </c>
    </row>
    <row r="2975" spans="5:11" x14ac:dyDescent="0.25">
      <c r="E2975" t="s">
        <v>5829</v>
      </c>
      <c r="F2975">
        <v>1538263</v>
      </c>
      <c r="G2975" s="1">
        <v>45382</v>
      </c>
      <c r="H2975" t="s">
        <v>5830</v>
      </c>
      <c r="I2975" t="s">
        <v>172</v>
      </c>
      <c r="J2975" s="1">
        <v>45292</v>
      </c>
      <c r="K2975">
        <v>15067000</v>
      </c>
    </row>
    <row r="2976" spans="5:11" x14ac:dyDescent="0.25">
      <c r="E2976" t="s">
        <v>5831</v>
      </c>
      <c r="F2976">
        <v>1538379</v>
      </c>
      <c r="G2976" s="1">
        <v>45382</v>
      </c>
      <c r="H2976" t="s">
        <v>5832</v>
      </c>
      <c r="I2976" t="s">
        <v>92</v>
      </c>
      <c r="J2976" s="1">
        <v>45292</v>
      </c>
      <c r="K2976">
        <v>9297000</v>
      </c>
    </row>
    <row r="2977" spans="5:11" x14ac:dyDescent="0.25">
      <c r="E2977" t="s">
        <v>5833</v>
      </c>
      <c r="F2977">
        <v>1538716</v>
      </c>
      <c r="G2977" s="1">
        <v>45382</v>
      </c>
      <c r="H2977" t="s">
        <v>5834</v>
      </c>
      <c r="I2977" t="s">
        <v>36</v>
      </c>
      <c r="J2977" s="1">
        <v>45292</v>
      </c>
      <c r="K2977">
        <v>-26439000</v>
      </c>
    </row>
    <row r="2978" spans="5:11" x14ac:dyDescent="0.25">
      <c r="E2978" t="s">
        <v>5835</v>
      </c>
      <c r="F2978">
        <v>1538990</v>
      </c>
      <c r="G2978" s="1">
        <v>45382</v>
      </c>
      <c r="H2978" t="s">
        <v>5836</v>
      </c>
      <c r="I2978" t="s">
        <v>113</v>
      </c>
      <c r="J2978" s="1">
        <v>45292</v>
      </c>
      <c r="K2978">
        <v>20576000</v>
      </c>
    </row>
    <row r="2979" spans="5:11" x14ac:dyDescent="0.25">
      <c r="E2979" t="s">
        <v>5837</v>
      </c>
      <c r="F2979">
        <v>1539029</v>
      </c>
      <c r="G2979" s="1">
        <v>45382</v>
      </c>
      <c r="H2979" t="s">
        <v>5838</v>
      </c>
      <c r="I2979" t="s">
        <v>64</v>
      </c>
      <c r="J2979" s="1">
        <v>45292</v>
      </c>
      <c r="K2979">
        <v>-11763000</v>
      </c>
    </row>
    <row r="2980" spans="5:11" x14ac:dyDescent="0.25">
      <c r="E2980" t="s">
        <v>5839</v>
      </c>
      <c r="F2980">
        <v>1539638</v>
      </c>
      <c r="G2980" s="1">
        <v>45382</v>
      </c>
      <c r="H2980" t="s">
        <v>5840</v>
      </c>
      <c r="I2980" t="s">
        <v>30</v>
      </c>
      <c r="J2980" s="1">
        <v>45292</v>
      </c>
      <c r="K2980">
        <v>4158000</v>
      </c>
    </row>
    <row r="2981" spans="5:11" x14ac:dyDescent="0.25">
      <c r="E2981" t="s">
        <v>10503</v>
      </c>
      <c r="F2981">
        <v>1539680</v>
      </c>
      <c r="G2981" s="1">
        <v>45412</v>
      </c>
      <c r="H2981" t="s">
        <v>10504</v>
      </c>
      <c r="I2981" t="s">
        <v>33</v>
      </c>
      <c r="J2981" s="1">
        <v>45323</v>
      </c>
      <c r="K2981">
        <v>-504467</v>
      </c>
    </row>
    <row r="2982" spans="5:11" x14ac:dyDescent="0.25">
      <c r="E2982" t="s">
        <v>5841</v>
      </c>
      <c r="F2982">
        <v>1539838</v>
      </c>
      <c r="G2982" s="1">
        <v>45382</v>
      </c>
      <c r="H2982" t="s">
        <v>5842</v>
      </c>
      <c r="I2982" t="s">
        <v>30</v>
      </c>
      <c r="J2982" s="1">
        <v>45292</v>
      </c>
      <c r="K2982">
        <v>768000000</v>
      </c>
    </row>
    <row r="2983" spans="5:11" x14ac:dyDescent="0.25">
      <c r="E2983" t="s">
        <v>5843</v>
      </c>
      <c r="F2983">
        <v>1539850</v>
      </c>
      <c r="G2983" s="1">
        <v>45382</v>
      </c>
      <c r="H2983" t="s">
        <v>5844</v>
      </c>
      <c r="I2983" t="s">
        <v>36</v>
      </c>
      <c r="J2983" s="1">
        <v>45292</v>
      </c>
      <c r="K2983">
        <v>-4462678</v>
      </c>
    </row>
    <row r="2984" spans="5:11" x14ac:dyDescent="0.25">
      <c r="E2984" t="s">
        <v>5845</v>
      </c>
      <c r="F2984">
        <v>1540159</v>
      </c>
      <c r="G2984" s="1">
        <v>45382</v>
      </c>
      <c r="H2984" t="s">
        <v>5846</v>
      </c>
      <c r="I2984" t="s">
        <v>912</v>
      </c>
      <c r="J2984" s="1">
        <v>45292</v>
      </c>
      <c r="K2984">
        <v>-1861331</v>
      </c>
    </row>
    <row r="2985" spans="5:11" x14ac:dyDescent="0.25">
      <c r="E2985" t="s">
        <v>5847</v>
      </c>
      <c r="F2985">
        <v>1540684</v>
      </c>
      <c r="G2985" s="1">
        <v>45382</v>
      </c>
      <c r="H2985" t="s">
        <v>5848</v>
      </c>
      <c r="I2985" t="s">
        <v>5849</v>
      </c>
      <c r="J2985" s="1">
        <v>45292</v>
      </c>
      <c r="K2985">
        <v>-12963467</v>
      </c>
    </row>
    <row r="2986" spans="5:11" x14ac:dyDescent="0.25">
      <c r="E2986" t="s">
        <v>5850</v>
      </c>
      <c r="F2986">
        <v>1541119</v>
      </c>
      <c r="G2986" s="1">
        <v>45382</v>
      </c>
      <c r="H2986" t="s">
        <v>5851</v>
      </c>
      <c r="I2986" t="s">
        <v>504</v>
      </c>
      <c r="J2986" s="1">
        <v>45292</v>
      </c>
      <c r="K2986">
        <v>770000</v>
      </c>
    </row>
    <row r="2987" spans="5:11" x14ac:dyDescent="0.25">
      <c r="E2987" t="s">
        <v>5852</v>
      </c>
      <c r="F2987">
        <v>1541157</v>
      </c>
      <c r="G2987" s="1">
        <v>45382</v>
      </c>
      <c r="H2987" t="s">
        <v>5853</v>
      </c>
      <c r="I2987" t="s">
        <v>24</v>
      </c>
      <c r="J2987" s="1">
        <v>45292</v>
      </c>
      <c r="K2987">
        <v>-5566000</v>
      </c>
    </row>
    <row r="2988" spans="5:11" x14ac:dyDescent="0.25">
      <c r="E2988" t="s">
        <v>5854</v>
      </c>
      <c r="F2988">
        <v>1542447</v>
      </c>
      <c r="G2988" s="1">
        <v>45382</v>
      </c>
      <c r="H2988" t="s">
        <v>5855</v>
      </c>
      <c r="I2988" t="s">
        <v>57</v>
      </c>
      <c r="J2988" s="1">
        <v>45292</v>
      </c>
      <c r="K2988">
        <v>65000</v>
      </c>
    </row>
    <row r="2989" spans="5:11" x14ac:dyDescent="0.25">
      <c r="E2989" t="s">
        <v>5856</v>
      </c>
      <c r="F2989">
        <v>1543151</v>
      </c>
      <c r="G2989" s="1">
        <v>45382</v>
      </c>
      <c r="H2989" t="s">
        <v>5857</v>
      </c>
      <c r="I2989" t="s">
        <v>36</v>
      </c>
      <c r="J2989" s="1">
        <v>45292</v>
      </c>
      <c r="K2989">
        <v>-654000000</v>
      </c>
    </row>
    <row r="2990" spans="5:11" x14ac:dyDescent="0.25">
      <c r="E2990" t="s">
        <v>5858</v>
      </c>
      <c r="F2990">
        <v>1543418</v>
      </c>
      <c r="G2990" s="1">
        <v>45351</v>
      </c>
      <c r="H2990" t="s">
        <v>5859</v>
      </c>
      <c r="I2990" t="s">
        <v>2552</v>
      </c>
      <c r="J2990" s="1">
        <v>45261</v>
      </c>
      <c r="K2990">
        <v>-3601000</v>
      </c>
    </row>
    <row r="2991" spans="5:11" x14ac:dyDescent="0.25">
      <c r="E2991" t="s">
        <v>5860</v>
      </c>
      <c r="F2991">
        <v>1543623</v>
      </c>
      <c r="G2991" s="1">
        <v>45382</v>
      </c>
      <c r="H2991" t="s">
        <v>5861</v>
      </c>
      <c r="I2991" t="s">
        <v>36</v>
      </c>
      <c r="J2991" s="1">
        <v>45292</v>
      </c>
      <c r="K2991">
        <v>-161978</v>
      </c>
    </row>
    <row r="2992" spans="5:11" x14ac:dyDescent="0.25">
      <c r="E2992" t="s">
        <v>5862</v>
      </c>
      <c r="F2992">
        <v>1543637</v>
      </c>
      <c r="G2992" s="1">
        <v>45382</v>
      </c>
      <c r="H2992" t="s">
        <v>5863</v>
      </c>
      <c r="I2992" t="s">
        <v>57</v>
      </c>
      <c r="J2992" s="1">
        <v>45292</v>
      </c>
      <c r="K2992">
        <v>-21826</v>
      </c>
    </row>
    <row r="2993" spans="5:11" x14ac:dyDescent="0.25">
      <c r="E2993" t="s">
        <v>5864</v>
      </c>
      <c r="F2993">
        <v>1543652</v>
      </c>
      <c r="G2993" s="1">
        <v>45382</v>
      </c>
      <c r="H2993" t="s">
        <v>5865</v>
      </c>
      <c r="I2993" t="s">
        <v>123</v>
      </c>
      <c r="J2993" s="1">
        <v>45292</v>
      </c>
      <c r="K2993">
        <v>836018</v>
      </c>
    </row>
    <row r="2994" spans="5:11" x14ac:dyDescent="0.25">
      <c r="E2994" t="s">
        <v>5866</v>
      </c>
      <c r="F2994">
        <v>1544190</v>
      </c>
      <c r="G2994" s="1">
        <v>45382</v>
      </c>
      <c r="H2994" t="s">
        <v>5867</v>
      </c>
      <c r="I2994" t="s">
        <v>33</v>
      </c>
      <c r="J2994" s="1">
        <v>45292</v>
      </c>
      <c r="K2994">
        <v>444000</v>
      </c>
    </row>
    <row r="2995" spans="5:11" x14ac:dyDescent="0.25">
      <c r="E2995" t="s">
        <v>5868</v>
      </c>
      <c r="F2995">
        <v>1544206</v>
      </c>
      <c r="G2995" s="1">
        <v>45382</v>
      </c>
      <c r="H2995" t="s">
        <v>5869</v>
      </c>
      <c r="I2995" t="s">
        <v>57</v>
      </c>
      <c r="J2995" s="1">
        <v>45292</v>
      </c>
      <c r="K2995">
        <v>29264000</v>
      </c>
    </row>
    <row r="2996" spans="5:11" x14ac:dyDescent="0.25">
      <c r="E2996" t="s">
        <v>5870</v>
      </c>
      <c r="F2996">
        <v>1544227</v>
      </c>
      <c r="G2996" s="1">
        <v>45382</v>
      </c>
      <c r="H2996" t="s">
        <v>5871</v>
      </c>
      <c r="I2996" t="s">
        <v>36</v>
      </c>
      <c r="J2996" s="1">
        <v>45292</v>
      </c>
      <c r="K2996">
        <v>-7904000</v>
      </c>
    </row>
    <row r="2997" spans="5:11" x14ac:dyDescent="0.25">
      <c r="E2997" t="s">
        <v>5872</v>
      </c>
      <c r="F2997">
        <v>1544400</v>
      </c>
      <c r="G2997" s="1">
        <v>45412</v>
      </c>
      <c r="H2997" t="s">
        <v>5873</v>
      </c>
      <c r="I2997" t="s">
        <v>5874</v>
      </c>
      <c r="J2997" s="1">
        <v>45323</v>
      </c>
      <c r="K2997">
        <v>-4425</v>
      </c>
    </row>
    <row r="2998" spans="5:11" x14ac:dyDescent="0.25">
      <c r="E2998" t="s">
        <v>5875</v>
      </c>
      <c r="F2998">
        <v>1544522</v>
      </c>
      <c r="G2998" s="1">
        <v>45382</v>
      </c>
      <c r="H2998" t="s">
        <v>5876</v>
      </c>
      <c r="I2998" t="s">
        <v>36</v>
      </c>
      <c r="J2998" s="1">
        <v>45292</v>
      </c>
      <c r="K2998">
        <v>-23325000</v>
      </c>
    </row>
    <row r="2999" spans="5:11" x14ac:dyDescent="0.25">
      <c r="E2999" t="s">
        <v>5877</v>
      </c>
      <c r="F2999">
        <v>1545654</v>
      </c>
      <c r="G2999" s="1">
        <v>45382</v>
      </c>
      <c r="H2999" t="s">
        <v>5878</v>
      </c>
      <c r="I2999" t="s">
        <v>43</v>
      </c>
      <c r="J2999" s="1">
        <v>45292</v>
      </c>
      <c r="K2999">
        <v>19982000</v>
      </c>
    </row>
    <row r="3000" spans="5:11" x14ac:dyDescent="0.25">
      <c r="E3000" t="s">
        <v>5879</v>
      </c>
      <c r="F3000">
        <v>1546296</v>
      </c>
      <c r="G3000" s="1">
        <v>45382</v>
      </c>
      <c r="H3000" t="s">
        <v>5880</v>
      </c>
      <c r="I3000" t="s">
        <v>19</v>
      </c>
      <c r="J3000" s="1">
        <v>45292</v>
      </c>
      <c r="K3000">
        <v>-791832</v>
      </c>
    </row>
    <row r="3001" spans="5:11" x14ac:dyDescent="0.25">
      <c r="E3001" t="s">
        <v>5881</v>
      </c>
      <c r="F3001">
        <v>1546417</v>
      </c>
      <c r="G3001" s="1">
        <v>45382</v>
      </c>
      <c r="H3001" t="s">
        <v>5882</v>
      </c>
      <c r="I3001" t="s">
        <v>33</v>
      </c>
      <c r="J3001" s="1">
        <v>45292</v>
      </c>
      <c r="K3001">
        <v>-83872000</v>
      </c>
    </row>
    <row r="3002" spans="5:11" x14ac:dyDescent="0.25">
      <c r="E3002" t="s">
        <v>5883</v>
      </c>
      <c r="F3002">
        <v>1546652</v>
      </c>
      <c r="G3002" s="1">
        <v>45412</v>
      </c>
      <c r="H3002" t="s">
        <v>5884</v>
      </c>
      <c r="I3002" t="s">
        <v>36</v>
      </c>
      <c r="J3002" s="1">
        <v>45323</v>
      </c>
      <c r="K3002">
        <v>97496969</v>
      </c>
    </row>
    <row r="3003" spans="5:11" x14ac:dyDescent="0.25">
      <c r="E3003" t="s">
        <v>5885</v>
      </c>
      <c r="F3003">
        <v>1546853</v>
      </c>
      <c r="G3003" s="1">
        <v>45412</v>
      </c>
      <c r="H3003" t="s">
        <v>5886</v>
      </c>
      <c r="I3003" t="s">
        <v>912</v>
      </c>
      <c r="J3003" s="1">
        <v>45323</v>
      </c>
      <c r="K3003">
        <v>-166503</v>
      </c>
    </row>
    <row r="3004" spans="5:11" x14ac:dyDescent="0.25">
      <c r="E3004" t="s">
        <v>5887</v>
      </c>
      <c r="F3004">
        <v>1547459</v>
      </c>
      <c r="G3004" s="1">
        <v>45382</v>
      </c>
      <c r="H3004" t="s">
        <v>5888</v>
      </c>
      <c r="I3004" t="s">
        <v>92</v>
      </c>
      <c r="J3004" s="1">
        <v>45292</v>
      </c>
      <c r="K3004">
        <v>7961000</v>
      </c>
    </row>
    <row r="3005" spans="5:11" x14ac:dyDescent="0.25">
      <c r="E3005" t="s">
        <v>5889</v>
      </c>
      <c r="F3005">
        <v>1547546</v>
      </c>
      <c r="G3005" s="1">
        <v>45382</v>
      </c>
      <c r="H3005" t="s">
        <v>5890</v>
      </c>
      <c r="I3005" t="s">
        <v>57</v>
      </c>
      <c r="J3005" s="1">
        <v>45292</v>
      </c>
      <c r="K3005">
        <v>6980182</v>
      </c>
    </row>
    <row r="3006" spans="5:11" x14ac:dyDescent="0.25">
      <c r="E3006" t="s">
        <v>5891</v>
      </c>
      <c r="F3006">
        <v>1547903</v>
      </c>
      <c r="G3006" s="1">
        <v>45382</v>
      </c>
      <c r="H3006" t="s">
        <v>5892</v>
      </c>
      <c r="I3006" t="s">
        <v>36</v>
      </c>
      <c r="J3006" s="1">
        <v>45292</v>
      </c>
      <c r="K3006">
        <v>89050000</v>
      </c>
    </row>
    <row r="3007" spans="5:11" x14ac:dyDescent="0.25">
      <c r="E3007" t="s">
        <v>10505</v>
      </c>
      <c r="F3007">
        <v>1549084</v>
      </c>
      <c r="G3007" s="1">
        <v>45382</v>
      </c>
      <c r="H3007" t="s">
        <v>5893</v>
      </c>
      <c r="I3007" t="s">
        <v>36</v>
      </c>
      <c r="J3007" s="1">
        <v>45292</v>
      </c>
      <c r="K3007">
        <v>-3429000</v>
      </c>
    </row>
    <row r="3008" spans="5:11" x14ac:dyDescent="0.25">
      <c r="E3008" t="s">
        <v>5894</v>
      </c>
      <c r="F3008">
        <v>1549145</v>
      </c>
      <c r="G3008" s="1">
        <v>45382</v>
      </c>
      <c r="H3008" t="s">
        <v>5895</v>
      </c>
      <c r="I3008" t="s">
        <v>33</v>
      </c>
      <c r="J3008" s="1">
        <v>45292</v>
      </c>
      <c r="K3008">
        <v>-946872</v>
      </c>
    </row>
    <row r="3009" spans="5:11" x14ac:dyDescent="0.25">
      <c r="E3009" t="s">
        <v>5896</v>
      </c>
      <c r="F3009">
        <v>1549346</v>
      </c>
      <c r="G3009" s="1">
        <v>45382</v>
      </c>
      <c r="H3009" t="s">
        <v>5897</v>
      </c>
      <c r="I3009" t="s">
        <v>57</v>
      </c>
      <c r="J3009" s="1">
        <v>45292</v>
      </c>
      <c r="K3009">
        <v>16121000</v>
      </c>
    </row>
    <row r="3010" spans="5:11" x14ac:dyDescent="0.25">
      <c r="E3010" t="s">
        <v>5898</v>
      </c>
      <c r="F3010">
        <v>1549595</v>
      </c>
      <c r="G3010" s="1">
        <v>45351</v>
      </c>
      <c r="H3010" t="s">
        <v>5899</v>
      </c>
      <c r="I3010" t="s">
        <v>36</v>
      </c>
      <c r="J3010" s="1">
        <v>45261</v>
      </c>
      <c r="K3010">
        <v>-41518000</v>
      </c>
    </row>
    <row r="3011" spans="5:11" x14ac:dyDescent="0.25">
      <c r="E3011" t="s">
        <v>5900</v>
      </c>
      <c r="F3011">
        <v>1549631</v>
      </c>
      <c r="G3011" s="1">
        <v>45382</v>
      </c>
      <c r="H3011" t="s">
        <v>5901</v>
      </c>
      <c r="I3011" t="s">
        <v>186</v>
      </c>
      <c r="J3011" s="1">
        <v>45292</v>
      </c>
      <c r="K3011">
        <v>-91651</v>
      </c>
    </row>
    <row r="3012" spans="5:11" x14ac:dyDescent="0.25">
      <c r="E3012" t="s">
        <v>5902</v>
      </c>
      <c r="F3012">
        <v>1549922</v>
      </c>
      <c r="G3012" s="1">
        <v>45382</v>
      </c>
      <c r="H3012" t="s">
        <v>5903</v>
      </c>
      <c r="I3012" t="s">
        <v>30</v>
      </c>
      <c r="J3012" s="1">
        <v>45292</v>
      </c>
      <c r="K3012">
        <v>129157000</v>
      </c>
    </row>
    <row r="3013" spans="5:11" x14ac:dyDescent="0.25">
      <c r="E3013" t="s">
        <v>5904</v>
      </c>
      <c r="F3013">
        <v>1549966</v>
      </c>
      <c r="G3013" s="1">
        <v>45382</v>
      </c>
      <c r="H3013" t="s">
        <v>5905</v>
      </c>
      <c r="I3013" t="s">
        <v>57</v>
      </c>
      <c r="J3013" s="1">
        <v>45292</v>
      </c>
      <c r="K3013">
        <v>3000000</v>
      </c>
    </row>
    <row r="3014" spans="5:11" x14ac:dyDescent="0.25">
      <c r="E3014" t="s">
        <v>5906</v>
      </c>
      <c r="F3014">
        <v>1550453</v>
      </c>
      <c r="G3014" s="1">
        <v>45382</v>
      </c>
      <c r="H3014" t="s">
        <v>5907</v>
      </c>
      <c r="I3014" t="s">
        <v>36</v>
      </c>
      <c r="J3014" s="1">
        <v>45292</v>
      </c>
      <c r="K3014">
        <v>3097035</v>
      </c>
    </row>
    <row r="3015" spans="5:11" x14ac:dyDescent="0.25">
      <c r="E3015" t="s">
        <v>5908</v>
      </c>
      <c r="F3015">
        <v>1550695</v>
      </c>
      <c r="G3015" s="1">
        <v>45382</v>
      </c>
      <c r="H3015" t="s">
        <v>5909</v>
      </c>
      <c r="I3015" t="s">
        <v>33</v>
      </c>
      <c r="J3015" s="1">
        <v>45292</v>
      </c>
      <c r="K3015">
        <v>-4017000</v>
      </c>
    </row>
    <row r="3016" spans="5:11" x14ac:dyDescent="0.25">
      <c r="E3016" t="s">
        <v>5910</v>
      </c>
      <c r="F3016">
        <v>1551152</v>
      </c>
      <c r="G3016" s="1">
        <v>45382</v>
      </c>
      <c r="H3016" t="s">
        <v>5911</v>
      </c>
      <c r="I3016" t="s">
        <v>19</v>
      </c>
      <c r="J3016" s="1">
        <v>45292</v>
      </c>
      <c r="K3016">
        <v>1369000000</v>
      </c>
    </row>
    <row r="3017" spans="5:11" x14ac:dyDescent="0.25">
      <c r="E3017" t="s">
        <v>5912</v>
      </c>
      <c r="F3017">
        <v>1551182</v>
      </c>
      <c r="G3017" s="1">
        <v>45382</v>
      </c>
      <c r="H3017" t="s">
        <v>5913</v>
      </c>
      <c r="I3017" t="s">
        <v>927</v>
      </c>
      <c r="J3017" s="1">
        <v>45292</v>
      </c>
      <c r="K3017">
        <v>821000000</v>
      </c>
    </row>
    <row r="3018" spans="5:11" x14ac:dyDescent="0.25">
      <c r="E3018" t="s">
        <v>5914</v>
      </c>
      <c r="F3018">
        <v>1551306</v>
      </c>
      <c r="G3018" s="1">
        <v>45382</v>
      </c>
      <c r="H3018" t="s">
        <v>5915</v>
      </c>
      <c r="I3018" t="s">
        <v>57</v>
      </c>
      <c r="J3018" s="1">
        <v>45292</v>
      </c>
      <c r="K3018">
        <v>16898000</v>
      </c>
    </row>
    <row r="3019" spans="5:11" x14ac:dyDescent="0.25">
      <c r="E3019" t="s">
        <v>5916</v>
      </c>
      <c r="F3019">
        <v>1551901</v>
      </c>
      <c r="G3019" s="1">
        <v>45382</v>
      </c>
      <c r="H3019" t="s">
        <v>5917</v>
      </c>
      <c r="I3019" t="s">
        <v>30</v>
      </c>
      <c r="J3019" s="1">
        <v>45292</v>
      </c>
      <c r="K3019">
        <v>13148460</v>
      </c>
    </row>
    <row r="3020" spans="5:11" x14ac:dyDescent="0.25">
      <c r="E3020" t="s">
        <v>5918</v>
      </c>
      <c r="F3020">
        <v>1552033</v>
      </c>
      <c r="G3020" s="1">
        <v>45382</v>
      </c>
      <c r="H3020" t="s">
        <v>5919</v>
      </c>
      <c r="I3020" t="s">
        <v>19</v>
      </c>
      <c r="J3020" s="1">
        <v>45292</v>
      </c>
      <c r="K3020">
        <v>65100000</v>
      </c>
    </row>
    <row r="3021" spans="5:11" x14ac:dyDescent="0.25">
      <c r="E3021" t="s">
        <v>5920</v>
      </c>
      <c r="F3021">
        <v>1552189</v>
      </c>
      <c r="G3021" s="1">
        <v>45382</v>
      </c>
      <c r="H3021" t="s">
        <v>5921</v>
      </c>
      <c r="I3021" t="s">
        <v>92</v>
      </c>
      <c r="J3021" s="1">
        <v>45292</v>
      </c>
      <c r="K3021">
        <v>-1446074</v>
      </c>
    </row>
    <row r="3022" spans="5:11" x14ac:dyDescent="0.25">
      <c r="E3022" t="s">
        <v>5922</v>
      </c>
      <c r="F3022">
        <v>1552198</v>
      </c>
      <c r="G3022" s="1">
        <v>45382</v>
      </c>
      <c r="H3022" t="s">
        <v>5923</v>
      </c>
      <c r="I3022" t="s">
        <v>33</v>
      </c>
      <c r="J3022" s="1">
        <v>45292</v>
      </c>
      <c r="K3022">
        <v>5969000</v>
      </c>
    </row>
    <row r="3023" spans="5:11" x14ac:dyDescent="0.25">
      <c r="E3023" t="s">
        <v>5924</v>
      </c>
      <c r="F3023">
        <v>1552275</v>
      </c>
      <c r="G3023" s="1">
        <v>45382</v>
      </c>
      <c r="H3023" t="s">
        <v>5925</v>
      </c>
      <c r="I3023" t="s">
        <v>30</v>
      </c>
      <c r="J3023" s="1">
        <v>45292</v>
      </c>
      <c r="K3023">
        <v>230000000</v>
      </c>
    </row>
    <row r="3024" spans="5:11" x14ac:dyDescent="0.25">
      <c r="E3024" t="s">
        <v>5926</v>
      </c>
      <c r="F3024">
        <v>1552797</v>
      </c>
      <c r="G3024" s="1">
        <v>45382</v>
      </c>
      <c r="H3024" t="s">
        <v>5927</v>
      </c>
      <c r="I3024" t="s">
        <v>69</v>
      </c>
      <c r="J3024" s="1">
        <v>45292</v>
      </c>
      <c r="K3024">
        <v>32648000</v>
      </c>
    </row>
    <row r="3025" spans="5:11" x14ac:dyDescent="0.25">
      <c r="E3025" t="s">
        <v>5928</v>
      </c>
      <c r="F3025">
        <v>1552800</v>
      </c>
      <c r="G3025" s="1">
        <v>45382</v>
      </c>
      <c r="H3025" t="s">
        <v>5929</v>
      </c>
      <c r="I3025" t="s">
        <v>213</v>
      </c>
      <c r="J3025" s="1">
        <v>45292</v>
      </c>
      <c r="K3025">
        <v>1689000</v>
      </c>
    </row>
    <row r="3026" spans="5:11" x14ac:dyDescent="0.25">
      <c r="E3026" t="s">
        <v>5930</v>
      </c>
      <c r="F3026">
        <v>1553643</v>
      </c>
      <c r="G3026" s="1">
        <v>45382</v>
      </c>
      <c r="H3026" t="s">
        <v>5931</v>
      </c>
      <c r="I3026" t="s">
        <v>33</v>
      </c>
      <c r="J3026" s="1">
        <v>45292</v>
      </c>
      <c r="K3026">
        <v>-21828126</v>
      </c>
    </row>
    <row r="3027" spans="5:11" x14ac:dyDescent="0.25">
      <c r="E3027" t="s">
        <v>5932</v>
      </c>
      <c r="F3027">
        <v>1553788</v>
      </c>
      <c r="G3027" s="1">
        <v>45382</v>
      </c>
      <c r="H3027" t="s">
        <v>5933</v>
      </c>
      <c r="I3027" t="s">
        <v>33</v>
      </c>
      <c r="J3027" s="1">
        <v>45292</v>
      </c>
      <c r="K3027">
        <v>-4670897</v>
      </c>
    </row>
    <row r="3028" spans="5:11" x14ac:dyDescent="0.25">
      <c r="E3028" t="s">
        <v>5934</v>
      </c>
      <c r="F3028">
        <v>1554818</v>
      </c>
      <c r="G3028" s="1">
        <v>45382</v>
      </c>
      <c r="H3028" t="s">
        <v>5935</v>
      </c>
      <c r="I3028" t="s">
        <v>92</v>
      </c>
      <c r="J3028" s="1">
        <v>45292</v>
      </c>
      <c r="K3028">
        <v>-2207328</v>
      </c>
    </row>
    <row r="3029" spans="5:11" x14ac:dyDescent="0.25">
      <c r="E3029" t="s">
        <v>5936</v>
      </c>
      <c r="F3029">
        <v>1554859</v>
      </c>
      <c r="G3029" s="1">
        <v>45382</v>
      </c>
      <c r="H3029" t="s">
        <v>5937</v>
      </c>
      <c r="I3029" t="s">
        <v>36</v>
      </c>
      <c r="J3029" s="1">
        <v>45292</v>
      </c>
      <c r="K3029">
        <v>6073000</v>
      </c>
    </row>
    <row r="3030" spans="5:11" x14ac:dyDescent="0.25">
      <c r="E3030" t="s">
        <v>5938</v>
      </c>
      <c r="F3030">
        <v>1555074</v>
      </c>
      <c r="G3030" s="1">
        <v>45382</v>
      </c>
      <c r="H3030" t="s">
        <v>5939</v>
      </c>
      <c r="I3030" t="s">
        <v>5940</v>
      </c>
      <c r="J3030" s="1">
        <v>45292</v>
      </c>
      <c r="K3030">
        <v>-3110000</v>
      </c>
    </row>
    <row r="3031" spans="5:11" x14ac:dyDescent="0.25">
      <c r="E3031" t="s">
        <v>5941</v>
      </c>
      <c r="F3031">
        <v>1555214</v>
      </c>
      <c r="G3031" s="1">
        <v>45382</v>
      </c>
      <c r="H3031" t="s">
        <v>5942</v>
      </c>
      <c r="I3031" t="s">
        <v>142</v>
      </c>
      <c r="J3031" s="1">
        <v>45292</v>
      </c>
      <c r="K3031">
        <v>-21331</v>
      </c>
    </row>
    <row r="3032" spans="5:11" x14ac:dyDescent="0.25">
      <c r="E3032" t="s">
        <v>5943</v>
      </c>
      <c r="F3032">
        <v>1555279</v>
      </c>
      <c r="G3032" s="1">
        <v>45382</v>
      </c>
      <c r="H3032" t="s">
        <v>5944</v>
      </c>
      <c r="I3032" t="s">
        <v>24</v>
      </c>
      <c r="J3032" s="1">
        <v>45292</v>
      </c>
      <c r="K3032">
        <v>-10917000</v>
      </c>
    </row>
    <row r="3033" spans="5:11" x14ac:dyDescent="0.25">
      <c r="E3033" t="s">
        <v>5945</v>
      </c>
      <c r="F3033">
        <v>1555280</v>
      </c>
      <c r="G3033" s="1">
        <v>45382</v>
      </c>
      <c r="H3033" t="s">
        <v>5946</v>
      </c>
      <c r="I3033" t="s">
        <v>46</v>
      </c>
      <c r="J3033" s="1">
        <v>45292</v>
      </c>
      <c r="K3033">
        <v>599000000</v>
      </c>
    </row>
    <row r="3034" spans="5:11" x14ac:dyDescent="0.25">
      <c r="E3034" t="s">
        <v>5947</v>
      </c>
      <c r="F3034">
        <v>1556263</v>
      </c>
      <c r="G3034" s="1">
        <v>45382</v>
      </c>
      <c r="H3034" t="s">
        <v>5948</v>
      </c>
      <c r="I3034" t="s">
        <v>24</v>
      </c>
      <c r="J3034" s="1">
        <v>45292</v>
      </c>
      <c r="K3034">
        <v>-3708000</v>
      </c>
    </row>
    <row r="3035" spans="5:11" x14ac:dyDescent="0.25">
      <c r="E3035" t="s">
        <v>5949</v>
      </c>
      <c r="F3035">
        <v>1556266</v>
      </c>
      <c r="G3035" s="1">
        <v>45382</v>
      </c>
      <c r="H3035" t="s">
        <v>5950</v>
      </c>
      <c r="I3035" t="s">
        <v>1164</v>
      </c>
      <c r="J3035" s="1">
        <v>45292</v>
      </c>
      <c r="K3035">
        <v>2380140</v>
      </c>
    </row>
    <row r="3036" spans="5:11" x14ac:dyDescent="0.25">
      <c r="E3036" t="s">
        <v>5951</v>
      </c>
      <c r="F3036">
        <v>1556727</v>
      </c>
      <c r="G3036" s="1">
        <v>45382</v>
      </c>
      <c r="H3036" t="s">
        <v>5952</v>
      </c>
      <c r="I3036" t="s">
        <v>504</v>
      </c>
      <c r="J3036" s="1">
        <v>45292</v>
      </c>
      <c r="K3036">
        <v>396000</v>
      </c>
    </row>
    <row r="3037" spans="5:11" x14ac:dyDescent="0.25">
      <c r="E3037" t="s">
        <v>5953</v>
      </c>
      <c r="F3037">
        <v>1556739</v>
      </c>
      <c r="G3037" s="1">
        <v>45382</v>
      </c>
      <c r="H3037" t="s">
        <v>5954</v>
      </c>
      <c r="I3037" t="s">
        <v>30</v>
      </c>
      <c r="J3037" s="1">
        <v>45292</v>
      </c>
      <c r="K3037">
        <v>8424000</v>
      </c>
    </row>
    <row r="3038" spans="5:11" x14ac:dyDescent="0.25">
      <c r="E3038" t="s">
        <v>5955</v>
      </c>
      <c r="F3038">
        <v>1556801</v>
      </c>
      <c r="G3038" s="1">
        <v>45412</v>
      </c>
      <c r="H3038" t="s">
        <v>5956</v>
      </c>
      <c r="I3038" t="s">
        <v>33</v>
      </c>
      <c r="J3038" s="1">
        <v>45323</v>
      </c>
      <c r="K3038">
        <v>-81368</v>
      </c>
    </row>
    <row r="3039" spans="5:11" x14ac:dyDescent="0.25">
      <c r="E3039" t="s">
        <v>5957</v>
      </c>
      <c r="F3039">
        <v>1556898</v>
      </c>
      <c r="G3039" s="1">
        <v>45382</v>
      </c>
      <c r="H3039" t="s">
        <v>5958</v>
      </c>
      <c r="I3039" t="s">
        <v>36</v>
      </c>
      <c r="J3039" s="1">
        <v>45292</v>
      </c>
      <c r="K3039">
        <v>4380000</v>
      </c>
    </row>
    <row r="3040" spans="5:11" x14ac:dyDescent="0.25">
      <c r="E3040" t="s">
        <v>5959</v>
      </c>
      <c r="F3040">
        <v>1557376</v>
      </c>
      <c r="G3040" s="1">
        <v>45412</v>
      </c>
      <c r="H3040" t="s">
        <v>5960</v>
      </c>
      <c r="I3040" t="s">
        <v>33</v>
      </c>
      <c r="J3040" s="1">
        <v>45323</v>
      </c>
      <c r="K3040">
        <v>-1399000</v>
      </c>
    </row>
    <row r="3041" spans="5:11" x14ac:dyDescent="0.25">
      <c r="E3041" t="s">
        <v>5961</v>
      </c>
      <c r="F3041">
        <v>1557746</v>
      </c>
      <c r="G3041" s="1">
        <v>45382</v>
      </c>
      <c r="H3041" t="s">
        <v>5962</v>
      </c>
      <c r="I3041" t="s">
        <v>39</v>
      </c>
      <c r="J3041" s="1">
        <v>45292</v>
      </c>
      <c r="K3041">
        <v>-16941000</v>
      </c>
    </row>
    <row r="3042" spans="5:11" x14ac:dyDescent="0.25">
      <c r="E3042" t="s">
        <v>5963</v>
      </c>
      <c r="F3042">
        <v>1557798</v>
      </c>
      <c r="G3042" s="1">
        <v>45412</v>
      </c>
      <c r="H3042" t="s">
        <v>5964</v>
      </c>
      <c r="I3042" t="s">
        <v>2273</v>
      </c>
      <c r="J3042" s="1">
        <v>45323</v>
      </c>
      <c r="K3042">
        <v>-49974</v>
      </c>
    </row>
    <row r="3043" spans="5:11" x14ac:dyDescent="0.25">
      <c r="E3043" t="s">
        <v>5965</v>
      </c>
      <c r="F3043">
        <v>1558569</v>
      </c>
      <c r="G3043" s="1">
        <v>45382</v>
      </c>
      <c r="H3043" t="s">
        <v>5966</v>
      </c>
      <c r="I3043" t="s">
        <v>24</v>
      </c>
      <c r="J3043" s="1">
        <v>45292</v>
      </c>
      <c r="K3043">
        <v>-2902117</v>
      </c>
    </row>
    <row r="3044" spans="5:11" x14ac:dyDescent="0.25">
      <c r="E3044" t="s">
        <v>5967</v>
      </c>
      <c r="F3044">
        <v>1558740</v>
      </c>
      <c r="G3044" s="1">
        <v>45382</v>
      </c>
      <c r="H3044" t="s">
        <v>5968</v>
      </c>
      <c r="I3044" t="s">
        <v>142</v>
      </c>
      <c r="J3044" s="1">
        <v>45292</v>
      </c>
      <c r="K3044">
        <v>-8656</v>
      </c>
    </row>
    <row r="3045" spans="5:11" x14ac:dyDescent="0.25">
      <c r="E3045" t="s">
        <v>5969</v>
      </c>
      <c r="F3045">
        <v>1559053</v>
      </c>
      <c r="G3045" s="1">
        <v>45382</v>
      </c>
      <c r="H3045" t="s">
        <v>5970</v>
      </c>
      <c r="I3045" t="s">
        <v>927</v>
      </c>
      <c r="J3045" s="1">
        <v>45292</v>
      </c>
      <c r="K3045">
        <v>-72239000</v>
      </c>
    </row>
    <row r="3046" spans="5:11" x14ac:dyDescent="0.25">
      <c r="E3046" t="s">
        <v>5971</v>
      </c>
      <c r="F3046">
        <v>1559157</v>
      </c>
      <c r="G3046" s="1">
        <v>45382</v>
      </c>
      <c r="H3046" t="s">
        <v>5972</v>
      </c>
      <c r="I3046" t="s">
        <v>36</v>
      </c>
      <c r="J3046" s="1">
        <v>45292</v>
      </c>
      <c r="K3046">
        <v>1380</v>
      </c>
    </row>
    <row r="3047" spans="5:11" x14ac:dyDescent="0.25">
      <c r="E3047" t="s">
        <v>5973</v>
      </c>
      <c r="F3047">
        <v>1559356</v>
      </c>
      <c r="G3047" s="1">
        <v>45382</v>
      </c>
      <c r="H3047" t="s">
        <v>5974</v>
      </c>
      <c r="I3047" t="s">
        <v>33</v>
      </c>
      <c r="J3047" s="1">
        <v>45292</v>
      </c>
      <c r="K3047">
        <v>-352635</v>
      </c>
    </row>
    <row r="3048" spans="5:11" x14ac:dyDescent="0.25">
      <c r="E3048" t="s">
        <v>5975</v>
      </c>
      <c r="F3048">
        <v>1559432</v>
      </c>
      <c r="G3048" s="1">
        <v>45382</v>
      </c>
      <c r="H3048" t="s">
        <v>5976</v>
      </c>
      <c r="I3048" t="s">
        <v>30</v>
      </c>
      <c r="J3048" s="1">
        <v>45292</v>
      </c>
      <c r="K3048">
        <v>10267000</v>
      </c>
    </row>
    <row r="3049" spans="5:11" x14ac:dyDescent="0.25">
      <c r="E3049" t="s">
        <v>5977</v>
      </c>
      <c r="F3049">
        <v>1559720</v>
      </c>
      <c r="G3049" s="1">
        <v>45382</v>
      </c>
      <c r="H3049" t="s">
        <v>5978</v>
      </c>
      <c r="I3049" t="s">
        <v>36</v>
      </c>
      <c r="J3049" s="1">
        <v>45292</v>
      </c>
      <c r="K3049">
        <v>264000000</v>
      </c>
    </row>
    <row r="3050" spans="5:11" x14ac:dyDescent="0.25">
      <c r="E3050" t="s">
        <v>5979</v>
      </c>
      <c r="F3050">
        <v>1559865</v>
      </c>
      <c r="G3050" s="1">
        <v>45382</v>
      </c>
      <c r="H3050" t="s">
        <v>5980</v>
      </c>
      <c r="I3050" t="s">
        <v>1347</v>
      </c>
      <c r="J3050" s="1">
        <v>45292</v>
      </c>
      <c r="K3050">
        <v>15979000</v>
      </c>
    </row>
    <row r="3051" spans="5:11" x14ac:dyDescent="0.25">
      <c r="E3051" t="s">
        <v>5981</v>
      </c>
      <c r="F3051">
        <v>1559998</v>
      </c>
      <c r="G3051" s="1">
        <v>45382</v>
      </c>
      <c r="H3051" t="s">
        <v>5982</v>
      </c>
      <c r="I3051" t="s">
        <v>33</v>
      </c>
      <c r="J3051" s="1">
        <v>45292</v>
      </c>
      <c r="K3051">
        <v>-2733646</v>
      </c>
    </row>
    <row r="3052" spans="5:11" x14ac:dyDescent="0.25">
      <c r="E3052" t="s">
        <v>5983</v>
      </c>
      <c r="F3052">
        <v>1560143</v>
      </c>
      <c r="G3052" s="1">
        <v>45382</v>
      </c>
      <c r="H3052" t="s">
        <v>5984</v>
      </c>
      <c r="I3052" t="s">
        <v>30</v>
      </c>
      <c r="J3052" s="1">
        <v>45292</v>
      </c>
      <c r="K3052">
        <v>-1370357</v>
      </c>
    </row>
    <row r="3053" spans="5:11" x14ac:dyDescent="0.25">
      <c r="E3053" t="s">
        <v>5985</v>
      </c>
      <c r="F3053">
        <v>1560241</v>
      </c>
      <c r="G3053" s="1">
        <v>45382</v>
      </c>
      <c r="H3053" t="s">
        <v>5986</v>
      </c>
      <c r="I3053" t="s">
        <v>172</v>
      </c>
      <c r="J3053" s="1">
        <v>45292</v>
      </c>
      <c r="K3053">
        <v>-10219000</v>
      </c>
    </row>
    <row r="3054" spans="5:11" x14ac:dyDescent="0.25">
      <c r="E3054" t="s">
        <v>5987</v>
      </c>
      <c r="F3054">
        <v>1560258</v>
      </c>
      <c r="G3054" s="1">
        <v>45382</v>
      </c>
      <c r="H3054" t="s">
        <v>5988</v>
      </c>
      <c r="I3054" t="s">
        <v>46</v>
      </c>
      <c r="J3054" s="1">
        <v>45292</v>
      </c>
      <c r="K3054">
        <v>-3506000</v>
      </c>
    </row>
    <row r="3055" spans="5:11" x14ac:dyDescent="0.25">
      <c r="E3055" t="s">
        <v>5989</v>
      </c>
      <c r="F3055">
        <v>1560293</v>
      </c>
      <c r="G3055" s="1">
        <v>45382</v>
      </c>
      <c r="H3055" t="s">
        <v>5990</v>
      </c>
      <c r="I3055" t="s">
        <v>1716</v>
      </c>
      <c r="J3055" s="1">
        <v>45292</v>
      </c>
      <c r="K3055">
        <v>-3576000</v>
      </c>
    </row>
    <row r="3056" spans="5:11" x14ac:dyDescent="0.25">
      <c r="E3056" t="s">
        <v>5991</v>
      </c>
      <c r="F3056">
        <v>1560327</v>
      </c>
      <c r="G3056" s="1">
        <v>45382</v>
      </c>
      <c r="H3056" t="s">
        <v>5992</v>
      </c>
      <c r="I3056" t="s">
        <v>24</v>
      </c>
      <c r="J3056" s="1">
        <v>45292</v>
      </c>
      <c r="K3056">
        <v>2258000</v>
      </c>
    </row>
    <row r="3057" spans="5:11" x14ac:dyDescent="0.25">
      <c r="E3057" t="s">
        <v>5993</v>
      </c>
      <c r="F3057">
        <v>1560385</v>
      </c>
      <c r="G3057" s="1">
        <v>45382</v>
      </c>
      <c r="H3057" t="s">
        <v>5994</v>
      </c>
      <c r="I3057" t="s">
        <v>92</v>
      </c>
      <c r="J3057" s="1">
        <v>45292</v>
      </c>
      <c r="K3057">
        <v>203000000</v>
      </c>
    </row>
    <row r="3058" spans="5:11" x14ac:dyDescent="0.25">
      <c r="E3058" t="s">
        <v>5995</v>
      </c>
      <c r="F3058">
        <v>1560452</v>
      </c>
      <c r="G3058" s="1">
        <v>45382</v>
      </c>
      <c r="H3058" t="s">
        <v>5996</v>
      </c>
      <c r="I3058" t="s">
        <v>30</v>
      </c>
      <c r="J3058" s="1">
        <v>45292</v>
      </c>
      <c r="K3058">
        <v>-63716</v>
      </c>
    </row>
    <row r="3059" spans="5:11" x14ac:dyDescent="0.25">
      <c r="E3059" t="s">
        <v>5997</v>
      </c>
      <c r="F3059">
        <v>1560672</v>
      </c>
      <c r="G3059" s="1">
        <v>45382</v>
      </c>
      <c r="H3059" t="s">
        <v>5998</v>
      </c>
      <c r="I3059" t="s">
        <v>27</v>
      </c>
      <c r="J3059" s="1">
        <v>45292</v>
      </c>
      <c r="K3059">
        <v>3961000</v>
      </c>
    </row>
    <row r="3060" spans="5:11" x14ac:dyDescent="0.25">
      <c r="E3060" t="s">
        <v>5999</v>
      </c>
      <c r="F3060">
        <v>1561550</v>
      </c>
      <c r="G3060" s="1">
        <v>45382</v>
      </c>
      <c r="H3060" t="s">
        <v>6000</v>
      </c>
      <c r="I3060" t="s">
        <v>57</v>
      </c>
      <c r="J3060" s="1">
        <v>45292</v>
      </c>
      <c r="K3060">
        <v>42631000</v>
      </c>
    </row>
    <row r="3061" spans="5:11" x14ac:dyDescent="0.25">
      <c r="E3061" t="s">
        <v>6001</v>
      </c>
      <c r="F3061">
        <v>1561680</v>
      </c>
      <c r="G3061" s="1">
        <v>45382</v>
      </c>
      <c r="H3061" t="s">
        <v>6002</v>
      </c>
      <c r="I3061" t="s">
        <v>142</v>
      </c>
      <c r="J3061" s="1">
        <v>45292</v>
      </c>
      <c r="K3061">
        <v>99055000</v>
      </c>
    </row>
    <row r="3062" spans="5:11" x14ac:dyDescent="0.25">
      <c r="E3062" t="s">
        <v>6003</v>
      </c>
      <c r="F3062">
        <v>1561880</v>
      </c>
      <c r="G3062" s="1">
        <v>45382</v>
      </c>
      <c r="H3062" t="s">
        <v>6004</v>
      </c>
      <c r="I3062" t="s">
        <v>57</v>
      </c>
      <c r="J3062" s="1">
        <v>45292</v>
      </c>
      <c r="K3062">
        <v>-786000</v>
      </c>
    </row>
    <row r="3063" spans="5:11" x14ac:dyDescent="0.25">
      <c r="E3063" t="s">
        <v>6005</v>
      </c>
      <c r="F3063">
        <v>1561894</v>
      </c>
      <c r="G3063" s="1">
        <v>45382</v>
      </c>
      <c r="H3063" t="s">
        <v>6006</v>
      </c>
      <c r="I3063" t="s">
        <v>299</v>
      </c>
      <c r="J3063" s="1">
        <v>45292</v>
      </c>
      <c r="K3063">
        <v>123025000</v>
      </c>
    </row>
    <row r="3064" spans="5:11" x14ac:dyDescent="0.25">
      <c r="E3064" t="s">
        <v>6007</v>
      </c>
      <c r="F3064">
        <v>1561921</v>
      </c>
      <c r="G3064" s="1">
        <v>45382</v>
      </c>
      <c r="H3064" t="s">
        <v>6008</v>
      </c>
      <c r="I3064" t="s">
        <v>39</v>
      </c>
      <c r="J3064" s="1">
        <v>45292</v>
      </c>
      <c r="K3064">
        <v>-5661000</v>
      </c>
    </row>
    <row r="3065" spans="5:11" x14ac:dyDescent="0.25">
      <c r="E3065" t="s">
        <v>6009</v>
      </c>
      <c r="F3065">
        <v>1562088</v>
      </c>
      <c r="G3065" s="1">
        <v>45382</v>
      </c>
      <c r="H3065" t="s">
        <v>6010</v>
      </c>
      <c r="I3065" t="s">
        <v>39</v>
      </c>
      <c r="J3065" s="1">
        <v>45292</v>
      </c>
      <c r="K3065">
        <v>26956000</v>
      </c>
    </row>
    <row r="3066" spans="5:11" x14ac:dyDescent="0.25">
      <c r="E3066" t="s">
        <v>6011</v>
      </c>
      <c r="F3066">
        <v>1562151</v>
      </c>
      <c r="G3066" s="1">
        <v>45382</v>
      </c>
      <c r="H3066" t="s">
        <v>6012</v>
      </c>
      <c r="I3066" t="s">
        <v>36</v>
      </c>
      <c r="J3066" s="1">
        <v>45292</v>
      </c>
      <c r="K3066">
        <v>-633000</v>
      </c>
    </row>
    <row r="3067" spans="5:11" x14ac:dyDescent="0.25">
      <c r="E3067" t="s">
        <v>6013</v>
      </c>
      <c r="F3067">
        <v>1562463</v>
      </c>
      <c r="G3067" s="1">
        <v>45382</v>
      </c>
      <c r="H3067" t="s">
        <v>6014</v>
      </c>
      <c r="I3067" t="s">
        <v>288</v>
      </c>
      <c r="J3067" s="1">
        <v>45292</v>
      </c>
      <c r="K3067">
        <v>5181000</v>
      </c>
    </row>
    <row r="3068" spans="5:11" x14ac:dyDescent="0.25">
      <c r="E3068" t="s">
        <v>6015</v>
      </c>
      <c r="F3068">
        <v>1562476</v>
      </c>
      <c r="G3068" s="1">
        <v>45382</v>
      </c>
      <c r="H3068" t="s">
        <v>6016</v>
      </c>
      <c r="I3068" t="s">
        <v>113</v>
      </c>
      <c r="J3068" s="1">
        <v>45292</v>
      </c>
      <c r="K3068">
        <v>190270000</v>
      </c>
    </row>
    <row r="3069" spans="5:11" x14ac:dyDescent="0.25">
      <c r="E3069" t="s">
        <v>6017</v>
      </c>
      <c r="F3069">
        <v>1562528</v>
      </c>
      <c r="G3069" s="1">
        <v>45382</v>
      </c>
      <c r="H3069" t="s">
        <v>6018</v>
      </c>
      <c r="I3069" t="s">
        <v>57</v>
      </c>
      <c r="J3069" s="1">
        <v>45292</v>
      </c>
      <c r="K3069">
        <v>35920000</v>
      </c>
    </row>
    <row r="3070" spans="5:11" x14ac:dyDescent="0.25">
      <c r="E3070" t="s">
        <v>6019</v>
      </c>
      <c r="F3070">
        <v>1563190</v>
      </c>
      <c r="G3070" s="1">
        <v>45382</v>
      </c>
      <c r="H3070" t="s">
        <v>6020</v>
      </c>
      <c r="I3070" t="s">
        <v>57</v>
      </c>
      <c r="J3070" s="1">
        <v>45292</v>
      </c>
      <c r="K3070">
        <v>-132900000</v>
      </c>
    </row>
    <row r="3071" spans="5:11" x14ac:dyDescent="0.25">
      <c r="E3071" t="s">
        <v>6021</v>
      </c>
      <c r="F3071">
        <v>1563298</v>
      </c>
      <c r="G3071" s="1">
        <v>45382</v>
      </c>
      <c r="H3071" t="s">
        <v>6022</v>
      </c>
      <c r="I3071" t="s">
        <v>33</v>
      </c>
      <c r="J3071" s="1">
        <v>45292</v>
      </c>
      <c r="K3071">
        <v>-938820</v>
      </c>
    </row>
    <row r="3072" spans="5:11" x14ac:dyDescent="0.25">
      <c r="E3072" t="s">
        <v>6023</v>
      </c>
      <c r="F3072">
        <v>1563568</v>
      </c>
      <c r="G3072" s="1">
        <v>45382</v>
      </c>
      <c r="H3072" t="s">
        <v>6024</v>
      </c>
      <c r="I3072" t="s">
        <v>251</v>
      </c>
      <c r="J3072" s="1">
        <v>45292</v>
      </c>
      <c r="K3072">
        <v>-4532363</v>
      </c>
    </row>
    <row r="3073" spans="5:11" x14ac:dyDescent="0.25">
      <c r="E3073" t="s">
        <v>6025</v>
      </c>
      <c r="F3073">
        <v>1563577</v>
      </c>
      <c r="G3073" s="1">
        <v>45382</v>
      </c>
      <c r="H3073" t="s">
        <v>6026</v>
      </c>
      <c r="I3073" t="s">
        <v>39</v>
      </c>
      <c r="J3073" s="1">
        <v>45292</v>
      </c>
      <c r="K3073">
        <v>-4381000</v>
      </c>
    </row>
    <row r="3074" spans="5:11" x14ac:dyDescent="0.25">
      <c r="E3074" t="s">
        <v>6027</v>
      </c>
      <c r="F3074">
        <v>1563665</v>
      </c>
      <c r="G3074" s="1">
        <v>45382</v>
      </c>
      <c r="H3074" t="s">
        <v>6028</v>
      </c>
      <c r="I3074" t="s">
        <v>24</v>
      </c>
      <c r="J3074" s="1">
        <v>45292</v>
      </c>
      <c r="K3074">
        <v>-2030000</v>
      </c>
    </row>
    <row r="3075" spans="5:11" x14ac:dyDescent="0.25">
      <c r="E3075" t="s">
        <v>6029</v>
      </c>
      <c r="F3075">
        <v>1563756</v>
      </c>
      <c r="G3075" s="1">
        <v>45382</v>
      </c>
      <c r="H3075" t="s">
        <v>6030</v>
      </c>
      <c r="I3075" t="s">
        <v>46</v>
      </c>
      <c r="J3075" s="1">
        <v>45292</v>
      </c>
      <c r="K3075">
        <v>-2987000</v>
      </c>
    </row>
    <row r="3076" spans="5:11" x14ac:dyDescent="0.25">
      <c r="E3076" t="s">
        <v>6031</v>
      </c>
      <c r="F3076">
        <v>1563880</v>
      </c>
      <c r="G3076" s="1">
        <v>45382</v>
      </c>
      <c r="H3076" t="s">
        <v>6032</v>
      </c>
      <c r="I3076" t="s">
        <v>27</v>
      </c>
      <c r="J3076" s="1">
        <v>45292</v>
      </c>
      <c r="K3076">
        <v>-10902000</v>
      </c>
    </row>
    <row r="3077" spans="5:11" x14ac:dyDescent="0.25">
      <c r="E3077" t="s">
        <v>6033</v>
      </c>
      <c r="F3077">
        <v>1563922</v>
      </c>
      <c r="G3077" s="1">
        <v>45382</v>
      </c>
      <c r="H3077" t="s">
        <v>6034</v>
      </c>
      <c r="I3077" t="s">
        <v>57</v>
      </c>
      <c r="J3077" s="1">
        <v>45292</v>
      </c>
      <c r="K3077">
        <v>-8479000</v>
      </c>
    </row>
    <row r="3078" spans="5:11" x14ac:dyDescent="0.25">
      <c r="E3078" t="s">
        <v>6035</v>
      </c>
      <c r="F3078">
        <v>1564408</v>
      </c>
      <c r="G3078" s="1">
        <v>45382</v>
      </c>
      <c r="H3078" t="s">
        <v>6036</v>
      </c>
      <c r="I3078" t="s">
        <v>36</v>
      </c>
      <c r="J3078" s="1">
        <v>45292</v>
      </c>
      <c r="K3078">
        <v>-305090000</v>
      </c>
    </row>
    <row r="3079" spans="5:11" x14ac:dyDescent="0.25">
      <c r="E3079" t="s">
        <v>6037</v>
      </c>
      <c r="F3079">
        <v>1564618</v>
      </c>
      <c r="G3079" s="1">
        <v>45382</v>
      </c>
      <c r="H3079" t="s">
        <v>6038</v>
      </c>
      <c r="I3079" t="s">
        <v>30</v>
      </c>
      <c r="J3079" s="1">
        <v>45292</v>
      </c>
      <c r="K3079">
        <v>24150000</v>
      </c>
    </row>
    <row r="3080" spans="5:11" x14ac:dyDescent="0.25">
      <c r="E3080" t="s">
        <v>6039</v>
      </c>
      <c r="F3080">
        <v>1564708</v>
      </c>
      <c r="G3080" s="1">
        <v>45382</v>
      </c>
      <c r="H3080" t="s">
        <v>6040</v>
      </c>
      <c r="I3080" t="s">
        <v>57</v>
      </c>
      <c r="J3080" s="1">
        <v>45292</v>
      </c>
      <c r="K3080">
        <v>30000000</v>
      </c>
    </row>
    <row r="3081" spans="5:11" x14ac:dyDescent="0.25">
      <c r="E3081" t="s">
        <v>6041</v>
      </c>
      <c r="F3081">
        <v>1564824</v>
      </c>
      <c r="G3081" s="1">
        <v>45382</v>
      </c>
      <c r="H3081" t="s">
        <v>6042</v>
      </c>
      <c r="I3081" t="s">
        <v>36</v>
      </c>
      <c r="J3081" s="1">
        <v>45292</v>
      </c>
      <c r="K3081">
        <v>-71146000</v>
      </c>
    </row>
    <row r="3082" spans="5:11" x14ac:dyDescent="0.25">
      <c r="E3082" t="s">
        <v>6043</v>
      </c>
      <c r="F3082">
        <v>1564902</v>
      </c>
      <c r="G3082" s="1">
        <v>45382</v>
      </c>
      <c r="H3082" t="s">
        <v>6044</v>
      </c>
      <c r="I3082" t="s">
        <v>33</v>
      </c>
      <c r="J3082" s="1">
        <v>45292</v>
      </c>
      <c r="K3082">
        <v>-11201000</v>
      </c>
    </row>
    <row r="3083" spans="5:11" x14ac:dyDescent="0.25">
      <c r="E3083" t="s">
        <v>6045</v>
      </c>
      <c r="F3083">
        <v>1565228</v>
      </c>
      <c r="G3083" s="1">
        <v>45382</v>
      </c>
      <c r="H3083" t="s">
        <v>6046</v>
      </c>
      <c r="I3083" t="s">
        <v>46</v>
      </c>
      <c r="J3083" s="1">
        <v>45292</v>
      </c>
      <c r="K3083">
        <v>-948000</v>
      </c>
    </row>
    <row r="3084" spans="5:11" x14ac:dyDescent="0.25">
      <c r="E3084" t="s">
        <v>6047</v>
      </c>
      <c r="F3084">
        <v>1565687</v>
      </c>
      <c r="G3084" s="1">
        <v>45382</v>
      </c>
      <c r="H3084" t="s">
        <v>6048</v>
      </c>
      <c r="I3084" t="s">
        <v>36</v>
      </c>
      <c r="J3084" s="1">
        <v>45292</v>
      </c>
      <c r="K3084">
        <v>-6890000</v>
      </c>
    </row>
    <row r="3085" spans="5:11" x14ac:dyDescent="0.25">
      <c r="E3085" t="s">
        <v>6049</v>
      </c>
      <c r="F3085">
        <v>1566011</v>
      </c>
      <c r="G3085" s="1">
        <v>45382</v>
      </c>
      <c r="H3085" t="s">
        <v>6050</v>
      </c>
      <c r="I3085" t="s">
        <v>46</v>
      </c>
      <c r="J3085" s="1">
        <v>45292</v>
      </c>
      <c r="K3085">
        <v>101100000</v>
      </c>
    </row>
    <row r="3086" spans="5:11" x14ac:dyDescent="0.25">
      <c r="E3086" t="s">
        <v>6051</v>
      </c>
      <c r="F3086">
        <v>1566044</v>
      </c>
      <c r="G3086" s="1">
        <v>45382</v>
      </c>
      <c r="H3086" t="s">
        <v>6052</v>
      </c>
      <c r="I3086" t="s">
        <v>46</v>
      </c>
      <c r="J3086" s="1">
        <v>45292</v>
      </c>
      <c r="K3086">
        <v>-6249000</v>
      </c>
    </row>
    <row r="3087" spans="5:11" x14ac:dyDescent="0.25">
      <c r="E3087" t="s">
        <v>6053</v>
      </c>
      <c r="F3087">
        <v>1566243</v>
      </c>
      <c r="G3087" s="1">
        <v>45412</v>
      </c>
      <c r="H3087" t="s">
        <v>6054</v>
      </c>
      <c r="I3087" t="s">
        <v>33</v>
      </c>
      <c r="J3087" s="1">
        <v>45323</v>
      </c>
      <c r="K3087">
        <v>213328</v>
      </c>
    </row>
    <row r="3088" spans="5:11" x14ac:dyDescent="0.25">
      <c r="E3088" t="s">
        <v>6055</v>
      </c>
      <c r="F3088">
        <v>1566610</v>
      </c>
      <c r="G3088" s="1">
        <v>45382</v>
      </c>
      <c r="H3088" t="s">
        <v>6056</v>
      </c>
      <c r="I3088" t="s">
        <v>142</v>
      </c>
      <c r="J3088" s="1">
        <v>45292</v>
      </c>
      <c r="K3088">
        <v>-3445000</v>
      </c>
    </row>
    <row r="3089" spans="5:11" x14ac:dyDescent="0.25">
      <c r="E3089" t="s">
        <v>6057</v>
      </c>
      <c r="F3089">
        <v>1566826</v>
      </c>
      <c r="G3089" s="1">
        <v>45382</v>
      </c>
      <c r="H3089" t="s">
        <v>6058</v>
      </c>
      <c r="I3089" t="s">
        <v>190</v>
      </c>
      <c r="J3089" s="1">
        <v>45292</v>
      </c>
      <c r="K3089">
        <v>-1744543</v>
      </c>
    </row>
    <row r="3090" spans="5:11" x14ac:dyDescent="0.25">
      <c r="E3090" t="s">
        <v>6059</v>
      </c>
      <c r="F3090">
        <v>1567094</v>
      </c>
      <c r="G3090" s="1">
        <v>45382</v>
      </c>
      <c r="H3090" t="s">
        <v>6060</v>
      </c>
      <c r="I3090" t="s">
        <v>594</v>
      </c>
      <c r="J3090" s="1">
        <v>45292</v>
      </c>
      <c r="K3090">
        <v>401000000</v>
      </c>
    </row>
    <row r="3091" spans="5:11" x14ac:dyDescent="0.25">
      <c r="E3091" t="s">
        <v>6061</v>
      </c>
      <c r="F3091">
        <v>1567264</v>
      </c>
      <c r="G3091" s="1">
        <v>45382</v>
      </c>
      <c r="H3091" t="s">
        <v>6062</v>
      </c>
      <c r="I3091" t="s">
        <v>27</v>
      </c>
      <c r="J3091" s="1">
        <v>45292</v>
      </c>
      <c r="K3091">
        <v>-4603000</v>
      </c>
    </row>
    <row r="3092" spans="5:11" x14ac:dyDescent="0.25">
      <c r="E3092" t="s">
        <v>10506</v>
      </c>
      <c r="F3092">
        <v>1567514</v>
      </c>
      <c r="G3092" s="1">
        <v>45382</v>
      </c>
      <c r="H3092" t="s">
        <v>6063</v>
      </c>
      <c r="I3092" t="s">
        <v>46</v>
      </c>
      <c r="J3092" s="1">
        <v>45292</v>
      </c>
      <c r="K3092">
        <v>-15247000</v>
      </c>
    </row>
    <row r="3093" spans="5:11" x14ac:dyDescent="0.25">
      <c r="E3093" t="s">
        <v>6064</v>
      </c>
      <c r="F3093">
        <v>1567683</v>
      </c>
      <c r="G3093" s="1">
        <v>45382</v>
      </c>
      <c r="H3093" t="s">
        <v>6065</v>
      </c>
      <c r="I3093" t="s">
        <v>46</v>
      </c>
      <c r="J3093" s="1">
        <v>45292</v>
      </c>
      <c r="K3093">
        <v>-2000000</v>
      </c>
    </row>
    <row r="3094" spans="5:11" x14ac:dyDescent="0.25">
      <c r="E3094" t="s">
        <v>6066</v>
      </c>
      <c r="F3094">
        <v>1567892</v>
      </c>
      <c r="G3094" s="1">
        <v>45380</v>
      </c>
      <c r="H3094" t="s">
        <v>6067</v>
      </c>
      <c r="I3094" t="s">
        <v>927</v>
      </c>
      <c r="J3094" s="1">
        <v>45290</v>
      </c>
      <c r="K3094">
        <v>-65400000</v>
      </c>
    </row>
    <row r="3095" spans="5:11" x14ac:dyDescent="0.25">
      <c r="E3095" t="s">
        <v>6068</v>
      </c>
      <c r="F3095">
        <v>1567900</v>
      </c>
      <c r="G3095" s="1">
        <v>45382</v>
      </c>
      <c r="H3095" t="s">
        <v>6069</v>
      </c>
      <c r="I3095" t="s">
        <v>30</v>
      </c>
      <c r="J3095" s="1">
        <v>45292</v>
      </c>
      <c r="K3095">
        <v>-863711</v>
      </c>
    </row>
    <row r="3096" spans="5:11" x14ac:dyDescent="0.25">
      <c r="E3096" t="s">
        <v>6070</v>
      </c>
      <c r="F3096">
        <v>1567925</v>
      </c>
      <c r="G3096" s="1">
        <v>45382</v>
      </c>
      <c r="H3096" t="s">
        <v>6071</v>
      </c>
      <c r="I3096" t="s">
        <v>33</v>
      </c>
      <c r="J3096" s="1">
        <v>45292</v>
      </c>
      <c r="K3096">
        <v>14980000</v>
      </c>
    </row>
    <row r="3097" spans="5:11" x14ac:dyDescent="0.25">
      <c r="E3097" t="s">
        <v>6072</v>
      </c>
      <c r="F3097">
        <v>1568100</v>
      </c>
      <c r="G3097" s="1">
        <v>45412</v>
      </c>
      <c r="H3097" t="s">
        <v>6073</v>
      </c>
      <c r="I3097" t="s">
        <v>36</v>
      </c>
      <c r="J3097" s="1">
        <v>45323</v>
      </c>
      <c r="K3097">
        <v>-17139000</v>
      </c>
    </row>
    <row r="3098" spans="5:11" x14ac:dyDescent="0.25">
      <c r="E3098" t="s">
        <v>6074</v>
      </c>
      <c r="F3098">
        <v>1568385</v>
      </c>
      <c r="G3098" s="1">
        <v>45382</v>
      </c>
      <c r="H3098" t="s">
        <v>6075</v>
      </c>
      <c r="I3098" t="s">
        <v>33</v>
      </c>
      <c r="J3098" s="1">
        <v>45292</v>
      </c>
      <c r="K3098">
        <v>-4766000</v>
      </c>
    </row>
    <row r="3099" spans="5:11" x14ac:dyDescent="0.25">
      <c r="E3099" t="s">
        <v>6076</v>
      </c>
      <c r="F3099">
        <v>1568651</v>
      </c>
      <c r="G3099" s="1">
        <v>45382</v>
      </c>
      <c r="H3099" t="s">
        <v>6077</v>
      </c>
      <c r="I3099" t="s">
        <v>57</v>
      </c>
      <c r="J3099" s="1">
        <v>45292</v>
      </c>
      <c r="K3099">
        <v>177368000</v>
      </c>
    </row>
    <row r="3100" spans="5:11" x14ac:dyDescent="0.25">
      <c r="E3100" t="s">
        <v>6078</v>
      </c>
      <c r="F3100">
        <v>1568969</v>
      </c>
      <c r="G3100" s="1">
        <v>45382</v>
      </c>
      <c r="H3100" t="s">
        <v>6079</v>
      </c>
      <c r="I3100" t="s">
        <v>1511</v>
      </c>
      <c r="J3100" s="1">
        <v>45292</v>
      </c>
      <c r="K3100">
        <v>-1244000</v>
      </c>
    </row>
    <row r="3101" spans="5:11" x14ac:dyDescent="0.25">
      <c r="E3101" t="s">
        <v>6080</v>
      </c>
      <c r="F3101">
        <v>1569187</v>
      </c>
      <c r="G3101" s="1">
        <v>45382</v>
      </c>
      <c r="H3101" t="s">
        <v>6081</v>
      </c>
      <c r="I3101" t="s">
        <v>123</v>
      </c>
      <c r="J3101" s="1">
        <v>45292</v>
      </c>
      <c r="K3101">
        <v>14073000</v>
      </c>
    </row>
    <row r="3102" spans="5:11" x14ac:dyDescent="0.25">
      <c r="E3102" t="s">
        <v>6082</v>
      </c>
      <c r="F3102">
        <v>1569340</v>
      </c>
      <c r="G3102" s="1">
        <v>45382</v>
      </c>
      <c r="H3102" t="s">
        <v>6083</v>
      </c>
      <c r="I3102" t="s">
        <v>57</v>
      </c>
      <c r="J3102" s="1">
        <v>45292</v>
      </c>
      <c r="K3102">
        <v>-1275406</v>
      </c>
    </row>
    <row r="3103" spans="5:11" x14ac:dyDescent="0.25">
      <c r="E3103" t="s">
        <v>6084</v>
      </c>
      <c r="F3103">
        <v>1569345</v>
      </c>
      <c r="G3103" s="1">
        <v>45412</v>
      </c>
      <c r="H3103" t="s">
        <v>6085</v>
      </c>
      <c r="I3103" t="s">
        <v>57</v>
      </c>
      <c r="J3103" s="1">
        <v>45323</v>
      </c>
      <c r="K3103">
        <v>10634000</v>
      </c>
    </row>
    <row r="3104" spans="5:11" x14ac:dyDescent="0.25">
      <c r="E3104" t="s">
        <v>6086</v>
      </c>
      <c r="F3104">
        <v>1569994</v>
      </c>
      <c r="G3104" s="1">
        <v>45382</v>
      </c>
      <c r="H3104" t="s">
        <v>6087</v>
      </c>
      <c r="I3104" t="s">
        <v>83</v>
      </c>
      <c r="J3104" s="1">
        <v>45292</v>
      </c>
      <c r="K3104">
        <v>3038000</v>
      </c>
    </row>
    <row r="3105" spans="5:11" x14ac:dyDescent="0.25">
      <c r="E3105" t="s">
        <v>6088</v>
      </c>
      <c r="F3105">
        <v>1570562</v>
      </c>
      <c r="G3105" s="1">
        <v>45382</v>
      </c>
      <c r="H3105" t="s">
        <v>6089</v>
      </c>
      <c r="I3105" t="s">
        <v>36</v>
      </c>
      <c r="J3105" s="1">
        <v>45292</v>
      </c>
      <c r="K3105">
        <v>-13109000</v>
      </c>
    </row>
    <row r="3106" spans="5:11" x14ac:dyDescent="0.25">
      <c r="E3106" t="s">
        <v>6090</v>
      </c>
      <c r="F3106">
        <v>1570585</v>
      </c>
      <c r="G3106" s="1">
        <v>45382</v>
      </c>
      <c r="H3106" t="s">
        <v>6091</v>
      </c>
      <c r="I3106" t="s">
        <v>919</v>
      </c>
      <c r="J3106" s="1">
        <v>45292</v>
      </c>
      <c r="K3106">
        <v>510000000</v>
      </c>
    </row>
    <row r="3107" spans="5:11" x14ac:dyDescent="0.25">
      <c r="E3107" t="s">
        <v>6092</v>
      </c>
      <c r="F3107">
        <v>1570827</v>
      </c>
      <c r="G3107" s="1">
        <v>45382</v>
      </c>
      <c r="H3107" t="s">
        <v>6093</v>
      </c>
      <c r="I3107" t="s">
        <v>30</v>
      </c>
      <c r="J3107" s="1">
        <v>45292</v>
      </c>
      <c r="K3107">
        <v>55691000</v>
      </c>
    </row>
    <row r="3108" spans="5:11" x14ac:dyDescent="0.25">
      <c r="E3108" t="s">
        <v>6094</v>
      </c>
      <c r="F3108">
        <v>1571123</v>
      </c>
      <c r="G3108" s="1">
        <v>45415</v>
      </c>
      <c r="H3108" t="s">
        <v>6095</v>
      </c>
      <c r="I3108" t="s">
        <v>123</v>
      </c>
      <c r="J3108" s="1">
        <v>45325</v>
      </c>
      <c r="K3108">
        <v>77000000</v>
      </c>
    </row>
    <row r="3109" spans="5:11" x14ac:dyDescent="0.25">
      <c r="E3109" t="s">
        <v>6096</v>
      </c>
      <c r="F3109">
        <v>1571283</v>
      </c>
      <c r="G3109" s="1">
        <v>45382</v>
      </c>
      <c r="H3109" t="s">
        <v>6097</v>
      </c>
      <c r="I3109" t="s">
        <v>36</v>
      </c>
      <c r="J3109" s="1">
        <v>45292</v>
      </c>
      <c r="K3109">
        <v>61371000</v>
      </c>
    </row>
    <row r="3110" spans="5:11" x14ac:dyDescent="0.25">
      <c r="E3110" t="s">
        <v>6098</v>
      </c>
      <c r="F3110">
        <v>1571329</v>
      </c>
      <c r="G3110" s="1">
        <v>45382</v>
      </c>
      <c r="H3110" t="s">
        <v>6099</v>
      </c>
      <c r="I3110" t="s">
        <v>57</v>
      </c>
      <c r="J3110" s="1">
        <v>45292</v>
      </c>
      <c r="K3110">
        <v>1851000</v>
      </c>
    </row>
    <row r="3111" spans="5:11" x14ac:dyDescent="0.25">
      <c r="E3111" t="s">
        <v>6100</v>
      </c>
      <c r="F3111">
        <v>1571934</v>
      </c>
      <c r="G3111" s="1">
        <v>45382</v>
      </c>
      <c r="H3111" t="s">
        <v>6101</v>
      </c>
      <c r="I3111" t="s">
        <v>57</v>
      </c>
      <c r="J3111" s="1">
        <v>45292</v>
      </c>
      <c r="K3111">
        <v>-206699</v>
      </c>
    </row>
    <row r="3112" spans="5:11" x14ac:dyDescent="0.25">
      <c r="E3112" t="s">
        <v>6102</v>
      </c>
      <c r="F3112">
        <v>1571949</v>
      </c>
      <c r="G3112" s="1">
        <v>45382</v>
      </c>
      <c r="H3112" t="s">
        <v>6103</v>
      </c>
      <c r="I3112" t="s">
        <v>64</v>
      </c>
      <c r="J3112" s="1">
        <v>45292</v>
      </c>
      <c r="K3112">
        <v>767000000</v>
      </c>
    </row>
    <row r="3113" spans="5:11" x14ac:dyDescent="0.25">
      <c r="E3113" t="s">
        <v>6104</v>
      </c>
      <c r="F3113">
        <v>1571996</v>
      </c>
      <c r="G3113" s="1">
        <v>45415</v>
      </c>
      <c r="H3113" t="s">
        <v>6105</v>
      </c>
      <c r="I3113" t="s">
        <v>30</v>
      </c>
      <c r="J3113" s="1">
        <v>45325</v>
      </c>
      <c r="K3113">
        <v>960000000</v>
      </c>
    </row>
    <row r="3114" spans="5:11" x14ac:dyDescent="0.25">
      <c r="E3114" t="s">
        <v>6106</v>
      </c>
      <c r="F3114">
        <v>1572334</v>
      </c>
      <c r="G3114" s="1">
        <v>45382</v>
      </c>
      <c r="H3114" t="s">
        <v>6107</v>
      </c>
      <c r="I3114" t="s">
        <v>123</v>
      </c>
      <c r="J3114" s="1">
        <v>45292</v>
      </c>
      <c r="K3114">
        <v>3646000</v>
      </c>
    </row>
    <row r="3115" spans="5:11" x14ac:dyDescent="0.25">
      <c r="E3115" t="s">
        <v>6108</v>
      </c>
      <c r="F3115">
        <v>1572386</v>
      </c>
      <c r="G3115" s="1">
        <v>45382</v>
      </c>
      <c r="H3115" t="s">
        <v>6109</v>
      </c>
      <c r="I3115" t="s">
        <v>30</v>
      </c>
      <c r="J3115" s="1">
        <v>45292</v>
      </c>
      <c r="K3115">
        <v>-357071</v>
      </c>
    </row>
    <row r="3116" spans="5:11" x14ac:dyDescent="0.25">
      <c r="E3116" t="s">
        <v>6110</v>
      </c>
      <c r="F3116">
        <v>1572616</v>
      </c>
      <c r="G3116" s="1">
        <v>45382</v>
      </c>
      <c r="H3116" t="s">
        <v>6111</v>
      </c>
      <c r="I3116" t="s">
        <v>24</v>
      </c>
      <c r="J3116" s="1">
        <v>45292</v>
      </c>
      <c r="K3116">
        <v>-3322000</v>
      </c>
    </row>
    <row r="3117" spans="5:11" x14ac:dyDescent="0.25">
      <c r="E3117" t="s">
        <v>6112</v>
      </c>
      <c r="F3117">
        <v>1573221</v>
      </c>
      <c r="G3117" s="1">
        <v>45382</v>
      </c>
      <c r="H3117" t="s">
        <v>6113</v>
      </c>
      <c r="I3117" t="s">
        <v>36</v>
      </c>
      <c r="J3117" s="1">
        <v>45292</v>
      </c>
      <c r="K3117">
        <v>-31101000</v>
      </c>
    </row>
    <row r="3118" spans="5:11" x14ac:dyDescent="0.25">
      <c r="E3118" t="s">
        <v>10507</v>
      </c>
      <c r="F3118">
        <v>1573516</v>
      </c>
      <c r="G3118" s="1">
        <v>45382</v>
      </c>
      <c r="H3118" t="s">
        <v>6114</v>
      </c>
      <c r="I3118" t="s">
        <v>251</v>
      </c>
      <c r="J3118" s="1">
        <v>45292</v>
      </c>
      <c r="K3118">
        <v>66000000</v>
      </c>
    </row>
    <row r="3119" spans="5:11" x14ac:dyDescent="0.25">
      <c r="E3119" t="s">
        <v>6115</v>
      </c>
      <c r="F3119">
        <v>1574085</v>
      </c>
      <c r="G3119" s="1">
        <v>45382</v>
      </c>
      <c r="H3119" t="s">
        <v>6116</v>
      </c>
      <c r="I3119" t="s">
        <v>30</v>
      </c>
      <c r="J3119" s="1">
        <v>45292</v>
      </c>
      <c r="K3119">
        <v>15929000</v>
      </c>
    </row>
    <row r="3120" spans="5:11" x14ac:dyDescent="0.25">
      <c r="E3120" t="s">
        <v>6117</v>
      </c>
      <c r="F3120">
        <v>1574094</v>
      </c>
      <c r="G3120" s="1">
        <v>45382</v>
      </c>
      <c r="H3120" t="s">
        <v>6118</v>
      </c>
      <c r="I3120" t="s">
        <v>36</v>
      </c>
      <c r="J3120" s="1">
        <v>45292</v>
      </c>
      <c r="K3120">
        <v>-1076000</v>
      </c>
    </row>
    <row r="3121" spans="5:11" x14ac:dyDescent="0.25">
      <c r="E3121" t="s">
        <v>6119</v>
      </c>
      <c r="F3121">
        <v>1574197</v>
      </c>
      <c r="G3121" s="1">
        <v>45382</v>
      </c>
      <c r="H3121" t="s">
        <v>6120</v>
      </c>
      <c r="I3121" t="s">
        <v>36</v>
      </c>
      <c r="J3121" s="1">
        <v>45292</v>
      </c>
      <c r="K3121">
        <v>2326000</v>
      </c>
    </row>
    <row r="3122" spans="5:11" x14ac:dyDescent="0.25">
      <c r="E3122" t="s">
        <v>6121</v>
      </c>
      <c r="F3122">
        <v>1574235</v>
      </c>
      <c r="G3122" s="1">
        <v>45382</v>
      </c>
      <c r="H3122" t="s">
        <v>6122</v>
      </c>
      <c r="I3122" t="s">
        <v>24</v>
      </c>
      <c r="J3122" s="1">
        <v>45292</v>
      </c>
      <c r="K3122">
        <v>825000</v>
      </c>
    </row>
    <row r="3123" spans="5:11" x14ac:dyDescent="0.25">
      <c r="E3123" t="s">
        <v>6123</v>
      </c>
      <c r="F3123">
        <v>1575048</v>
      </c>
      <c r="G3123" s="1">
        <v>45382</v>
      </c>
      <c r="H3123" t="s">
        <v>6124</v>
      </c>
      <c r="I3123" t="s">
        <v>36</v>
      </c>
      <c r="J3123" s="1">
        <v>45292</v>
      </c>
      <c r="K3123">
        <v>8000</v>
      </c>
    </row>
    <row r="3124" spans="5:11" x14ac:dyDescent="0.25">
      <c r="E3124" t="s">
        <v>6125</v>
      </c>
      <c r="F3124">
        <v>1575142</v>
      </c>
      <c r="G3124" s="1">
        <v>45382</v>
      </c>
      <c r="H3124" t="s">
        <v>6126</v>
      </c>
      <c r="I3124" t="s">
        <v>142</v>
      </c>
      <c r="J3124" s="1">
        <v>45292</v>
      </c>
      <c r="K3124">
        <v>-306707</v>
      </c>
    </row>
    <row r="3125" spans="5:11" x14ac:dyDescent="0.25">
      <c r="E3125" t="s">
        <v>6127</v>
      </c>
      <c r="F3125">
        <v>1575295</v>
      </c>
      <c r="G3125" s="1">
        <v>45351</v>
      </c>
      <c r="H3125" t="s">
        <v>6128</v>
      </c>
      <c r="I3125" t="s">
        <v>2552</v>
      </c>
      <c r="J3125" s="1">
        <v>45261</v>
      </c>
      <c r="K3125">
        <v>-865826</v>
      </c>
    </row>
    <row r="3126" spans="5:11" x14ac:dyDescent="0.25">
      <c r="E3126" t="s">
        <v>6129</v>
      </c>
      <c r="F3126">
        <v>1575434</v>
      </c>
      <c r="G3126" s="1">
        <v>45382</v>
      </c>
      <c r="H3126" t="s">
        <v>6130</v>
      </c>
      <c r="I3126" t="s">
        <v>19</v>
      </c>
      <c r="J3126" s="1">
        <v>45292</v>
      </c>
      <c r="K3126">
        <v>-5526000</v>
      </c>
    </row>
    <row r="3127" spans="5:11" x14ac:dyDescent="0.25">
      <c r="E3127" t="s">
        <v>6131</v>
      </c>
      <c r="F3127">
        <v>1575515</v>
      </c>
      <c r="G3127" s="1">
        <v>45382</v>
      </c>
      <c r="H3127" t="s">
        <v>6132</v>
      </c>
      <c r="I3127" t="s">
        <v>113</v>
      </c>
      <c r="J3127" s="1">
        <v>45292</v>
      </c>
      <c r="K3127">
        <v>114100000</v>
      </c>
    </row>
    <row r="3128" spans="5:11" x14ac:dyDescent="0.25">
      <c r="E3128" t="s">
        <v>6133</v>
      </c>
      <c r="F3128">
        <v>1575793</v>
      </c>
      <c r="G3128" s="1">
        <v>45382</v>
      </c>
      <c r="H3128" t="s">
        <v>6134</v>
      </c>
      <c r="I3128" t="s">
        <v>36</v>
      </c>
      <c r="J3128" s="1">
        <v>45292</v>
      </c>
      <c r="K3128">
        <v>-6599000</v>
      </c>
    </row>
    <row r="3129" spans="5:11" x14ac:dyDescent="0.25">
      <c r="E3129" t="s">
        <v>10508</v>
      </c>
      <c r="F3129">
        <v>1575828</v>
      </c>
      <c r="G3129" s="1">
        <v>45382</v>
      </c>
      <c r="H3129" t="s">
        <v>6135</v>
      </c>
      <c r="I3129" t="s">
        <v>30</v>
      </c>
      <c r="J3129" s="1">
        <v>45292</v>
      </c>
      <c r="K3129">
        <v>-2677000</v>
      </c>
    </row>
    <row r="3130" spans="5:11" x14ac:dyDescent="0.25">
      <c r="E3130" t="s">
        <v>6136</v>
      </c>
      <c r="F3130">
        <v>1575858</v>
      </c>
      <c r="G3130" s="1">
        <v>45351</v>
      </c>
      <c r="H3130" t="s">
        <v>6137</v>
      </c>
      <c r="I3130" t="s">
        <v>36</v>
      </c>
      <c r="J3130" s="1">
        <v>45261</v>
      </c>
      <c r="K3130">
        <v>-490972</v>
      </c>
    </row>
    <row r="3131" spans="5:11" x14ac:dyDescent="0.25">
      <c r="E3131" t="s">
        <v>6138</v>
      </c>
      <c r="F3131">
        <v>1575965</v>
      </c>
      <c r="G3131" s="1">
        <v>45382</v>
      </c>
      <c r="H3131" t="s">
        <v>6139</v>
      </c>
      <c r="I3131" t="s">
        <v>39</v>
      </c>
      <c r="J3131" s="1">
        <v>45292</v>
      </c>
      <c r="K3131">
        <v>174464000</v>
      </c>
    </row>
    <row r="3132" spans="5:11" x14ac:dyDescent="0.25">
      <c r="E3132" t="s">
        <v>6140</v>
      </c>
      <c r="F3132">
        <v>1576018</v>
      </c>
      <c r="G3132" s="1">
        <v>45382</v>
      </c>
      <c r="H3132" t="s">
        <v>6141</v>
      </c>
      <c r="I3132" t="s">
        <v>919</v>
      </c>
      <c r="J3132" s="1">
        <v>45292</v>
      </c>
      <c r="K3132">
        <v>94800000</v>
      </c>
    </row>
    <row r="3133" spans="5:11" x14ac:dyDescent="0.25">
      <c r="E3133" t="s">
        <v>6142</v>
      </c>
      <c r="F3133">
        <v>1576197</v>
      </c>
      <c r="G3133" s="1">
        <v>45382</v>
      </c>
      <c r="H3133" t="s">
        <v>6143</v>
      </c>
      <c r="I3133" t="s">
        <v>92</v>
      </c>
      <c r="J3133" s="1">
        <v>45292</v>
      </c>
      <c r="K3133">
        <v>-352200</v>
      </c>
    </row>
    <row r="3134" spans="5:11" x14ac:dyDescent="0.25">
      <c r="E3134" t="s">
        <v>6144</v>
      </c>
      <c r="F3134">
        <v>1576280</v>
      </c>
      <c r="G3134" s="1">
        <v>45382</v>
      </c>
      <c r="H3134" t="s">
        <v>6145</v>
      </c>
      <c r="I3134" t="s">
        <v>36</v>
      </c>
      <c r="J3134" s="1">
        <v>45292</v>
      </c>
      <c r="K3134">
        <v>-114985000</v>
      </c>
    </row>
    <row r="3135" spans="5:11" x14ac:dyDescent="0.25">
      <c r="E3135" t="s">
        <v>6146</v>
      </c>
      <c r="F3135">
        <v>1576427</v>
      </c>
      <c r="G3135" s="1">
        <v>45382</v>
      </c>
      <c r="H3135" t="s">
        <v>6147</v>
      </c>
      <c r="I3135" t="s">
        <v>6148</v>
      </c>
      <c r="J3135" s="1">
        <v>45292</v>
      </c>
      <c r="K3135">
        <v>7244000</v>
      </c>
    </row>
    <row r="3136" spans="5:11" x14ac:dyDescent="0.25">
      <c r="E3136" t="s">
        <v>6149</v>
      </c>
      <c r="F3136">
        <v>1576873</v>
      </c>
      <c r="G3136" s="1">
        <v>45382</v>
      </c>
      <c r="H3136" t="s">
        <v>6150</v>
      </c>
      <c r="I3136" t="s">
        <v>142</v>
      </c>
      <c r="J3136" s="1">
        <v>45292</v>
      </c>
      <c r="K3136">
        <v>-9995137</v>
      </c>
    </row>
    <row r="3137" spans="5:11" x14ac:dyDescent="0.25">
      <c r="E3137" t="s">
        <v>6151</v>
      </c>
      <c r="F3137">
        <v>1576885</v>
      </c>
      <c r="G3137" s="1">
        <v>45382</v>
      </c>
      <c r="H3137" t="s">
        <v>6152</v>
      </c>
      <c r="I3137" t="s">
        <v>123</v>
      </c>
      <c r="J3137" s="1">
        <v>45292</v>
      </c>
      <c r="K3137">
        <v>-14873000</v>
      </c>
    </row>
    <row r="3138" spans="5:11" x14ac:dyDescent="0.25">
      <c r="E3138" t="s">
        <v>6153</v>
      </c>
      <c r="F3138">
        <v>1576940</v>
      </c>
      <c r="G3138" s="1">
        <v>45382</v>
      </c>
      <c r="H3138" t="s">
        <v>6154</v>
      </c>
      <c r="I3138" t="s">
        <v>92</v>
      </c>
      <c r="J3138" s="1">
        <v>45292</v>
      </c>
      <c r="K3138">
        <v>64332000</v>
      </c>
    </row>
    <row r="3139" spans="5:11" x14ac:dyDescent="0.25">
      <c r="E3139" t="s">
        <v>6155</v>
      </c>
      <c r="F3139">
        <v>1576942</v>
      </c>
      <c r="G3139" s="1">
        <v>45409</v>
      </c>
      <c r="H3139" t="s">
        <v>6156</v>
      </c>
      <c r="I3139" t="s">
        <v>36</v>
      </c>
      <c r="J3139" s="1">
        <v>45319</v>
      </c>
      <c r="K3139">
        <v>-21328000</v>
      </c>
    </row>
    <row r="3140" spans="5:11" x14ac:dyDescent="0.25">
      <c r="E3140" t="s">
        <v>6157</v>
      </c>
      <c r="F3140">
        <v>1577134</v>
      </c>
      <c r="G3140" s="1">
        <v>45382</v>
      </c>
      <c r="H3140" t="s">
        <v>6158</v>
      </c>
      <c r="I3140" t="s">
        <v>57</v>
      </c>
      <c r="J3140" s="1">
        <v>45292</v>
      </c>
      <c r="K3140">
        <v>-3058870</v>
      </c>
    </row>
    <row r="3141" spans="5:11" x14ac:dyDescent="0.25">
      <c r="E3141" t="s">
        <v>6159</v>
      </c>
      <c r="F3141">
        <v>1577437</v>
      </c>
      <c r="G3141" s="1">
        <v>45382</v>
      </c>
      <c r="H3141" t="s">
        <v>6160</v>
      </c>
      <c r="I3141" t="s">
        <v>3015</v>
      </c>
      <c r="J3141" s="1">
        <v>45292</v>
      </c>
      <c r="K3141">
        <v>39237000</v>
      </c>
    </row>
    <row r="3142" spans="5:11" x14ac:dyDescent="0.25">
      <c r="E3142" t="s">
        <v>6161</v>
      </c>
      <c r="F3142">
        <v>1577445</v>
      </c>
      <c r="G3142" s="1">
        <v>45382</v>
      </c>
      <c r="H3142" t="s">
        <v>6162</v>
      </c>
      <c r="I3142" t="s">
        <v>1511</v>
      </c>
      <c r="J3142" s="1">
        <v>45292</v>
      </c>
      <c r="K3142">
        <v>-3162000</v>
      </c>
    </row>
    <row r="3143" spans="5:11" x14ac:dyDescent="0.25">
      <c r="E3143" t="s">
        <v>6163</v>
      </c>
      <c r="F3143">
        <v>1578329</v>
      </c>
      <c r="G3143" s="1">
        <v>45382</v>
      </c>
      <c r="H3143" t="s">
        <v>6164</v>
      </c>
      <c r="I3143" t="s">
        <v>113</v>
      </c>
      <c r="J3143" s="1">
        <v>45292</v>
      </c>
      <c r="K3143">
        <v>-9605</v>
      </c>
    </row>
    <row r="3144" spans="5:11" x14ac:dyDescent="0.25">
      <c r="E3144" t="s">
        <v>6165</v>
      </c>
      <c r="F3144">
        <v>1578348</v>
      </c>
      <c r="G3144" s="1">
        <v>45382</v>
      </c>
      <c r="H3144" t="s">
        <v>6166</v>
      </c>
      <c r="I3144" t="s">
        <v>57</v>
      </c>
      <c r="J3144" s="1">
        <v>45292</v>
      </c>
      <c r="K3144">
        <v>2411740</v>
      </c>
    </row>
    <row r="3145" spans="5:11" x14ac:dyDescent="0.25">
      <c r="E3145" t="s">
        <v>6167</v>
      </c>
      <c r="F3145">
        <v>1578732</v>
      </c>
      <c r="G3145" s="1">
        <v>45382</v>
      </c>
      <c r="H3145" t="s">
        <v>6168</v>
      </c>
      <c r="I3145" t="s">
        <v>36</v>
      </c>
      <c r="J3145" s="1">
        <v>45292</v>
      </c>
      <c r="K3145">
        <v>-9987000</v>
      </c>
    </row>
    <row r="3146" spans="5:11" x14ac:dyDescent="0.25">
      <c r="E3146" t="s">
        <v>6169</v>
      </c>
      <c r="F3146">
        <v>1579091</v>
      </c>
      <c r="G3146" s="1">
        <v>45382</v>
      </c>
      <c r="H3146" t="s">
        <v>6170</v>
      </c>
      <c r="I3146" t="s">
        <v>36</v>
      </c>
      <c r="J3146" s="1">
        <v>45292</v>
      </c>
      <c r="K3146">
        <v>130000000</v>
      </c>
    </row>
    <row r="3147" spans="5:11" x14ac:dyDescent="0.25">
      <c r="E3147" t="s">
        <v>6171</v>
      </c>
      <c r="F3147">
        <v>1579157</v>
      </c>
      <c r="G3147" s="1">
        <v>45416</v>
      </c>
      <c r="H3147" t="s">
        <v>6172</v>
      </c>
      <c r="I3147" t="s">
        <v>57</v>
      </c>
      <c r="J3147" s="1">
        <v>45326</v>
      </c>
      <c r="K3147">
        <v>4380000</v>
      </c>
    </row>
    <row r="3148" spans="5:11" x14ac:dyDescent="0.25">
      <c r="E3148" t="s">
        <v>6173</v>
      </c>
      <c r="F3148">
        <v>1579241</v>
      </c>
      <c r="G3148" s="1">
        <v>45382</v>
      </c>
      <c r="H3148" t="s">
        <v>6174</v>
      </c>
      <c r="I3148" t="s">
        <v>927</v>
      </c>
      <c r="J3148" s="1">
        <v>45292</v>
      </c>
      <c r="K3148">
        <v>123800000</v>
      </c>
    </row>
    <row r="3149" spans="5:11" x14ac:dyDescent="0.25">
      <c r="E3149" t="s">
        <v>10509</v>
      </c>
      <c r="F3149">
        <v>1579298</v>
      </c>
      <c r="G3149" s="1">
        <v>45416</v>
      </c>
      <c r="H3149" t="s">
        <v>6175</v>
      </c>
      <c r="I3149" t="s">
        <v>46</v>
      </c>
      <c r="J3149" s="1">
        <v>45326</v>
      </c>
      <c r="K3149">
        <v>78514000</v>
      </c>
    </row>
    <row r="3150" spans="5:11" x14ac:dyDescent="0.25">
      <c r="E3150" t="s">
        <v>6176</v>
      </c>
      <c r="F3150">
        <v>1579428</v>
      </c>
      <c r="G3150" s="1">
        <v>45382</v>
      </c>
      <c r="H3150" t="s">
        <v>6177</v>
      </c>
      <c r="I3150" t="s">
        <v>57</v>
      </c>
      <c r="J3150" s="1">
        <v>45292</v>
      </c>
      <c r="K3150">
        <v>-68357000</v>
      </c>
    </row>
    <row r="3151" spans="5:11" x14ac:dyDescent="0.25">
      <c r="E3151" t="s">
        <v>6178</v>
      </c>
      <c r="F3151">
        <v>1579684</v>
      </c>
      <c r="G3151" s="1">
        <v>45382</v>
      </c>
      <c r="H3151" t="s">
        <v>6179</v>
      </c>
      <c r="I3151" t="s">
        <v>57</v>
      </c>
      <c r="J3151" s="1">
        <v>45292</v>
      </c>
      <c r="K3151">
        <v>-84768000</v>
      </c>
    </row>
    <row r="3152" spans="5:11" x14ac:dyDescent="0.25">
      <c r="E3152" t="s">
        <v>6180</v>
      </c>
      <c r="F3152">
        <v>1579733</v>
      </c>
      <c r="G3152" s="1">
        <v>45382</v>
      </c>
      <c r="H3152" t="s">
        <v>6181</v>
      </c>
      <c r="I3152" t="s">
        <v>30</v>
      </c>
      <c r="J3152" s="1">
        <v>45292</v>
      </c>
      <c r="K3152">
        <v>19023000</v>
      </c>
    </row>
    <row r="3153" spans="5:11" x14ac:dyDescent="0.25">
      <c r="E3153" t="s">
        <v>6182</v>
      </c>
      <c r="F3153">
        <v>1579877</v>
      </c>
      <c r="G3153" s="1">
        <v>45382</v>
      </c>
      <c r="H3153" t="s">
        <v>6183</v>
      </c>
      <c r="I3153" t="s">
        <v>57</v>
      </c>
      <c r="J3153" s="1">
        <v>45292</v>
      </c>
      <c r="K3153">
        <v>-27200000</v>
      </c>
    </row>
    <row r="3154" spans="5:11" x14ac:dyDescent="0.25">
      <c r="E3154" t="s">
        <v>6184</v>
      </c>
      <c r="F3154">
        <v>1580063</v>
      </c>
      <c r="G3154" s="1">
        <v>45382</v>
      </c>
      <c r="H3154" t="s">
        <v>6185</v>
      </c>
      <c r="I3154" t="s">
        <v>36</v>
      </c>
      <c r="J3154" s="1">
        <v>45292</v>
      </c>
      <c r="K3154">
        <v>-4189000</v>
      </c>
    </row>
    <row r="3155" spans="5:11" x14ac:dyDescent="0.25">
      <c r="E3155" t="s">
        <v>6186</v>
      </c>
      <c r="F3155">
        <v>1580149</v>
      </c>
      <c r="G3155" s="1">
        <v>45382</v>
      </c>
      <c r="H3155" t="s">
        <v>6187</v>
      </c>
      <c r="I3155" t="s">
        <v>142</v>
      </c>
      <c r="J3155" s="1">
        <v>45292</v>
      </c>
      <c r="K3155">
        <v>-8067830</v>
      </c>
    </row>
    <row r="3156" spans="5:11" x14ac:dyDescent="0.25">
      <c r="E3156" t="s">
        <v>6188</v>
      </c>
      <c r="F3156">
        <v>1580345</v>
      </c>
      <c r="G3156" s="1">
        <v>45382</v>
      </c>
      <c r="H3156" t="s">
        <v>6189</v>
      </c>
      <c r="I3156" t="s">
        <v>36</v>
      </c>
      <c r="J3156" s="1">
        <v>45292</v>
      </c>
      <c r="K3156">
        <v>7979000</v>
      </c>
    </row>
    <row r="3157" spans="5:11" x14ac:dyDescent="0.25">
      <c r="E3157" t="s">
        <v>6190</v>
      </c>
      <c r="F3157">
        <v>1580490</v>
      </c>
      <c r="G3157" s="1">
        <v>45382</v>
      </c>
      <c r="H3157" t="s">
        <v>6191</v>
      </c>
      <c r="I3157" t="s">
        <v>19</v>
      </c>
      <c r="J3157" s="1">
        <v>45292</v>
      </c>
      <c r="K3157">
        <v>-293919</v>
      </c>
    </row>
    <row r="3158" spans="5:11" x14ac:dyDescent="0.25">
      <c r="E3158" t="s">
        <v>6192</v>
      </c>
      <c r="F3158">
        <v>1580560</v>
      </c>
      <c r="G3158" s="1">
        <v>45382</v>
      </c>
      <c r="H3158" t="s">
        <v>6193</v>
      </c>
      <c r="I3158" t="s">
        <v>24</v>
      </c>
      <c r="J3158" s="1">
        <v>45292</v>
      </c>
      <c r="K3158">
        <v>-6217000</v>
      </c>
    </row>
    <row r="3159" spans="5:11" x14ac:dyDescent="0.25">
      <c r="E3159" t="s">
        <v>6194</v>
      </c>
      <c r="F3159">
        <v>1580670</v>
      </c>
      <c r="G3159" s="1">
        <v>45382</v>
      </c>
      <c r="H3159" t="s">
        <v>6195</v>
      </c>
      <c r="I3159" t="s">
        <v>30</v>
      </c>
      <c r="J3159" s="1">
        <v>45292</v>
      </c>
      <c r="K3159">
        <v>17053000</v>
      </c>
    </row>
    <row r="3160" spans="5:11" x14ac:dyDescent="0.25">
      <c r="E3160" t="s">
        <v>6196</v>
      </c>
      <c r="F3160">
        <v>1580808</v>
      </c>
      <c r="G3160" s="1">
        <v>45382</v>
      </c>
      <c r="H3160" t="s">
        <v>6197</v>
      </c>
      <c r="I3160" t="s">
        <v>36</v>
      </c>
      <c r="J3160" s="1">
        <v>45292</v>
      </c>
      <c r="K3160">
        <v>9726000</v>
      </c>
    </row>
    <row r="3161" spans="5:11" x14ac:dyDescent="0.25">
      <c r="E3161" t="s">
        <v>6198</v>
      </c>
      <c r="F3161">
        <v>1580864</v>
      </c>
      <c r="G3161" s="1">
        <v>45382</v>
      </c>
      <c r="H3161" t="s">
        <v>6199</v>
      </c>
      <c r="I3161" t="s">
        <v>30</v>
      </c>
      <c r="J3161" s="1">
        <v>45292</v>
      </c>
      <c r="K3161">
        <v>-67617000</v>
      </c>
    </row>
    <row r="3162" spans="5:11" x14ac:dyDescent="0.25">
      <c r="E3162" t="s">
        <v>6200</v>
      </c>
      <c r="F3162">
        <v>1580905</v>
      </c>
      <c r="G3162" s="1">
        <v>45382</v>
      </c>
      <c r="H3162" t="s">
        <v>6201</v>
      </c>
      <c r="I3162" t="s">
        <v>60</v>
      </c>
      <c r="J3162" s="1">
        <v>45292</v>
      </c>
      <c r="K3162">
        <v>55900000</v>
      </c>
    </row>
    <row r="3163" spans="5:11" x14ac:dyDescent="0.25">
      <c r="E3163" t="s">
        <v>6202</v>
      </c>
      <c r="F3163">
        <v>1581091</v>
      </c>
      <c r="G3163" s="1">
        <v>45382</v>
      </c>
      <c r="H3163" t="s">
        <v>6203</v>
      </c>
      <c r="I3163" t="s">
        <v>92</v>
      </c>
      <c r="J3163" s="1">
        <v>45292</v>
      </c>
      <c r="K3163">
        <v>-3353000</v>
      </c>
    </row>
    <row r="3164" spans="5:11" x14ac:dyDescent="0.25">
      <c r="E3164" t="s">
        <v>6204</v>
      </c>
      <c r="F3164">
        <v>1581280</v>
      </c>
      <c r="G3164" s="1">
        <v>45382</v>
      </c>
      <c r="H3164" t="s">
        <v>6205</v>
      </c>
      <c r="I3164" t="s">
        <v>36</v>
      </c>
      <c r="J3164" s="1">
        <v>45292</v>
      </c>
      <c r="K3164">
        <v>-45492000</v>
      </c>
    </row>
    <row r="3165" spans="5:11" x14ac:dyDescent="0.25">
      <c r="E3165" t="s">
        <v>6206</v>
      </c>
      <c r="F3165">
        <v>1581552</v>
      </c>
      <c r="G3165" s="1">
        <v>45382</v>
      </c>
      <c r="H3165" t="s">
        <v>6207</v>
      </c>
      <c r="I3165" t="s">
        <v>30</v>
      </c>
      <c r="J3165" s="1">
        <v>45292</v>
      </c>
      <c r="K3165">
        <v>5270636</v>
      </c>
    </row>
    <row r="3166" spans="5:11" x14ac:dyDescent="0.25">
      <c r="E3166" t="s">
        <v>6208</v>
      </c>
      <c r="F3166">
        <v>1581760</v>
      </c>
      <c r="G3166" s="1">
        <v>45382</v>
      </c>
      <c r="H3166" t="s">
        <v>6209</v>
      </c>
      <c r="I3166" t="s">
        <v>36</v>
      </c>
      <c r="J3166" s="1">
        <v>45292</v>
      </c>
      <c r="K3166">
        <v>-9777000</v>
      </c>
    </row>
    <row r="3167" spans="5:11" x14ac:dyDescent="0.25">
      <c r="E3167" t="s">
        <v>6210</v>
      </c>
      <c r="F3167">
        <v>1581990</v>
      </c>
      <c r="G3167" s="1">
        <v>45382</v>
      </c>
      <c r="H3167" t="s">
        <v>6211</v>
      </c>
      <c r="I3167" t="s">
        <v>30</v>
      </c>
      <c r="J3167" s="1">
        <v>45292</v>
      </c>
      <c r="K3167">
        <v>42000000</v>
      </c>
    </row>
    <row r="3168" spans="5:11" x14ac:dyDescent="0.25">
      <c r="E3168" t="s">
        <v>6212</v>
      </c>
      <c r="F3168">
        <v>1582249</v>
      </c>
      <c r="G3168" s="1">
        <v>45382</v>
      </c>
      <c r="H3168" t="s">
        <v>6213</v>
      </c>
      <c r="I3168" t="s">
        <v>57</v>
      </c>
      <c r="J3168" s="1">
        <v>45292</v>
      </c>
      <c r="K3168">
        <v>-95518</v>
      </c>
    </row>
    <row r="3169" spans="5:11" x14ac:dyDescent="0.25">
      <c r="E3169" t="s">
        <v>6214</v>
      </c>
      <c r="F3169">
        <v>1582313</v>
      </c>
      <c r="G3169" s="1">
        <v>45382</v>
      </c>
      <c r="H3169" t="s">
        <v>6215</v>
      </c>
      <c r="I3169" t="s">
        <v>2552</v>
      </c>
      <c r="J3169" s="1">
        <v>45292</v>
      </c>
      <c r="K3169">
        <v>-47931000</v>
      </c>
    </row>
    <row r="3170" spans="5:11" x14ac:dyDescent="0.25">
      <c r="E3170" t="s">
        <v>6216</v>
      </c>
      <c r="F3170">
        <v>1582554</v>
      </c>
      <c r="G3170" s="1">
        <v>45382</v>
      </c>
      <c r="H3170" t="s">
        <v>6217</v>
      </c>
      <c r="I3170" t="s">
        <v>46</v>
      </c>
      <c r="J3170" s="1">
        <v>45292</v>
      </c>
      <c r="K3170">
        <v>-5824000</v>
      </c>
    </row>
    <row r="3171" spans="5:11" x14ac:dyDescent="0.25">
      <c r="E3171" t="s">
        <v>6218</v>
      </c>
      <c r="F3171">
        <v>1582961</v>
      </c>
      <c r="G3171" s="1">
        <v>45382</v>
      </c>
      <c r="H3171" t="s">
        <v>6219</v>
      </c>
      <c r="I3171" t="s">
        <v>57</v>
      </c>
      <c r="J3171" s="1">
        <v>45292</v>
      </c>
      <c r="K3171">
        <v>14139000</v>
      </c>
    </row>
    <row r="3172" spans="5:11" x14ac:dyDescent="0.25">
      <c r="E3172" t="s">
        <v>6220</v>
      </c>
      <c r="F3172">
        <v>1582982</v>
      </c>
      <c r="G3172" s="1">
        <v>45382</v>
      </c>
      <c r="H3172" t="s">
        <v>6221</v>
      </c>
      <c r="I3172" t="s">
        <v>46</v>
      </c>
      <c r="J3172" s="1">
        <v>45292</v>
      </c>
      <c r="K3172">
        <v>-241000</v>
      </c>
    </row>
    <row r="3173" spans="5:11" x14ac:dyDescent="0.25">
      <c r="E3173" t="s">
        <v>6222</v>
      </c>
      <c r="F3173">
        <v>1583107</v>
      </c>
      <c r="G3173" s="1">
        <v>45382</v>
      </c>
      <c r="H3173" t="s">
        <v>6223</v>
      </c>
      <c r="I3173" t="s">
        <v>36</v>
      </c>
      <c r="J3173" s="1">
        <v>45292</v>
      </c>
      <c r="K3173">
        <v>-11664000</v>
      </c>
    </row>
    <row r="3174" spans="5:11" x14ac:dyDescent="0.25">
      <c r="E3174" t="s">
        <v>6224</v>
      </c>
      <c r="F3174">
        <v>1583648</v>
      </c>
      <c r="G3174" s="1">
        <v>45382</v>
      </c>
      <c r="H3174" t="s">
        <v>6225</v>
      </c>
      <c r="I3174" t="s">
        <v>24</v>
      </c>
      <c r="J3174" s="1">
        <v>45292</v>
      </c>
      <c r="K3174">
        <v>-4892000</v>
      </c>
    </row>
    <row r="3175" spans="5:11" x14ac:dyDescent="0.25">
      <c r="E3175" t="s">
        <v>6226</v>
      </c>
      <c r="F3175">
        <v>1583708</v>
      </c>
      <c r="G3175" s="1">
        <v>45412</v>
      </c>
      <c r="H3175" t="s">
        <v>6227</v>
      </c>
      <c r="I3175" t="s">
        <v>36</v>
      </c>
      <c r="J3175" s="1">
        <v>45323</v>
      </c>
      <c r="K3175">
        <v>-70105000</v>
      </c>
    </row>
    <row r="3176" spans="5:11" x14ac:dyDescent="0.25">
      <c r="E3176" t="s">
        <v>6228</v>
      </c>
      <c r="F3176">
        <v>1583771</v>
      </c>
      <c r="G3176" s="1">
        <v>45382</v>
      </c>
      <c r="H3176" t="s">
        <v>6229</v>
      </c>
      <c r="I3176" t="s">
        <v>46</v>
      </c>
      <c r="J3176" s="1">
        <v>45292</v>
      </c>
      <c r="K3176">
        <v>-2853806</v>
      </c>
    </row>
    <row r="3177" spans="5:11" x14ac:dyDescent="0.25">
      <c r="E3177" t="s">
        <v>6230</v>
      </c>
      <c r="F3177">
        <v>1584207</v>
      </c>
      <c r="G3177" s="1">
        <v>45382</v>
      </c>
      <c r="H3177" t="s">
        <v>6231</v>
      </c>
      <c r="I3177" t="s">
        <v>288</v>
      </c>
      <c r="J3177" s="1">
        <v>45292</v>
      </c>
      <c r="K3177">
        <v>155000000</v>
      </c>
    </row>
    <row r="3178" spans="5:11" x14ac:dyDescent="0.25">
      <c r="E3178" t="s">
        <v>6232</v>
      </c>
      <c r="F3178">
        <v>1584480</v>
      </c>
      <c r="G3178" s="1">
        <v>45351</v>
      </c>
      <c r="H3178" t="s">
        <v>6233</v>
      </c>
      <c r="I3178" t="s">
        <v>57</v>
      </c>
      <c r="J3178" s="1">
        <v>45261</v>
      </c>
      <c r="K3178">
        <v>-13317</v>
      </c>
    </row>
    <row r="3179" spans="5:11" x14ac:dyDescent="0.25">
      <c r="E3179" t="s">
        <v>6234</v>
      </c>
      <c r="F3179">
        <v>1584509</v>
      </c>
      <c r="G3179" s="1">
        <v>45380</v>
      </c>
      <c r="H3179" t="s">
        <v>6235</v>
      </c>
      <c r="I3179" t="s">
        <v>39</v>
      </c>
      <c r="J3179" s="1">
        <v>45290</v>
      </c>
      <c r="K3179">
        <v>53449000</v>
      </c>
    </row>
    <row r="3180" spans="5:11" x14ac:dyDescent="0.25">
      <c r="E3180" t="s">
        <v>6236</v>
      </c>
      <c r="F3180">
        <v>1584549</v>
      </c>
      <c r="G3180" s="1">
        <v>45382</v>
      </c>
      <c r="H3180" t="s">
        <v>6237</v>
      </c>
      <c r="I3180" t="s">
        <v>2552</v>
      </c>
      <c r="J3180" s="1">
        <v>45292</v>
      </c>
      <c r="K3180">
        <v>-2852000</v>
      </c>
    </row>
    <row r="3181" spans="5:11" x14ac:dyDescent="0.25">
      <c r="E3181" t="s">
        <v>6238</v>
      </c>
      <c r="F3181">
        <v>1584693</v>
      </c>
      <c r="G3181" s="1">
        <v>45412</v>
      </c>
      <c r="H3181" t="s">
        <v>6239</v>
      </c>
      <c r="I3181" t="s">
        <v>69</v>
      </c>
      <c r="J3181" s="1">
        <v>45323</v>
      </c>
      <c r="K3181">
        <v>-215218</v>
      </c>
    </row>
    <row r="3182" spans="5:11" x14ac:dyDescent="0.25">
      <c r="E3182" t="s">
        <v>6240</v>
      </c>
      <c r="F3182">
        <v>1584751</v>
      </c>
      <c r="G3182" s="1">
        <v>45382</v>
      </c>
      <c r="H3182" t="s">
        <v>6241</v>
      </c>
      <c r="I3182" t="s">
        <v>19</v>
      </c>
      <c r="J3182" s="1">
        <v>45292</v>
      </c>
      <c r="K3182">
        <v>-13035000</v>
      </c>
    </row>
    <row r="3183" spans="5:11" x14ac:dyDescent="0.25">
      <c r="E3183" t="s">
        <v>6242</v>
      </c>
      <c r="F3183">
        <v>1584754</v>
      </c>
      <c r="G3183" s="1">
        <v>45382</v>
      </c>
      <c r="H3183" t="s">
        <v>6243</v>
      </c>
      <c r="I3183" t="s">
        <v>172</v>
      </c>
      <c r="J3183" s="1">
        <v>45292</v>
      </c>
      <c r="K3183">
        <v>-23308000</v>
      </c>
    </row>
    <row r="3184" spans="5:11" x14ac:dyDescent="0.25">
      <c r="E3184" t="s">
        <v>6244</v>
      </c>
      <c r="F3184">
        <v>1584831</v>
      </c>
      <c r="G3184" s="1">
        <v>45382</v>
      </c>
      <c r="H3184" t="s">
        <v>6245</v>
      </c>
      <c r="I3184" t="s">
        <v>2436</v>
      </c>
      <c r="J3184" s="1">
        <v>45292</v>
      </c>
      <c r="K3184">
        <v>-905000</v>
      </c>
    </row>
    <row r="3185" spans="5:11" x14ac:dyDescent="0.25">
      <c r="E3185" t="s">
        <v>6246</v>
      </c>
      <c r="F3185">
        <v>1585101</v>
      </c>
      <c r="G3185" s="1">
        <v>45382</v>
      </c>
      <c r="H3185" t="s">
        <v>6247</v>
      </c>
      <c r="I3185" t="s">
        <v>30</v>
      </c>
      <c r="J3185" s="1">
        <v>45292</v>
      </c>
      <c r="K3185">
        <v>-15756000</v>
      </c>
    </row>
    <row r="3186" spans="5:11" x14ac:dyDescent="0.25">
      <c r="E3186" t="s">
        <v>6248</v>
      </c>
      <c r="F3186">
        <v>1585364</v>
      </c>
      <c r="G3186" s="1">
        <v>45381</v>
      </c>
      <c r="H3186" t="s">
        <v>6249</v>
      </c>
      <c r="I3186" t="s">
        <v>927</v>
      </c>
      <c r="J3186" s="1">
        <v>45292</v>
      </c>
      <c r="K3186">
        <v>2000000</v>
      </c>
    </row>
    <row r="3187" spans="5:11" x14ac:dyDescent="0.25">
      <c r="E3187" t="s">
        <v>6250</v>
      </c>
      <c r="F3187">
        <v>1585521</v>
      </c>
      <c r="G3187" s="1">
        <v>45412</v>
      </c>
      <c r="H3187" t="s">
        <v>6251</v>
      </c>
      <c r="I3187" t="s">
        <v>36</v>
      </c>
      <c r="J3187" s="1">
        <v>45323</v>
      </c>
      <c r="K3187">
        <v>216308000</v>
      </c>
    </row>
    <row r="3188" spans="5:11" x14ac:dyDescent="0.25">
      <c r="E3188" t="s">
        <v>6252</v>
      </c>
      <c r="F3188">
        <v>1585608</v>
      </c>
      <c r="G3188" s="1">
        <v>45382</v>
      </c>
      <c r="H3188" t="s">
        <v>6253</v>
      </c>
      <c r="I3188" t="s">
        <v>36</v>
      </c>
      <c r="J3188" s="1">
        <v>45292</v>
      </c>
      <c r="K3188">
        <v>-9226000</v>
      </c>
    </row>
    <row r="3189" spans="5:11" x14ac:dyDescent="0.25">
      <c r="E3189" t="s">
        <v>6254</v>
      </c>
      <c r="F3189">
        <v>1585689</v>
      </c>
      <c r="G3189" s="1">
        <v>45382</v>
      </c>
      <c r="H3189" t="s">
        <v>6255</v>
      </c>
      <c r="I3189" t="s">
        <v>123</v>
      </c>
      <c r="J3189" s="1">
        <v>45292</v>
      </c>
      <c r="K3189">
        <v>265000000</v>
      </c>
    </row>
    <row r="3190" spans="5:11" x14ac:dyDescent="0.25">
      <c r="E3190" t="s">
        <v>6256</v>
      </c>
      <c r="F3190">
        <v>1586454</v>
      </c>
      <c r="G3190" s="1">
        <v>45382</v>
      </c>
      <c r="H3190" t="s">
        <v>6257</v>
      </c>
      <c r="I3190" t="s">
        <v>33</v>
      </c>
      <c r="J3190" s="1">
        <v>45292</v>
      </c>
      <c r="K3190">
        <v>1931000</v>
      </c>
    </row>
    <row r="3191" spans="5:11" x14ac:dyDescent="0.25">
      <c r="E3191" t="s">
        <v>6258</v>
      </c>
      <c r="F3191">
        <v>1586495</v>
      </c>
      <c r="G3191" s="1">
        <v>45382</v>
      </c>
      <c r="H3191" t="s">
        <v>6259</v>
      </c>
      <c r="I3191" t="s">
        <v>4980</v>
      </c>
      <c r="J3191" s="1">
        <v>45292</v>
      </c>
      <c r="K3191">
        <v>-120327</v>
      </c>
    </row>
    <row r="3192" spans="5:11" x14ac:dyDescent="0.25">
      <c r="E3192" t="s">
        <v>6260</v>
      </c>
      <c r="F3192">
        <v>1586554</v>
      </c>
      <c r="G3192" s="1">
        <v>45382</v>
      </c>
      <c r="H3192" t="s">
        <v>6261</v>
      </c>
      <c r="I3192" t="s">
        <v>1716</v>
      </c>
      <c r="J3192" s="1">
        <v>45292</v>
      </c>
      <c r="K3192">
        <v>-193168</v>
      </c>
    </row>
    <row r="3193" spans="5:11" x14ac:dyDescent="0.25">
      <c r="E3193" t="s">
        <v>6262</v>
      </c>
      <c r="F3193">
        <v>1587523</v>
      </c>
      <c r="G3193" s="1">
        <v>45382</v>
      </c>
      <c r="H3193" t="s">
        <v>6263</v>
      </c>
      <c r="I3193" t="s">
        <v>19</v>
      </c>
      <c r="J3193" s="1">
        <v>45292</v>
      </c>
      <c r="K3193">
        <v>2500000</v>
      </c>
    </row>
    <row r="3194" spans="5:11" x14ac:dyDescent="0.25">
      <c r="E3194" t="s">
        <v>6264</v>
      </c>
      <c r="F3194">
        <v>1587732</v>
      </c>
      <c r="G3194" s="1">
        <v>45382</v>
      </c>
      <c r="H3194" t="s">
        <v>6265</v>
      </c>
      <c r="I3194" t="s">
        <v>277</v>
      </c>
      <c r="J3194" s="1">
        <v>45292</v>
      </c>
      <c r="K3194">
        <v>99317000</v>
      </c>
    </row>
    <row r="3195" spans="5:11" x14ac:dyDescent="0.25">
      <c r="E3195" t="s">
        <v>6266</v>
      </c>
      <c r="F3195">
        <v>1587987</v>
      </c>
      <c r="G3195" s="1">
        <v>45382</v>
      </c>
      <c r="H3195" t="s">
        <v>6267</v>
      </c>
      <c r="I3195" t="s">
        <v>33</v>
      </c>
      <c r="J3195" s="1">
        <v>45292</v>
      </c>
      <c r="K3195">
        <v>9650000</v>
      </c>
    </row>
    <row r="3196" spans="5:11" x14ac:dyDescent="0.25">
      <c r="E3196" t="s">
        <v>6268</v>
      </c>
      <c r="F3196">
        <v>1588014</v>
      </c>
      <c r="G3196" s="1">
        <v>45382</v>
      </c>
      <c r="H3196" t="s">
        <v>6269</v>
      </c>
      <c r="I3196" t="s">
        <v>30</v>
      </c>
      <c r="J3196" s="1">
        <v>45292</v>
      </c>
      <c r="K3196">
        <v>-64136</v>
      </c>
    </row>
    <row r="3197" spans="5:11" x14ac:dyDescent="0.25">
      <c r="E3197" t="s">
        <v>6270</v>
      </c>
      <c r="F3197">
        <v>1588272</v>
      </c>
      <c r="G3197" s="1">
        <v>45382</v>
      </c>
      <c r="H3197" t="s">
        <v>6271</v>
      </c>
      <c r="I3197" t="s">
        <v>30</v>
      </c>
      <c r="J3197" s="1">
        <v>45292</v>
      </c>
      <c r="K3197">
        <v>520817</v>
      </c>
    </row>
    <row r="3198" spans="5:11" x14ac:dyDescent="0.25">
      <c r="E3198" t="s">
        <v>10510</v>
      </c>
      <c r="F3198">
        <v>1588978</v>
      </c>
      <c r="G3198" s="1">
        <v>45382</v>
      </c>
      <c r="H3198" t="s">
        <v>6272</v>
      </c>
      <c r="I3198" t="s">
        <v>36</v>
      </c>
      <c r="J3198" s="1">
        <v>45292</v>
      </c>
      <c r="K3198">
        <v>-25957000</v>
      </c>
    </row>
    <row r="3199" spans="5:11" x14ac:dyDescent="0.25">
      <c r="E3199" t="s">
        <v>6273</v>
      </c>
      <c r="F3199">
        <v>1589149</v>
      </c>
      <c r="G3199" s="1">
        <v>45382</v>
      </c>
      <c r="H3199" t="s">
        <v>6274</v>
      </c>
      <c r="I3199" t="s">
        <v>123</v>
      </c>
      <c r="J3199" s="1">
        <v>45292</v>
      </c>
      <c r="K3199">
        <v>-8062514</v>
      </c>
    </row>
    <row r="3200" spans="5:11" x14ac:dyDescent="0.25">
      <c r="E3200" t="s">
        <v>6275</v>
      </c>
      <c r="F3200">
        <v>1589150</v>
      </c>
      <c r="G3200" s="1">
        <v>45382</v>
      </c>
      <c r="H3200" t="s">
        <v>6276</v>
      </c>
      <c r="I3200" t="s">
        <v>36</v>
      </c>
      <c r="J3200" s="1">
        <v>45292</v>
      </c>
      <c r="K3200">
        <v>-122473</v>
      </c>
    </row>
    <row r="3201" spans="5:11" x14ac:dyDescent="0.25">
      <c r="E3201" t="s">
        <v>6277</v>
      </c>
      <c r="F3201">
        <v>1589526</v>
      </c>
      <c r="G3201" s="1">
        <v>45381</v>
      </c>
      <c r="H3201" t="s">
        <v>6278</v>
      </c>
      <c r="I3201" t="s">
        <v>64</v>
      </c>
      <c r="J3201" s="1">
        <v>45291</v>
      </c>
      <c r="K3201">
        <v>26023000</v>
      </c>
    </row>
    <row r="3202" spans="5:11" x14ac:dyDescent="0.25">
      <c r="E3202" t="s">
        <v>6279</v>
      </c>
      <c r="F3202">
        <v>1590418</v>
      </c>
      <c r="G3202" s="1">
        <v>45382</v>
      </c>
      <c r="H3202" t="s">
        <v>6280</v>
      </c>
      <c r="I3202" t="s">
        <v>36</v>
      </c>
      <c r="J3202" s="1">
        <v>45292</v>
      </c>
      <c r="K3202">
        <v>-1315597</v>
      </c>
    </row>
    <row r="3203" spans="5:11" x14ac:dyDescent="0.25">
      <c r="E3203" t="s">
        <v>6281</v>
      </c>
      <c r="F3203">
        <v>1590496</v>
      </c>
      <c r="G3203" s="1">
        <v>45382</v>
      </c>
      <c r="H3203" t="s">
        <v>6282</v>
      </c>
      <c r="I3203" t="s">
        <v>1716</v>
      </c>
      <c r="J3203" s="1">
        <v>45292</v>
      </c>
      <c r="K3203">
        <v>-6082573</v>
      </c>
    </row>
    <row r="3204" spans="5:11" x14ac:dyDescent="0.25">
      <c r="E3204" t="s">
        <v>6283</v>
      </c>
      <c r="F3204">
        <v>1590584</v>
      </c>
      <c r="G3204" s="1">
        <v>45382</v>
      </c>
      <c r="H3204" t="s">
        <v>6284</v>
      </c>
      <c r="I3204" t="s">
        <v>30</v>
      </c>
      <c r="J3204" s="1">
        <v>45292</v>
      </c>
      <c r="K3204">
        <v>-5133000</v>
      </c>
    </row>
    <row r="3205" spans="5:11" x14ac:dyDescent="0.25">
      <c r="E3205" t="s">
        <v>6285</v>
      </c>
      <c r="F3205">
        <v>1590695</v>
      </c>
      <c r="G3205" s="1">
        <v>45382</v>
      </c>
      <c r="H3205" t="s">
        <v>6286</v>
      </c>
      <c r="I3205" t="s">
        <v>33</v>
      </c>
      <c r="J3205" s="1">
        <v>45292</v>
      </c>
      <c r="K3205">
        <v>-2096000</v>
      </c>
    </row>
    <row r="3206" spans="5:11" x14ac:dyDescent="0.25">
      <c r="E3206" t="s">
        <v>6287</v>
      </c>
      <c r="F3206">
        <v>1590714</v>
      </c>
      <c r="G3206" s="1">
        <v>45382</v>
      </c>
      <c r="H3206" t="s">
        <v>6288</v>
      </c>
      <c r="I3206" t="s">
        <v>33</v>
      </c>
      <c r="J3206" s="1">
        <v>45292</v>
      </c>
      <c r="K3206">
        <v>56000000</v>
      </c>
    </row>
    <row r="3207" spans="5:11" x14ac:dyDescent="0.25">
      <c r="E3207" t="s">
        <v>6289</v>
      </c>
      <c r="F3207">
        <v>1590715</v>
      </c>
      <c r="G3207" s="1">
        <v>45382</v>
      </c>
      <c r="H3207" t="s">
        <v>6290</v>
      </c>
      <c r="I3207" t="s">
        <v>288</v>
      </c>
      <c r="J3207" s="1">
        <v>45292</v>
      </c>
      <c r="K3207">
        <v>-6305692</v>
      </c>
    </row>
    <row r="3208" spans="5:11" x14ac:dyDescent="0.25">
      <c r="E3208" t="s">
        <v>6291</v>
      </c>
      <c r="F3208">
        <v>1590717</v>
      </c>
      <c r="G3208" s="1">
        <v>45382</v>
      </c>
      <c r="H3208" t="s">
        <v>6292</v>
      </c>
      <c r="I3208" t="s">
        <v>36</v>
      </c>
      <c r="J3208" s="1">
        <v>45292</v>
      </c>
      <c r="K3208">
        <v>28746000</v>
      </c>
    </row>
    <row r="3209" spans="5:11" x14ac:dyDescent="0.25">
      <c r="E3209" t="s">
        <v>6293</v>
      </c>
      <c r="F3209">
        <v>1590750</v>
      </c>
      <c r="G3209" s="1">
        <v>45382</v>
      </c>
      <c r="H3209" t="s">
        <v>6294</v>
      </c>
      <c r="I3209" t="s">
        <v>24</v>
      </c>
      <c r="J3209" s="1">
        <v>45292</v>
      </c>
      <c r="K3209">
        <v>-48542000</v>
      </c>
    </row>
    <row r="3210" spans="5:11" x14ac:dyDescent="0.25">
      <c r="E3210" t="s">
        <v>6295</v>
      </c>
      <c r="F3210">
        <v>1590877</v>
      </c>
      <c r="G3210" s="1">
        <v>45382</v>
      </c>
      <c r="H3210" t="s">
        <v>6296</v>
      </c>
      <c r="I3210" t="s">
        <v>299</v>
      </c>
      <c r="J3210" s="1">
        <v>45292</v>
      </c>
      <c r="K3210">
        <v>-63330000</v>
      </c>
    </row>
    <row r="3211" spans="5:11" x14ac:dyDescent="0.25">
      <c r="E3211" t="s">
        <v>6297</v>
      </c>
      <c r="F3211">
        <v>1590895</v>
      </c>
      <c r="G3211" s="1">
        <v>45382</v>
      </c>
      <c r="H3211" t="s">
        <v>6298</v>
      </c>
      <c r="I3211" t="s">
        <v>142</v>
      </c>
      <c r="J3211" s="1">
        <v>45292</v>
      </c>
      <c r="K3211">
        <v>-158000000</v>
      </c>
    </row>
    <row r="3212" spans="5:11" x14ac:dyDescent="0.25">
      <c r="E3212" t="s">
        <v>10511</v>
      </c>
      <c r="F3212">
        <v>1590955</v>
      </c>
      <c r="G3212" s="1">
        <v>45382</v>
      </c>
      <c r="H3212" t="s">
        <v>6299</v>
      </c>
      <c r="I3212" t="s">
        <v>277</v>
      </c>
      <c r="J3212" s="1">
        <v>45292</v>
      </c>
      <c r="K3212">
        <v>247187000</v>
      </c>
    </row>
    <row r="3213" spans="5:11" x14ac:dyDescent="0.25">
      <c r="E3213" t="s">
        <v>6300</v>
      </c>
      <c r="F3213">
        <v>1590976</v>
      </c>
      <c r="G3213" s="1">
        <v>45382</v>
      </c>
      <c r="H3213" t="s">
        <v>6301</v>
      </c>
      <c r="I3213" t="s">
        <v>69</v>
      </c>
      <c r="J3213" s="1">
        <v>45292</v>
      </c>
      <c r="K3213">
        <v>-66831000</v>
      </c>
    </row>
    <row r="3214" spans="5:11" x14ac:dyDescent="0.25">
      <c r="E3214" t="s">
        <v>6302</v>
      </c>
      <c r="F3214">
        <v>1591565</v>
      </c>
      <c r="G3214" s="1">
        <v>45382</v>
      </c>
      <c r="H3214" t="s">
        <v>6303</v>
      </c>
      <c r="I3214" t="s">
        <v>1164</v>
      </c>
      <c r="J3214" s="1">
        <v>45292</v>
      </c>
      <c r="K3214">
        <v>-17647</v>
      </c>
    </row>
    <row r="3215" spans="5:11" x14ac:dyDescent="0.25">
      <c r="E3215" t="s">
        <v>6304</v>
      </c>
      <c r="F3215">
        <v>1591587</v>
      </c>
      <c r="G3215" s="1">
        <v>45382</v>
      </c>
      <c r="H3215" t="s">
        <v>6305</v>
      </c>
      <c r="I3215" t="s">
        <v>36</v>
      </c>
      <c r="J3215" s="1">
        <v>45292</v>
      </c>
      <c r="K3215">
        <v>37964000</v>
      </c>
    </row>
    <row r="3216" spans="5:11" x14ac:dyDescent="0.25">
      <c r="E3216" t="s">
        <v>6306</v>
      </c>
      <c r="F3216">
        <v>1591588</v>
      </c>
      <c r="G3216" s="1">
        <v>45382</v>
      </c>
      <c r="H3216" t="s">
        <v>6307</v>
      </c>
      <c r="I3216" t="s">
        <v>36</v>
      </c>
      <c r="J3216" s="1">
        <v>45292</v>
      </c>
      <c r="K3216">
        <v>5013000</v>
      </c>
    </row>
    <row r="3217" spans="5:11" x14ac:dyDescent="0.25">
      <c r="E3217" t="s">
        <v>6308</v>
      </c>
      <c r="F3217">
        <v>1591670</v>
      </c>
      <c r="G3217" s="1">
        <v>45382</v>
      </c>
      <c r="H3217" t="s">
        <v>6309</v>
      </c>
      <c r="I3217" t="s">
        <v>92</v>
      </c>
      <c r="J3217" s="1">
        <v>45292</v>
      </c>
      <c r="K3217">
        <v>1373000</v>
      </c>
    </row>
    <row r="3218" spans="5:11" x14ac:dyDescent="0.25">
      <c r="E3218" t="s">
        <v>6310</v>
      </c>
      <c r="F3218">
        <v>1591698</v>
      </c>
      <c r="G3218" s="1">
        <v>45382</v>
      </c>
      <c r="H3218" t="s">
        <v>6311</v>
      </c>
      <c r="I3218" t="s">
        <v>19</v>
      </c>
      <c r="J3218" s="1">
        <v>45292</v>
      </c>
      <c r="K3218">
        <v>85314000</v>
      </c>
    </row>
    <row r="3219" spans="5:11" x14ac:dyDescent="0.25">
      <c r="E3219" t="s">
        <v>6312</v>
      </c>
      <c r="F3219">
        <v>1591913</v>
      </c>
      <c r="G3219" s="1">
        <v>45382</v>
      </c>
      <c r="H3219" t="s">
        <v>6313</v>
      </c>
      <c r="I3219" t="s">
        <v>36</v>
      </c>
      <c r="J3219" s="1">
        <v>45292</v>
      </c>
      <c r="K3219">
        <v>-331465</v>
      </c>
    </row>
    <row r="3220" spans="5:11" x14ac:dyDescent="0.25">
      <c r="E3220" t="s">
        <v>6314</v>
      </c>
      <c r="F3220">
        <v>1591956</v>
      </c>
      <c r="G3220" s="1">
        <v>45382</v>
      </c>
      <c r="H3220" t="s">
        <v>6315</v>
      </c>
      <c r="I3220" t="s">
        <v>27</v>
      </c>
      <c r="J3220" s="1">
        <v>45292</v>
      </c>
      <c r="K3220">
        <v>-4477000</v>
      </c>
    </row>
    <row r="3221" spans="5:11" x14ac:dyDescent="0.25">
      <c r="E3221" t="s">
        <v>6316</v>
      </c>
      <c r="F3221">
        <v>1592000</v>
      </c>
      <c r="G3221" s="1">
        <v>45382</v>
      </c>
      <c r="H3221" t="s">
        <v>6317</v>
      </c>
      <c r="I3221" t="s">
        <v>30</v>
      </c>
      <c r="J3221" s="1">
        <v>45292</v>
      </c>
      <c r="K3221">
        <v>14500000</v>
      </c>
    </row>
    <row r="3222" spans="5:11" x14ac:dyDescent="0.25">
      <c r="E3222" t="s">
        <v>6318</v>
      </c>
      <c r="F3222">
        <v>1592386</v>
      </c>
      <c r="G3222" s="1">
        <v>45382</v>
      </c>
      <c r="H3222" t="s">
        <v>6319</v>
      </c>
      <c r="I3222" t="s">
        <v>57</v>
      </c>
      <c r="J3222" s="1">
        <v>45292</v>
      </c>
      <c r="K3222">
        <v>55817000</v>
      </c>
    </row>
    <row r="3223" spans="5:11" x14ac:dyDescent="0.25">
      <c r="E3223" t="s">
        <v>6320</v>
      </c>
      <c r="F3223">
        <v>1593001</v>
      </c>
      <c r="G3223" s="1">
        <v>45382</v>
      </c>
      <c r="H3223" t="s">
        <v>6321</v>
      </c>
      <c r="I3223" t="s">
        <v>57</v>
      </c>
      <c r="J3223" s="1">
        <v>45292</v>
      </c>
      <c r="K3223">
        <v>-669719</v>
      </c>
    </row>
    <row r="3224" spans="5:11" x14ac:dyDescent="0.25">
      <c r="E3224" t="s">
        <v>6322</v>
      </c>
      <c r="F3224">
        <v>1593184</v>
      </c>
      <c r="G3224" s="1">
        <v>45382</v>
      </c>
      <c r="H3224" t="s">
        <v>6323</v>
      </c>
      <c r="I3224" t="s">
        <v>69</v>
      </c>
      <c r="J3224" s="1">
        <v>45292</v>
      </c>
      <c r="K3224">
        <v>-3152458</v>
      </c>
    </row>
    <row r="3225" spans="5:11" x14ac:dyDescent="0.25">
      <c r="E3225" t="s">
        <v>6324</v>
      </c>
      <c r="F3225">
        <v>1593222</v>
      </c>
      <c r="G3225" s="1">
        <v>45382</v>
      </c>
      <c r="H3225" t="s">
        <v>6325</v>
      </c>
      <c r="I3225" t="s">
        <v>2552</v>
      </c>
      <c r="J3225" s="1">
        <v>45292</v>
      </c>
      <c r="K3225">
        <v>-589000</v>
      </c>
    </row>
    <row r="3226" spans="5:11" x14ac:dyDescent="0.25">
      <c r="E3226" t="s">
        <v>6326</v>
      </c>
      <c r="F3226">
        <v>1593538</v>
      </c>
      <c r="G3226" s="1">
        <v>45382</v>
      </c>
      <c r="H3226" t="s">
        <v>6327</v>
      </c>
      <c r="I3226" t="s">
        <v>123</v>
      </c>
      <c r="J3226" s="1">
        <v>45292</v>
      </c>
      <c r="K3226">
        <v>73000000</v>
      </c>
    </row>
    <row r="3227" spans="5:11" x14ac:dyDescent="0.25">
      <c r="E3227" t="s">
        <v>6328</v>
      </c>
      <c r="F3227">
        <v>1593548</v>
      </c>
      <c r="G3227" s="1">
        <v>45382</v>
      </c>
      <c r="H3227" t="s">
        <v>6329</v>
      </c>
      <c r="I3227" t="s">
        <v>142</v>
      </c>
      <c r="J3227" s="1">
        <v>45292</v>
      </c>
      <c r="K3227">
        <v>4345000</v>
      </c>
    </row>
    <row r="3228" spans="5:11" x14ac:dyDescent="0.25">
      <c r="E3228" t="s">
        <v>6330</v>
      </c>
      <c r="F3228">
        <v>1593549</v>
      </c>
      <c r="G3228" s="1">
        <v>45382</v>
      </c>
      <c r="H3228" t="s">
        <v>6331</v>
      </c>
      <c r="I3228" t="s">
        <v>57</v>
      </c>
      <c r="J3228" s="1">
        <v>45292</v>
      </c>
      <c r="K3228">
        <v>555572</v>
      </c>
    </row>
    <row r="3229" spans="5:11" x14ac:dyDescent="0.25">
      <c r="E3229" t="s">
        <v>10512</v>
      </c>
      <c r="F3229">
        <v>1593773</v>
      </c>
      <c r="G3229" s="1">
        <v>45351</v>
      </c>
      <c r="H3229" t="s">
        <v>6332</v>
      </c>
      <c r="I3229" t="s">
        <v>142</v>
      </c>
      <c r="J3229" s="1">
        <v>45261</v>
      </c>
      <c r="K3229">
        <v>-49674</v>
      </c>
    </row>
    <row r="3230" spans="5:11" x14ac:dyDescent="0.25">
      <c r="E3230" t="s">
        <v>6333</v>
      </c>
      <c r="F3230">
        <v>1593899</v>
      </c>
      <c r="G3230" s="1">
        <v>45382</v>
      </c>
      <c r="H3230" t="s">
        <v>6334</v>
      </c>
      <c r="I3230" t="s">
        <v>24</v>
      </c>
      <c r="J3230" s="1">
        <v>45292</v>
      </c>
      <c r="K3230">
        <v>-63169000</v>
      </c>
    </row>
    <row r="3231" spans="5:11" x14ac:dyDescent="0.25">
      <c r="E3231" t="s">
        <v>6335</v>
      </c>
      <c r="F3231">
        <v>1594204</v>
      </c>
      <c r="G3231" s="1">
        <v>45382</v>
      </c>
      <c r="H3231" t="s">
        <v>6336</v>
      </c>
      <c r="I3231" t="s">
        <v>2052</v>
      </c>
      <c r="J3231" s="1">
        <v>45292</v>
      </c>
      <c r="K3231">
        <v>-139572</v>
      </c>
    </row>
    <row r="3232" spans="5:11" x14ac:dyDescent="0.25">
      <c r="E3232" t="s">
        <v>6337</v>
      </c>
      <c r="F3232">
        <v>1594968</v>
      </c>
      <c r="G3232" s="1">
        <v>45382</v>
      </c>
      <c r="H3232" t="s">
        <v>6338</v>
      </c>
      <c r="I3232" t="s">
        <v>2273</v>
      </c>
      <c r="J3232" s="1">
        <v>45292</v>
      </c>
      <c r="K3232">
        <v>-6546</v>
      </c>
    </row>
    <row r="3233" spans="5:11" x14ac:dyDescent="0.25">
      <c r="E3233" t="s">
        <v>6339</v>
      </c>
      <c r="F3233">
        <v>1595097</v>
      </c>
      <c r="G3233" s="1">
        <v>45382</v>
      </c>
      <c r="H3233" t="s">
        <v>6340</v>
      </c>
      <c r="I3233" t="s">
        <v>24</v>
      </c>
      <c r="J3233" s="1">
        <v>45292</v>
      </c>
      <c r="K3233">
        <v>-6898771</v>
      </c>
    </row>
    <row r="3234" spans="5:11" x14ac:dyDescent="0.25">
      <c r="E3234" t="s">
        <v>6341</v>
      </c>
      <c r="F3234">
        <v>1595248</v>
      </c>
      <c r="G3234" s="1">
        <v>45382</v>
      </c>
      <c r="H3234" t="s">
        <v>6342</v>
      </c>
      <c r="I3234" t="s">
        <v>30</v>
      </c>
      <c r="J3234" s="1">
        <v>45292</v>
      </c>
      <c r="K3234">
        <v>-5968869</v>
      </c>
    </row>
    <row r="3235" spans="5:11" x14ac:dyDescent="0.25">
      <c r="E3235" t="s">
        <v>6343</v>
      </c>
      <c r="F3235">
        <v>1595353</v>
      </c>
      <c r="G3235" s="1">
        <v>45382</v>
      </c>
      <c r="H3235" t="s">
        <v>6344</v>
      </c>
      <c r="I3235" t="s">
        <v>1511</v>
      </c>
      <c r="J3235" s="1">
        <v>45292</v>
      </c>
      <c r="K3235">
        <v>-1275000</v>
      </c>
    </row>
    <row r="3236" spans="5:11" x14ac:dyDescent="0.25">
      <c r="E3236" t="s">
        <v>6345</v>
      </c>
      <c r="F3236">
        <v>1595527</v>
      </c>
      <c r="G3236" s="1">
        <v>45382</v>
      </c>
      <c r="H3236" t="s">
        <v>6346</v>
      </c>
      <c r="I3236" t="s">
        <v>101</v>
      </c>
      <c r="J3236" s="1">
        <v>45292</v>
      </c>
      <c r="K3236">
        <v>-7608000</v>
      </c>
    </row>
    <row r="3237" spans="5:11" x14ac:dyDescent="0.25">
      <c r="E3237" t="s">
        <v>6347</v>
      </c>
      <c r="F3237">
        <v>1595974</v>
      </c>
      <c r="G3237" s="1">
        <v>45382</v>
      </c>
      <c r="H3237" t="s">
        <v>6348</v>
      </c>
      <c r="I3237" t="s">
        <v>57</v>
      </c>
      <c r="J3237" s="1">
        <v>45292</v>
      </c>
      <c r="K3237">
        <v>-17757000</v>
      </c>
    </row>
    <row r="3238" spans="5:11" x14ac:dyDescent="0.25">
      <c r="E3238" t="s">
        <v>6349</v>
      </c>
      <c r="F3238">
        <v>1596532</v>
      </c>
      <c r="G3238" s="1">
        <v>45382</v>
      </c>
      <c r="H3238" t="s">
        <v>6350</v>
      </c>
      <c r="I3238" t="s">
        <v>36</v>
      </c>
      <c r="J3238" s="1">
        <v>45292</v>
      </c>
      <c r="K3238">
        <v>637692000</v>
      </c>
    </row>
    <row r="3239" spans="5:11" x14ac:dyDescent="0.25">
      <c r="E3239" t="s">
        <v>6351</v>
      </c>
      <c r="F3239">
        <v>1596783</v>
      </c>
      <c r="G3239" s="1">
        <v>45382</v>
      </c>
      <c r="H3239" t="s">
        <v>6352</v>
      </c>
      <c r="I3239" t="s">
        <v>46</v>
      </c>
      <c r="J3239" s="1">
        <v>45292</v>
      </c>
      <c r="K3239">
        <v>-101000000</v>
      </c>
    </row>
    <row r="3240" spans="5:11" x14ac:dyDescent="0.25">
      <c r="E3240" t="s">
        <v>6353</v>
      </c>
      <c r="F3240">
        <v>1596812</v>
      </c>
      <c r="G3240" s="1">
        <v>45382</v>
      </c>
      <c r="H3240" t="s">
        <v>6354</v>
      </c>
      <c r="I3240" t="s">
        <v>3015</v>
      </c>
      <c r="J3240" s="1">
        <v>45292</v>
      </c>
      <c r="K3240">
        <v>-4140000</v>
      </c>
    </row>
    <row r="3241" spans="5:11" x14ac:dyDescent="0.25">
      <c r="E3241" t="s">
        <v>6355</v>
      </c>
      <c r="F3241">
        <v>1596961</v>
      </c>
      <c r="G3241" s="1">
        <v>45382</v>
      </c>
      <c r="H3241" t="s">
        <v>6356</v>
      </c>
      <c r="I3241" t="s">
        <v>30</v>
      </c>
      <c r="J3241" s="1">
        <v>45292</v>
      </c>
      <c r="K3241">
        <v>-10300000</v>
      </c>
    </row>
    <row r="3242" spans="5:11" x14ac:dyDescent="0.25">
      <c r="E3242" t="s">
        <v>6357</v>
      </c>
      <c r="F3242">
        <v>1597033</v>
      </c>
      <c r="G3242" s="1">
        <v>45382</v>
      </c>
      <c r="H3242" t="s">
        <v>6358</v>
      </c>
      <c r="I3242" t="s">
        <v>30</v>
      </c>
      <c r="J3242" s="1">
        <v>45292</v>
      </c>
      <c r="K3242">
        <v>-71483000</v>
      </c>
    </row>
    <row r="3243" spans="5:11" x14ac:dyDescent="0.25">
      <c r="E3243" t="s">
        <v>10513</v>
      </c>
      <c r="F3243">
        <v>1597264</v>
      </c>
      <c r="G3243" s="1">
        <v>45382</v>
      </c>
      <c r="H3243" t="s">
        <v>6359</v>
      </c>
      <c r="I3243" t="s">
        <v>24</v>
      </c>
      <c r="J3243" s="1">
        <v>45292</v>
      </c>
      <c r="K3243">
        <v>89136000</v>
      </c>
    </row>
    <row r="3244" spans="5:11" x14ac:dyDescent="0.25">
      <c r="E3244" t="s">
        <v>10514</v>
      </c>
      <c r="F3244">
        <v>1597553</v>
      </c>
      <c r="G3244" s="1">
        <v>45382</v>
      </c>
      <c r="H3244" t="s">
        <v>6360</v>
      </c>
      <c r="I3244" t="s">
        <v>24</v>
      </c>
      <c r="J3244" s="1">
        <v>45292</v>
      </c>
      <c r="K3244">
        <v>-108483000</v>
      </c>
    </row>
    <row r="3245" spans="5:11" x14ac:dyDescent="0.25">
      <c r="E3245" t="s">
        <v>6361</v>
      </c>
      <c r="F3245">
        <v>1597672</v>
      </c>
      <c r="G3245" s="1">
        <v>45381</v>
      </c>
      <c r="H3245" t="s">
        <v>6362</v>
      </c>
      <c r="I3245" t="s">
        <v>33</v>
      </c>
      <c r="J3245" s="1">
        <v>45292</v>
      </c>
      <c r="K3245">
        <v>-1570000</v>
      </c>
    </row>
    <row r="3246" spans="5:11" x14ac:dyDescent="0.25">
      <c r="E3246" t="s">
        <v>6363</v>
      </c>
      <c r="F3246">
        <v>1597846</v>
      </c>
      <c r="G3246" s="1">
        <v>45382</v>
      </c>
      <c r="H3246" t="s">
        <v>6364</v>
      </c>
      <c r="I3246" t="s">
        <v>4980</v>
      </c>
      <c r="J3246" s="1">
        <v>45292</v>
      </c>
      <c r="K3246">
        <v>-265517</v>
      </c>
    </row>
    <row r="3247" spans="5:11" x14ac:dyDescent="0.25">
      <c r="E3247" t="s">
        <v>6365</v>
      </c>
      <c r="F3247">
        <v>1597892</v>
      </c>
      <c r="G3247" s="1">
        <v>45382</v>
      </c>
      <c r="H3247" t="s">
        <v>6366</v>
      </c>
      <c r="I3247" t="s">
        <v>1164</v>
      </c>
      <c r="J3247" s="1">
        <v>45292</v>
      </c>
      <c r="K3247">
        <v>-145356</v>
      </c>
    </row>
    <row r="3248" spans="5:11" x14ac:dyDescent="0.25">
      <c r="E3248" t="s">
        <v>6367</v>
      </c>
      <c r="F3248">
        <v>1598428</v>
      </c>
      <c r="G3248" s="1">
        <v>45382</v>
      </c>
      <c r="H3248" t="s">
        <v>6368</v>
      </c>
      <c r="I3248" t="s">
        <v>60</v>
      </c>
      <c r="J3248" s="1">
        <v>45292</v>
      </c>
      <c r="K3248">
        <v>24000000</v>
      </c>
    </row>
    <row r="3249" spans="5:11" x14ac:dyDescent="0.25">
      <c r="E3249" t="s">
        <v>6369</v>
      </c>
      <c r="F3249">
        <v>1598646</v>
      </c>
      <c r="G3249" s="1">
        <v>45382</v>
      </c>
      <c r="H3249" t="s">
        <v>6370</v>
      </c>
      <c r="I3249" t="s">
        <v>24</v>
      </c>
      <c r="J3249" s="1">
        <v>45292</v>
      </c>
      <c r="K3249">
        <v>-8568805</v>
      </c>
    </row>
    <row r="3250" spans="5:11" x14ac:dyDescent="0.25">
      <c r="E3250" t="s">
        <v>6371</v>
      </c>
      <c r="F3250">
        <v>1598665</v>
      </c>
      <c r="G3250" s="1">
        <v>45382</v>
      </c>
      <c r="H3250" t="s">
        <v>6372</v>
      </c>
      <c r="I3250" t="s">
        <v>33</v>
      </c>
      <c r="J3250" s="1">
        <v>45292</v>
      </c>
      <c r="K3250">
        <v>14225000</v>
      </c>
    </row>
    <row r="3251" spans="5:11" x14ac:dyDescent="0.25">
      <c r="E3251" t="s">
        <v>6373</v>
      </c>
      <c r="F3251">
        <v>1598981</v>
      </c>
      <c r="G3251" s="1">
        <v>45382</v>
      </c>
      <c r="H3251" t="s">
        <v>6374</v>
      </c>
      <c r="I3251" t="s">
        <v>33</v>
      </c>
      <c r="J3251" s="1">
        <v>45292</v>
      </c>
      <c r="K3251">
        <v>-9676201</v>
      </c>
    </row>
    <row r="3252" spans="5:11" x14ac:dyDescent="0.25">
      <c r="E3252" t="s">
        <v>6375</v>
      </c>
      <c r="F3252">
        <v>1599117</v>
      </c>
      <c r="G3252" s="1">
        <v>45382</v>
      </c>
      <c r="H3252" t="s">
        <v>6376</v>
      </c>
      <c r="I3252" t="s">
        <v>30</v>
      </c>
      <c r="J3252" s="1">
        <v>45292</v>
      </c>
      <c r="K3252">
        <v>-208006</v>
      </c>
    </row>
    <row r="3253" spans="5:11" x14ac:dyDescent="0.25">
      <c r="E3253" t="s">
        <v>6377</v>
      </c>
      <c r="F3253">
        <v>1599298</v>
      </c>
      <c r="G3253" s="1">
        <v>45382</v>
      </c>
      <c r="H3253" t="s">
        <v>6378</v>
      </c>
      <c r="I3253" t="s">
        <v>33</v>
      </c>
      <c r="J3253" s="1">
        <v>45292</v>
      </c>
      <c r="K3253">
        <v>-43473000</v>
      </c>
    </row>
    <row r="3254" spans="5:11" x14ac:dyDescent="0.25">
      <c r="E3254" t="s">
        <v>6379</v>
      </c>
      <c r="F3254">
        <v>1599407</v>
      </c>
      <c r="G3254" s="1">
        <v>45382</v>
      </c>
      <c r="H3254" t="s">
        <v>6380</v>
      </c>
      <c r="I3254" t="s">
        <v>57</v>
      </c>
      <c r="J3254" s="1">
        <v>45292</v>
      </c>
      <c r="K3254">
        <v>-10400513</v>
      </c>
    </row>
    <row r="3255" spans="5:11" x14ac:dyDescent="0.25">
      <c r="E3255" t="s">
        <v>6381</v>
      </c>
      <c r="F3255">
        <v>1599617</v>
      </c>
      <c r="G3255" s="1">
        <v>45382</v>
      </c>
      <c r="H3255" t="s">
        <v>6382</v>
      </c>
      <c r="I3255" t="s">
        <v>30</v>
      </c>
      <c r="J3255" s="1">
        <v>45292</v>
      </c>
      <c r="K3255">
        <v>21000000</v>
      </c>
    </row>
    <row r="3256" spans="5:11" x14ac:dyDescent="0.25">
      <c r="E3256" t="s">
        <v>6383</v>
      </c>
      <c r="F3256">
        <v>1599901</v>
      </c>
      <c r="G3256" s="1">
        <v>45382</v>
      </c>
      <c r="H3256" t="s">
        <v>6384</v>
      </c>
      <c r="I3256" t="s">
        <v>36</v>
      </c>
      <c r="J3256" s="1">
        <v>45292</v>
      </c>
      <c r="K3256">
        <v>-68855000</v>
      </c>
    </row>
    <row r="3257" spans="5:11" x14ac:dyDescent="0.25">
      <c r="E3257" t="s">
        <v>6385</v>
      </c>
      <c r="F3257">
        <v>1600033</v>
      </c>
      <c r="G3257" s="1">
        <v>45382</v>
      </c>
      <c r="H3257" t="s">
        <v>6386</v>
      </c>
      <c r="I3257" t="s">
        <v>36</v>
      </c>
      <c r="J3257" s="1">
        <v>45292</v>
      </c>
      <c r="K3257">
        <v>14527000</v>
      </c>
    </row>
    <row r="3258" spans="5:11" x14ac:dyDescent="0.25">
      <c r="E3258" t="s">
        <v>6387</v>
      </c>
      <c r="F3258">
        <v>1600347</v>
      </c>
      <c r="G3258" s="1">
        <v>45382</v>
      </c>
      <c r="H3258" t="s">
        <v>6388</v>
      </c>
      <c r="I3258" t="s">
        <v>299</v>
      </c>
      <c r="J3258" s="1">
        <v>45292</v>
      </c>
      <c r="K3258">
        <v>-3742587</v>
      </c>
    </row>
    <row r="3259" spans="5:11" x14ac:dyDescent="0.25">
      <c r="E3259" t="s">
        <v>6389</v>
      </c>
      <c r="F3259">
        <v>1600422</v>
      </c>
      <c r="G3259" s="1">
        <v>45382</v>
      </c>
      <c r="H3259" t="s">
        <v>6390</v>
      </c>
      <c r="I3259" t="s">
        <v>406</v>
      </c>
      <c r="J3259" s="1">
        <v>45292</v>
      </c>
      <c r="K3259">
        <v>-1822388</v>
      </c>
    </row>
    <row r="3260" spans="5:11" x14ac:dyDescent="0.25">
      <c r="E3260" t="s">
        <v>6391</v>
      </c>
      <c r="F3260">
        <v>1600438</v>
      </c>
      <c r="G3260" s="1">
        <v>45412</v>
      </c>
      <c r="H3260" t="s">
        <v>6392</v>
      </c>
      <c r="I3260" t="s">
        <v>64</v>
      </c>
      <c r="J3260" s="1">
        <v>45323</v>
      </c>
      <c r="K3260">
        <v>56387000</v>
      </c>
    </row>
    <row r="3261" spans="5:11" x14ac:dyDescent="0.25">
      <c r="E3261" t="s">
        <v>6393</v>
      </c>
      <c r="F3261">
        <v>1600620</v>
      </c>
      <c r="G3261" s="1">
        <v>45382</v>
      </c>
      <c r="H3261" t="s">
        <v>6394</v>
      </c>
      <c r="I3261" t="s">
        <v>3087</v>
      </c>
      <c r="J3261" s="1">
        <v>45292</v>
      </c>
      <c r="K3261">
        <v>-10749000</v>
      </c>
    </row>
    <row r="3262" spans="5:11" x14ac:dyDescent="0.25">
      <c r="E3262" t="s">
        <v>6395</v>
      </c>
      <c r="F3262">
        <v>1600626</v>
      </c>
      <c r="G3262" s="1">
        <v>45382</v>
      </c>
      <c r="H3262" t="s">
        <v>6396</v>
      </c>
      <c r="I3262" t="s">
        <v>36</v>
      </c>
      <c r="J3262" s="1">
        <v>45292</v>
      </c>
      <c r="K3262">
        <v>5025000</v>
      </c>
    </row>
    <row r="3263" spans="5:11" x14ac:dyDescent="0.25">
      <c r="E3263" t="s">
        <v>6397</v>
      </c>
      <c r="F3263">
        <v>1600641</v>
      </c>
      <c r="G3263" s="1">
        <v>45382</v>
      </c>
      <c r="H3263" t="s">
        <v>6398</v>
      </c>
      <c r="I3263" t="s">
        <v>57</v>
      </c>
      <c r="J3263" s="1">
        <v>45292</v>
      </c>
      <c r="K3263">
        <v>-3303000</v>
      </c>
    </row>
    <row r="3264" spans="5:11" x14ac:dyDescent="0.25">
      <c r="E3264" t="s">
        <v>6399</v>
      </c>
      <c r="F3264">
        <v>1600847</v>
      </c>
      <c r="G3264" s="1">
        <v>45382</v>
      </c>
      <c r="H3264" t="s">
        <v>6400</v>
      </c>
      <c r="I3264" t="s">
        <v>24</v>
      </c>
      <c r="J3264" s="1">
        <v>45292</v>
      </c>
      <c r="K3264">
        <v>-19946000</v>
      </c>
    </row>
    <row r="3265" spans="5:11" x14ac:dyDescent="0.25">
      <c r="E3265" t="s">
        <v>6401</v>
      </c>
      <c r="F3265">
        <v>1600983</v>
      </c>
      <c r="G3265" s="1">
        <v>45382</v>
      </c>
      <c r="H3265" t="s">
        <v>6402</v>
      </c>
      <c r="I3265" t="s">
        <v>36</v>
      </c>
      <c r="J3265" s="1">
        <v>45292</v>
      </c>
      <c r="K3265">
        <v>-7592000</v>
      </c>
    </row>
    <row r="3266" spans="5:11" x14ac:dyDescent="0.25">
      <c r="E3266" t="s">
        <v>6403</v>
      </c>
      <c r="F3266">
        <v>1601046</v>
      </c>
      <c r="G3266" s="1">
        <v>45412</v>
      </c>
      <c r="H3266" t="s">
        <v>6404</v>
      </c>
      <c r="I3266" t="s">
        <v>36</v>
      </c>
      <c r="J3266" s="1">
        <v>45323</v>
      </c>
      <c r="K3266">
        <v>126000000</v>
      </c>
    </row>
    <row r="3267" spans="5:11" x14ac:dyDescent="0.25">
      <c r="E3267" t="s">
        <v>6405</v>
      </c>
      <c r="F3267">
        <v>1601485</v>
      </c>
      <c r="G3267" s="1">
        <v>45382</v>
      </c>
      <c r="H3267" t="s">
        <v>6406</v>
      </c>
      <c r="I3267" t="s">
        <v>24</v>
      </c>
      <c r="J3267" s="1">
        <v>45292</v>
      </c>
      <c r="K3267">
        <v>-11827000</v>
      </c>
    </row>
    <row r="3268" spans="5:11" x14ac:dyDescent="0.25">
      <c r="E3268" t="s">
        <v>6407</v>
      </c>
      <c r="F3268">
        <v>1601548</v>
      </c>
      <c r="G3268" s="1">
        <v>45380</v>
      </c>
      <c r="H3268" t="s">
        <v>6408</v>
      </c>
      <c r="I3268" t="s">
        <v>123</v>
      </c>
      <c r="J3268" s="1">
        <v>45292</v>
      </c>
      <c r="K3268">
        <v>1144000</v>
      </c>
    </row>
    <row r="3269" spans="5:11" x14ac:dyDescent="0.25">
      <c r="E3269" t="s">
        <v>10515</v>
      </c>
      <c r="F3269">
        <v>1601712</v>
      </c>
      <c r="G3269" s="1">
        <v>45382</v>
      </c>
      <c r="H3269" t="s">
        <v>6409</v>
      </c>
      <c r="I3269" t="s">
        <v>27</v>
      </c>
      <c r="J3269" s="1">
        <v>45292</v>
      </c>
      <c r="K3269">
        <v>1293000000</v>
      </c>
    </row>
    <row r="3270" spans="5:11" x14ac:dyDescent="0.25">
      <c r="E3270" t="s">
        <v>6410</v>
      </c>
      <c r="F3270">
        <v>1601830</v>
      </c>
      <c r="G3270" s="1">
        <v>45382</v>
      </c>
      <c r="H3270" t="s">
        <v>6411</v>
      </c>
      <c r="I3270" t="s">
        <v>406</v>
      </c>
      <c r="J3270" s="1">
        <v>45292</v>
      </c>
      <c r="K3270">
        <v>-91373000</v>
      </c>
    </row>
    <row r="3271" spans="5:11" x14ac:dyDescent="0.25">
      <c r="E3271" t="s">
        <v>6412</v>
      </c>
      <c r="F3271">
        <v>1602065</v>
      </c>
      <c r="G3271" s="1">
        <v>45382</v>
      </c>
      <c r="H3271" t="s">
        <v>6413</v>
      </c>
      <c r="I3271" t="s">
        <v>30</v>
      </c>
      <c r="J3271" s="1">
        <v>45292</v>
      </c>
      <c r="K3271">
        <v>43360000</v>
      </c>
    </row>
    <row r="3272" spans="5:11" x14ac:dyDescent="0.25">
      <c r="E3272" t="s">
        <v>6414</v>
      </c>
      <c r="F3272">
        <v>1602658</v>
      </c>
      <c r="G3272" s="1">
        <v>45382</v>
      </c>
      <c r="H3272" t="s">
        <v>6415</v>
      </c>
      <c r="I3272" t="s">
        <v>179</v>
      </c>
      <c r="J3272" s="1">
        <v>45292</v>
      </c>
      <c r="K3272">
        <v>4707000</v>
      </c>
    </row>
    <row r="3273" spans="5:11" x14ac:dyDescent="0.25">
      <c r="E3273" t="s">
        <v>6416</v>
      </c>
      <c r="F3273">
        <v>1603145</v>
      </c>
      <c r="G3273" s="1">
        <v>45382</v>
      </c>
      <c r="H3273" t="s">
        <v>6417</v>
      </c>
      <c r="I3273" t="s">
        <v>33</v>
      </c>
      <c r="J3273" s="1">
        <v>45292</v>
      </c>
      <c r="K3273">
        <v>70000000</v>
      </c>
    </row>
    <row r="3274" spans="5:11" x14ac:dyDescent="0.25">
      <c r="E3274" t="s">
        <v>6418</v>
      </c>
      <c r="F3274">
        <v>1603207</v>
      </c>
      <c r="G3274" s="1">
        <v>45382</v>
      </c>
      <c r="H3274" t="s">
        <v>6419</v>
      </c>
      <c r="I3274" t="s">
        <v>36</v>
      </c>
      <c r="J3274" s="1">
        <v>45292</v>
      </c>
      <c r="K3274">
        <v>-3766000</v>
      </c>
    </row>
    <row r="3275" spans="5:11" x14ac:dyDescent="0.25">
      <c r="E3275" t="s">
        <v>6420</v>
      </c>
      <c r="F3275">
        <v>1603454</v>
      </c>
      <c r="G3275" s="1">
        <v>45382</v>
      </c>
      <c r="H3275" t="s">
        <v>6421</v>
      </c>
      <c r="I3275" t="s">
        <v>213</v>
      </c>
      <c r="J3275" s="1">
        <v>45292</v>
      </c>
      <c r="K3275">
        <v>-21612455</v>
      </c>
    </row>
    <row r="3276" spans="5:11" x14ac:dyDescent="0.25">
      <c r="E3276" t="s">
        <v>6422</v>
      </c>
      <c r="F3276">
        <v>1603480</v>
      </c>
      <c r="G3276" s="1">
        <v>45382</v>
      </c>
      <c r="H3276" t="s">
        <v>6423</v>
      </c>
      <c r="I3276" t="s">
        <v>24</v>
      </c>
      <c r="J3276" s="1">
        <v>45292</v>
      </c>
      <c r="K3276">
        <v>-1487000</v>
      </c>
    </row>
    <row r="3277" spans="5:11" x14ac:dyDescent="0.25">
      <c r="E3277" t="s">
        <v>6424</v>
      </c>
      <c r="F3277">
        <v>1603652</v>
      </c>
      <c r="G3277" s="1">
        <v>45382</v>
      </c>
      <c r="H3277" t="s">
        <v>6425</v>
      </c>
      <c r="I3277" t="s">
        <v>123</v>
      </c>
      <c r="J3277" s="1">
        <v>45292</v>
      </c>
      <c r="K3277">
        <v>-13015000</v>
      </c>
    </row>
    <row r="3278" spans="5:11" x14ac:dyDescent="0.25">
      <c r="E3278" t="s">
        <v>6426</v>
      </c>
      <c r="F3278">
        <v>1603756</v>
      </c>
      <c r="G3278" s="1">
        <v>45382</v>
      </c>
      <c r="H3278" t="s">
        <v>6427</v>
      </c>
      <c r="I3278" t="s">
        <v>36</v>
      </c>
      <c r="J3278" s="1">
        <v>45292</v>
      </c>
      <c r="K3278">
        <v>-19112000</v>
      </c>
    </row>
    <row r="3279" spans="5:11" x14ac:dyDescent="0.25">
      <c r="E3279" t="s">
        <v>6428</v>
      </c>
      <c r="F3279">
        <v>1603923</v>
      </c>
      <c r="G3279" s="1">
        <v>45382</v>
      </c>
      <c r="H3279" t="s">
        <v>6429</v>
      </c>
      <c r="I3279" t="s">
        <v>30</v>
      </c>
      <c r="J3279" s="1">
        <v>45292</v>
      </c>
      <c r="K3279">
        <v>112000000</v>
      </c>
    </row>
    <row r="3280" spans="5:11" x14ac:dyDescent="0.25">
      <c r="E3280" t="s">
        <v>6430</v>
      </c>
      <c r="F3280">
        <v>1603978</v>
      </c>
      <c r="G3280" s="1">
        <v>45382</v>
      </c>
      <c r="H3280" t="s">
        <v>6431</v>
      </c>
      <c r="I3280" t="s">
        <v>24</v>
      </c>
      <c r="J3280" s="1">
        <v>45292</v>
      </c>
      <c r="K3280">
        <v>-11158248</v>
      </c>
    </row>
    <row r="3281" spans="5:11" x14ac:dyDescent="0.25">
      <c r="E3281" t="s">
        <v>6432</v>
      </c>
      <c r="F3281">
        <v>1604191</v>
      </c>
      <c r="G3281" s="1">
        <v>45382</v>
      </c>
      <c r="H3281" t="s">
        <v>6433</v>
      </c>
      <c r="I3281" t="s">
        <v>33</v>
      </c>
      <c r="J3281" s="1">
        <v>45292</v>
      </c>
      <c r="K3281">
        <v>5567606</v>
      </c>
    </row>
    <row r="3282" spans="5:11" x14ac:dyDescent="0.25">
      <c r="E3282" t="s">
        <v>6434</v>
      </c>
      <c r="F3282">
        <v>1604464</v>
      </c>
      <c r="G3282" s="1">
        <v>45382</v>
      </c>
      <c r="H3282" t="s">
        <v>6435</v>
      </c>
      <c r="I3282" t="s">
        <v>36</v>
      </c>
      <c r="J3282" s="1">
        <v>45292</v>
      </c>
      <c r="K3282">
        <v>-31752000</v>
      </c>
    </row>
    <row r="3283" spans="5:11" x14ac:dyDescent="0.25">
      <c r="E3283" t="s">
        <v>6436</v>
      </c>
      <c r="F3283">
        <v>1604665</v>
      </c>
      <c r="G3283" s="1">
        <v>45382</v>
      </c>
      <c r="H3283" t="s">
        <v>6437</v>
      </c>
      <c r="I3283" t="s">
        <v>30</v>
      </c>
      <c r="J3283" s="1">
        <v>45292</v>
      </c>
      <c r="K3283">
        <v>14833000</v>
      </c>
    </row>
    <row r="3284" spans="5:11" x14ac:dyDescent="0.25">
      <c r="E3284" t="s">
        <v>6438</v>
      </c>
      <c r="F3284">
        <v>1604738</v>
      </c>
      <c r="G3284" s="1">
        <v>45382</v>
      </c>
      <c r="H3284" t="s">
        <v>6439</v>
      </c>
      <c r="I3284" t="s">
        <v>30</v>
      </c>
      <c r="J3284" s="1">
        <v>45292</v>
      </c>
      <c r="K3284">
        <v>1594000</v>
      </c>
    </row>
    <row r="3285" spans="5:11" x14ac:dyDescent="0.25">
      <c r="E3285" t="s">
        <v>6440</v>
      </c>
      <c r="F3285">
        <v>1604821</v>
      </c>
      <c r="G3285" s="1">
        <v>45382</v>
      </c>
      <c r="H3285" t="s">
        <v>6441</v>
      </c>
      <c r="I3285" t="s">
        <v>30</v>
      </c>
      <c r="J3285" s="1">
        <v>45292</v>
      </c>
      <c r="K3285">
        <v>-67599000</v>
      </c>
    </row>
    <row r="3286" spans="5:11" x14ac:dyDescent="0.25">
      <c r="E3286" t="s">
        <v>6442</v>
      </c>
      <c r="F3286">
        <v>1604868</v>
      </c>
      <c r="G3286" s="1">
        <v>45382</v>
      </c>
      <c r="H3286" t="s">
        <v>6443</v>
      </c>
      <c r="I3286" t="s">
        <v>92</v>
      </c>
      <c r="J3286" s="1">
        <v>45292</v>
      </c>
      <c r="K3286">
        <v>-8837000</v>
      </c>
    </row>
    <row r="3287" spans="5:11" x14ac:dyDescent="0.25">
      <c r="E3287" t="s">
        <v>6444</v>
      </c>
      <c r="F3287">
        <v>1604950</v>
      </c>
      <c r="G3287" s="1">
        <v>45382</v>
      </c>
      <c r="H3287" t="s">
        <v>6445</v>
      </c>
      <c r="I3287" t="s">
        <v>24</v>
      </c>
      <c r="J3287" s="1">
        <v>45292</v>
      </c>
      <c r="K3287">
        <v>-14108000</v>
      </c>
    </row>
    <row r="3288" spans="5:11" x14ac:dyDescent="0.25">
      <c r="E3288" t="s">
        <v>6446</v>
      </c>
      <c r="F3288">
        <v>1605057</v>
      </c>
      <c r="G3288" s="1">
        <v>45382</v>
      </c>
      <c r="H3288" t="s">
        <v>6447</v>
      </c>
      <c r="I3288" t="s">
        <v>36</v>
      </c>
      <c r="J3288" s="1">
        <v>45292</v>
      </c>
      <c r="K3288">
        <v>-97189</v>
      </c>
    </row>
    <row r="3289" spans="5:11" x14ac:dyDescent="0.25">
      <c r="E3289" t="s">
        <v>6448</v>
      </c>
      <c r="F3289">
        <v>1605301</v>
      </c>
      <c r="G3289" s="1">
        <v>45382</v>
      </c>
      <c r="H3289" t="s">
        <v>6449</v>
      </c>
      <c r="I3289" t="s">
        <v>39</v>
      </c>
      <c r="J3289" s="1">
        <v>45292</v>
      </c>
      <c r="K3289">
        <v>4196000</v>
      </c>
    </row>
    <row r="3290" spans="5:11" x14ac:dyDescent="0.25">
      <c r="E3290" t="s">
        <v>6450</v>
      </c>
      <c r="F3290">
        <v>1605331</v>
      </c>
      <c r="G3290" s="1">
        <v>45351</v>
      </c>
      <c r="H3290" t="s">
        <v>6451</v>
      </c>
      <c r="I3290" t="s">
        <v>57</v>
      </c>
      <c r="J3290" s="1">
        <v>45261</v>
      </c>
      <c r="K3290">
        <v>-494919</v>
      </c>
    </row>
    <row r="3291" spans="5:11" x14ac:dyDescent="0.25">
      <c r="E3291" t="s">
        <v>6452</v>
      </c>
      <c r="F3291">
        <v>1605481</v>
      </c>
      <c r="G3291" s="1">
        <v>45382</v>
      </c>
      <c r="H3291" t="s">
        <v>6453</v>
      </c>
      <c r="I3291" t="s">
        <v>142</v>
      </c>
      <c r="J3291" s="1">
        <v>45292</v>
      </c>
      <c r="K3291">
        <v>-839445</v>
      </c>
    </row>
    <row r="3292" spans="5:11" x14ac:dyDescent="0.25">
      <c r="E3292" t="s">
        <v>6454</v>
      </c>
      <c r="F3292">
        <v>1605607</v>
      </c>
      <c r="G3292" s="1">
        <v>45382</v>
      </c>
      <c r="H3292" t="s">
        <v>6455</v>
      </c>
      <c r="I3292" t="s">
        <v>57</v>
      </c>
      <c r="J3292" s="1">
        <v>45292</v>
      </c>
      <c r="K3292">
        <v>9865000</v>
      </c>
    </row>
    <row r="3293" spans="5:11" x14ac:dyDescent="0.25">
      <c r="E3293" t="s">
        <v>6456</v>
      </c>
      <c r="F3293">
        <v>1605888</v>
      </c>
      <c r="G3293" s="1">
        <v>45382</v>
      </c>
      <c r="H3293" t="s">
        <v>6457</v>
      </c>
      <c r="I3293" t="s">
        <v>46</v>
      </c>
      <c r="J3293" s="1">
        <v>45292</v>
      </c>
      <c r="K3293">
        <v>-4866844</v>
      </c>
    </row>
    <row r="3294" spans="5:11" x14ac:dyDescent="0.25">
      <c r="E3294" t="s">
        <v>6458</v>
      </c>
      <c r="F3294">
        <v>1606163</v>
      </c>
      <c r="G3294" s="1">
        <v>45382</v>
      </c>
      <c r="H3294" t="s">
        <v>6459</v>
      </c>
      <c r="I3294" t="s">
        <v>39</v>
      </c>
      <c r="J3294" s="1">
        <v>45292</v>
      </c>
      <c r="K3294">
        <v>7586000</v>
      </c>
    </row>
    <row r="3295" spans="5:11" x14ac:dyDescent="0.25">
      <c r="E3295" t="s">
        <v>6460</v>
      </c>
      <c r="F3295">
        <v>1606268</v>
      </c>
      <c r="G3295" s="1">
        <v>45382</v>
      </c>
      <c r="H3295" t="s">
        <v>6461</v>
      </c>
      <c r="I3295" t="s">
        <v>30</v>
      </c>
      <c r="J3295" s="1">
        <v>45292</v>
      </c>
      <c r="K3295">
        <v>8567000</v>
      </c>
    </row>
    <row r="3296" spans="5:11" x14ac:dyDescent="0.25">
      <c r="E3296" t="s">
        <v>6462</v>
      </c>
      <c r="F3296">
        <v>1606366</v>
      </c>
      <c r="G3296" s="1">
        <v>45378</v>
      </c>
      <c r="H3296" t="s">
        <v>6463</v>
      </c>
      <c r="I3296" t="s">
        <v>36</v>
      </c>
      <c r="J3296" s="1">
        <v>45288</v>
      </c>
      <c r="K3296">
        <v>5912000</v>
      </c>
    </row>
    <row r="3297" spans="5:11" x14ac:dyDescent="0.25">
      <c r="E3297" t="s">
        <v>6464</v>
      </c>
      <c r="F3297">
        <v>1606498</v>
      </c>
      <c r="G3297" s="1">
        <v>45382</v>
      </c>
      <c r="H3297" t="s">
        <v>6465</v>
      </c>
      <c r="I3297" t="s">
        <v>64</v>
      </c>
      <c r="J3297" s="1">
        <v>45292</v>
      </c>
      <c r="K3297">
        <v>-900000</v>
      </c>
    </row>
    <row r="3298" spans="5:11" x14ac:dyDescent="0.25">
      <c r="E3298" t="s">
        <v>6466</v>
      </c>
      <c r="F3298">
        <v>1606745</v>
      </c>
      <c r="G3298" s="1">
        <v>45382</v>
      </c>
      <c r="H3298" t="s">
        <v>6467</v>
      </c>
      <c r="I3298" t="s">
        <v>92</v>
      </c>
      <c r="J3298" s="1">
        <v>45292</v>
      </c>
      <c r="K3298">
        <v>-66000000</v>
      </c>
    </row>
    <row r="3299" spans="5:11" x14ac:dyDescent="0.25">
      <c r="E3299" t="s">
        <v>6468</v>
      </c>
      <c r="F3299">
        <v>1606757</v>
      </c>
      <c r="G3299" s="1">
        <v>45382</v>
      </c>
      <c r="H3299" t="s">
        <v>6469</v>
      </c>
      <c r="I3299" t="s">
        <v>288</v>
      </c>
      <c r="J3299" s="1">
        <v>45292</v>
      </c>
      <c r="K3299">
        <v>-6076000</v>
      </c>
    </row>
    <row r="3300" spans="5:11" x14ac:dyDescent="0.25">
      <c r="E3300" t="s">
        <v>6470</v>
      </c>
      <c r="F3300">
        <v>1606909</v>
      </c>
      <c r="G3300" s="1">
        <v>45382</v>
      </c>
      <c r="H3300" t="s">
        <v>6471</v>
      </c>
      <c r="I3300" t="s">
        <v>101</v>
      </c>
      <c r="J3300" s="1">
        <v>45292</v>
      </c>
      <c r="K3300">
        <v>11674176</v>
      </c>
    </row>
    <row r="3301" spans="5:11" x14ac:dyDescent="0.25">
      <c r="E3301" t="s">
        <v>6472</v>
      </c>
      <c r="F3301">
        <v>1607678</v>
      </c>
      <c r="G3301" s="1">
        <v>45382</v>
      </c>
      <c r="H3301" t="s">
        <v>6473</v>
      </c>
      <c r="I3301" t="s">
        <v>36</v>
      </c>
      <c r="J3301" s="1">
        <v>45292</v>
      </c>
      <c r="K3301">
        <v>-27356000</v>
      </c>
    </row>
    <row r="3302" spans="5:11" x14ac:dyDescent="0.25">
      <c r="E3302" t="s">
        <v>6474</v>
      </c>
      <c r="F3302">
        <v>1607939</v>
      </c>
      <c r="G3302" s="1">
        <v>45382</v>
      </c>
      <c r="H3302" t="s">
        <v>6475</v>
      </c>
      <c r="I3302" t="s">
        <v>36</v>
      </c>
      <c r="J3302" s="1">
        <v>45292</v>
      </c>
      <c r="K3302">
        <v>-18339000</v>
      </c>
    </row>
    <row r="3303" spans="5:11" x14ac:dyDescent="0.25">
      <c r="E3303" t="s">
        <v>6476</v>
      </c>
      <c r="F3303">
        <v>1607962</v>
      </c>
      <c r="G3303" s="1">
        <v>45382</v>
      </c>
      <c r="H3303" t="s">
        <v>6477</v>
      </c>
      <c r="I3303" t="s">
        <v>1511</v>
      </c>
      <c r="J3303" s="1">
        <v>45292</v>
      </c>
      <c r="K3303">
        <v>-6276000</v>
      </c>
    </row>
    <row r="3304" spans="5:11" x14ac:dyDescent="0.25">
      <c r="E3304" t="s">
        <v>6478</v>
      </c>
      <c r="F3304">
        <v>1608092</v>
      </c>
      <c r="G3304" s="1">
        <v>45382</v>
      </c>
      <c r="H3304" t="s">
        <v>6479</v>
      </c>
      <c r="I3304" t="s">
        <v>33</v>
      </c>
      <c r="J3304" s="1">
        <v>45292</v>
      </c>
      <c r="K3304">
        <v>-135218</v>
      </c>
    </row>
    <row r="3305" spans="5:11" x14ac:dyDescent="0.25">
      <c r="E3305" t="s">
        <v>6480</v>
      </c>
      <c r="F3305">
        <v>1609065</v>
      </c>
      <c r="G3305" s="1">
        <v>45382</v>
      </c>
      <c r="H3305" t="s">
        <v>6481</v>
      </c>
      <c r="I3305" t="s">
        <v>57</v>
      </c>
      <c r="J3305" s="1">
        <v>45292</v>
      </c>
      <c r="K3305">
        <v>2120000</v>
      </c>
    </row>
    <row r="3306" spans="5:11" x14ac:dyDescent="0.25">
      <c r="E3306" t="s">
        <v>6482</v>
      </c>
      <c r="F3306">
        <v>1609151</v>
      </c>
      <c r="G3306" s="1">
        <v>45382</v>
      </c>
      <c r="H3306" t="s">
        <v>6483</v>
      </c>
      <c r="I3306" t="s">
        <v>406</v>
      </c>
      <c r="J3306" s="1">
        <v>45292</v>
      </c>
      <c r="K3306">
        <v>-7203000</v>
      </c>
    </row>
    <row r="3307" spans="5:11" x14ac:dyDescent="0.25">
      <c r="E3307" t="s">
        <v>6484</v>
      </c>
      <c r="F3307">
        <v>1609253</v>
      </c>
      <c r="G3307" s="1">
        <v>45382</v>
      </c>
      <c r="H3307" t="s">
        <v>6485</v>
      </c>
      <c r="I3307" t="s">
        <v>36</v>
      </c>
      <c r="J3307" s="1">
        <v>45292</v>
      </c>
      <c r="K3307">
        <v>-10000000</v>
      </c>
    </row>
    <row r="3308" spans="5:11" x14ac:dyDescent="0.25">
      <c r="E3308" t="s">
        <v>6486</v>
      </c>
      <c r="F3308">
        <v>1609550</v>
      </c>
      <c r="G3308" s="1">
        <v>45382</v>
      </c>
      <c r="H3308" t="s">
        <v>6487</v>
      </c>
      <c r="I3308" t="s">
        <v>213</v>
      </c>
      <c r="J3308" s="1">
        <v>45292</v>
      </c>
      <c r="K3308">
        <v>-10005000</v>
      </c>
    </row>
    <row r="3309" spans="5:11" x14ac:dyDescent="0.25">
      <c r="E3309" t="s">
        <v>6488</v>
      </c>
      <c r="F3309">
        <v>1609711</v>
      </c>
      <c r="G3309" s="1">
        <v>45382</v>
      </c>
      <c r="H3309" t="s">
        <v>6489</v>
      </c>
      <c r="I3309" t="s">
        <v>113</v>
      </c>
      <c r="J3309" s="1">
        <v>45292</v>
      </c>
      <c r="K3309">
        <v>401500000</v>
      </c>
    </row>
    <row r="3310" spans="5:11" x14ac:dyDescent="0.25">
      <c r="E3310" t="s">
        <v>6490</v>
      </c>
      <c r="F3310">
        <v>1609804</v>
      </c>
      <c r="G3310" s="1">
        <v>45382</v>
      </c>
      <c r="H3310" t="s">
        <v>6491</v>
      </c>
      <c r="I3310" t="s">
        <v>30</v>
      </c>
      <c r="J3310" s="1">
        <v>45292</v>
      </c>
      <c r="K3310">
        <v>26700000</v>
      </c>
    </row>
    <row r="3311" spans="5:11" x14ac:dyDescent="0.25">
      <c r="E3311" t="s">
        <v>6492</v>
      </c>
      <c r="F3311">
        <v>1609809</v>
      </c>
      <c r="G3311" s="1">
        <v>45382</v>
      </c>
      <c r="H3311" t="s">
        <v>6493</v>
      </c>
      <c r="I3311" t="s">
        <v>24</v>
      </c>
      <c r="J3311" s="1">
        <v>45292</v>
      </c>
      <c r="K3311">
        <v>-40133000</v>
      </c>
    </row>
    <row r="3312" spans="5:11" x14ac:dyDescent="0.25">
      <c r="E3312" t="s">
        <v>6494</v>
      </c>
      <c r="F3312">
        <v>1610618</v>
      </c>
      <c r="G3312" s="1">
        <v>45382</v>
      </c>
      <c r="H3312" t="s">
        <v>6495</v>
      </c>
      <c r="I3312" t="s">
        <v>36</v>
      </c>
      <c r="J3312" s="1">
        <v>45292</v>
      </c>
      <c r="K3312">
        <v>-10326000</v>
      </c>
    </row>
    <row r="3313" spans="5:11" x14ac:dyDescent="0.25">
      <c r="E3313" t="s">
        <v>6496</v>
      </c>
      <c r="F3313">
        <v>1610718</v>
      </c>
      <c r="G3313" s="1">
        <v>45382</v>
      </c>
      <c r="H3313" t="s">
        <v>6497</v>
      </c>
      <c r="I3313" t="s">
        <v>406</v>
      </c>
      <c r="J3313" s="1">
        <v>45292</v>
      </c>
      <c r="K3313">
        <v>-9759</v>
      </c>
    </row>
    <row r="3314" spans="5:11" x14ac:dyDescent="0.25">
      <c r="E3314" t="s">
        <v>6498</v>
      </c>
      <c r="F3314">
        <v>1610820</v>
      </c>
      <c r="G3314" s="1">
        <v>45412</v>
      </c>
      <c r="H3314" t="s">
        <v>6499</v>
      </c>
      <c r="I3314" t="s">
        <v>2552</v>
      </c>
      <c r="J3314" s="1">
        <v>45323</v>
      </c>
      <c r="K3314">
        <v>1715759</v>
      </c>
    </row>
    <row r="3315" spans="5:11" x14ac:dyDescent="0.25">
      <c r="E3315" t="s">
        <v>6500</v>
      </c>
      <c r="F3315">
        <v>1610853</v>
      </c>
      <c r="G3315" s="1">
        <v>45382</v>
      </c>
      <c r="H3315" t="s">
        <v>6501</v>
      </c>
      <c r="I3315" t="s">
        <v>39</v>
      </c>
      <c r="J3315" s="1">
        <v>45292</v>
      </c>
      <c r="K3315">
        <v>-2516000</v>
      </c>
    </row>
    <row r="3316" spans="5:11" x14ac:dyDescent="0.25">
      <c r="E3316" t="s">
        <v>6502</v>
      </c>
      <c r="F3316">
        <v>1610940</v>
      </c>
      <c r="G3316" s="1">
        <v>45382</v>
      </c>
      <c r="H3316" t="s">
        <v>6503</v>
      </c>
      <c r="I3316" t="s">
        <v>19</v>
      </c>
      <c r="J3316" s="1">
        <v>45292</v>
      </c>
      <c r="K3316">
        <v>9389768</v>
      </c>
    </row>
    <row r="3317" spans="5:11" x14ac:dyDescent="0.25">
      <c r="E3317" t="s">
        <v>6504</v>
      </c>
      <c r="F3317">
        <v>1611052</v>
      </c>
      <c r="G3317" s="1">
        <v>45382</v>
      </c>
      <c r="H3317" t="s">
        <v>6505</v>
      </c>
      <c r="I3317" t="s">
        <v>36</v>
      </c>
      <c r="J3317" s="1">
        <v>45292</v>
      </c>
      <c r="K3317">
        <v>-10966000</v>
      </c>
    </row>
    <row r="3318" spans="5:11" x14ac:dyDescent="0.25">
      <c r="E3318" t="s">
        <v>6506</v>
      </c>
      <c r="F3318">
        <v>1611282</v>
      </c>
      <c r="G3318" s="1">
        <v>45382</v>
      </c>
      <c r="H3318" t="s">
        <v>6507</v>
      </c>
      <c r="I3318" t="s">
        <v>46</v>
      </c>
      <c r="J3318" s="1">
        <v>45292</v>
      </c>
      <c r="K3318">
        <v>-1269591</v>
      </c>
    </row>
    <row r="3319" spans="5:11" x14ac:dyDescent="0.25">
      <c r="E3319" t="s">
        <v>6508</v>
      </c>
      <c r="F3319">
        <v>1611547</v>
      </c>
      <c r="G3319" s="1">
        <v>45382</v>
      </c>
      <c r="H3319" t="s">
        <v>6509</v>
      </c>
      <c r="I3319" t="s">
        <v>57</v>
      </c>
      <c r="J3319" s="1">
        <v>45292</v>
      </c>
      <c r="K3319">
        <v>2603000</v>
      </c>
    </row>
    <row r="3320" spans="5:11" x14ac:dyDescent="0.25">
      <c r="E3320" t="s">
        <v>6510</v>
      </c>
      <c r="F3320">
        <v>1611647</v>
      </c>
      <c r="G3320" s="1">
        <v>45382</v>
      </c>
      <c r="H3320" t="s">
        <v>6511</v>
      </c>
      <c r="I3320" t="s">
        <v>46</v>
      </c>
      <c r="J3320" s="1">
        <v>45292</v>
      </c>
      <c r="K3320">
        <v>18602000</v>
      </c>
    </row>
    <row r="3321" spans="5:11" x14ac:dyDescent="0.25">
      <c r="E3321" t="s">
        <v>6512</v>
      </c>
      <c r="F3321">
        <v>1611983</v>
      </c>
      <c r="G3321" s="1">
        <v>45382</v>
      </c>
      <c r="H3321" t="s">
        <v>6513</v>
      </c>
      <c r="I3321" t="s">
        <v>92</v>
      </c>
      <c r="J3321" s="1">
        <v>45292</v>
      </c>
      <c r="K3321">
        <v>241000000</v>
      </c>
    </row>
    <row r="3322" spans="5:11" x14ac:dyDescent="0.25">
      <c r="E3322" t="s">
        <v>6514</v>
      </c>
      <c r="F3322">
        <v>1612630</v>
      </c>
      <c r="G3322" s="1">
        <v>45382</v>
      </c>
      <c r="H3322" t="s">
        <v>6515</v>
      </c>
      <c r="I3322" t="s">
        <v>113</v>
      </c>
      <c r="J3322" s="1">
        <v>45292</v>
      </c>
      <c r="K3322">
        <v>946979</v>
      </c>
    </row>
    <row r="3323" spans="5:11" x14ac:dyDescent="0.25">
      <c r="E3323" t="s">
        <v>6516</v>
      </c>
      <c r="F3323">
        <v>1612720</v>
      </c>
      <c r="G3323" s="1">
        <v>45382</v>
      </c>
      <c r="H3323" t="s">
        <v>6517</v>
      </c>
      <c r="I3323" t="s">
        <v>30</v>
      </c>
      <c r="J3323" s="1">
        <v>45292</v>
      </c>
      <c r="K3323">
        <v>186775000</v>
      </c>
    </row>
    <row r="3324" spans="5:11" x14ac:dyDescent="0.25">
      <c r="E3324" t="s">
        <v>6518</v>
      </c>
      <c r="F3324">
        <v>1613685</v>
      </c>
      <c r="G3324" s="1">
        <v>45382</v>
      </c>
      <c r="H3324" t="s">
        <v>6519</v>
      </c>
      <c r="I3324" t="s">
        <v>4980</v>
      </c>
      <c r="J3324" s="1">
        <v>45292</v>
      </c>
      <c r="K3324">
        <v>-9656</v>
      </c>
    </row>
    <row r="3325" spans="5:11" x14ac:dyDescent="0.25">
      <c r="E3325" t="s">
        <v>6520</v>
      </c>
      <c r="F3325">
        <v>1613780</v>
      </c>
      <c r="G3325" s="1">
        <v>45382</v>
      </c>
      <c r="H3325" t="s">
        <v>6521</v>
      </c>
      <c r="I3325" t="s">
        <v>3015</v>
      </c>
      <c r="J3325" s="1">
        <v>45292</v>
      </c>
      <c r="K3325">
        <v>-27345000</v>
      </c>
    </row>
    <row r="3326" spans="5:11" x14ac:dyDescent="0.25">
      <c r="E3326" t="s">
        <v>6522</v>
      </c>
      <c r="F3326">
        <v>1614178</v>
      </c>
      <c r="G3326" s="1">
        <v>45412</v>
      </c>
      <c r="H3326" t="s">
        <v>6523</v>
      </c>
      <c r="I3326" t="s">
        <v>57</v>
      </c>
      <c r="J3326" s="1">
        <v>45323</v>
      </c>
      <c r="K3326">
        <v>-3817000</v>
      </c>
    </row>
    <row r="3327" spans="5:11" x14ac:dyDescent="0.25">
      <c r="E3327" t="s">
        <v>6524</v>
      </c>
      <c r="F3327">
        <v>1614556</v>
      </c>
      <c r="G3327" s="1">
        <v>45382</v>
      </c>
      <c r="H3327" t="s">
        <v>6525</v>
      </c>
      <c r="I3327" t="s">
        <v>36</v>
      </c>
      <c r="J3327" s="1">
        <v>45292</v>
      </c>
      <c r="K3327">
        <v>-868815</v>
      </c>
    </row>
    <row r="3328" spans="5:11" x14ac:dyDescent="0.25">
      <c r="E3328" t="s">
        <v>6526</v>
      </c>
      <c r="F3328">
        <v>1614806</v>
      </c>
      <c r="G3328" s="1">
        <v>45382</v>
      </c>
      <c r="H3328" t="s">
        <v>6527</v>
      </c>
      <c r="I3328" t="s">
        <v>963</v>
      </c>
      <c r="J3328" s="1">
        <v>45292</v>
      </c>
      <c r="K3328">
        <v>-73978000</v>
      </c>
    </row>
    <row r="3329" spans="5:11" x14ac:dyDescent="0.25">
      <c r="E3329" t="s">
        <v>6528</v>
      </c>
      <c r="F3329">
        <v>1615063</v>
      </c>
      <c r="G3329" s="1">
        <v>45382</v>
      </c>
      <c r="H3329" t="s">
        <v>6529</v>
      </c>
      <c r="I3329" t="s">
        <v>57</v>
      </c>
      <c r="J3329" s="1">
        <v>45292</v>
      </c>
      <c r="K3329">
        <v>-5700000</v>
      </c>
    </row>
    <row r="3330" spans="5:11" x14ac:dyDescent="0.25">
      <c r="E3330" t="s">
        <v>6530</v>
      </c>
      <c r="F3330">
        <v>1615165</v>
      </c>
      <c r="G3330" s="1">
        <v>45382</v>
      </c>
      <c r="H3330" t="s">
        <v>6531</v>
      </c>
      <c r="I3330" t="s">
        <v>92</v>
      </c>
      <c r="J3330" s="1">
        <v>45292</v>
      </c>
      <c r="K3330">
        <v>-25198000</v>
      </c>
    </row>
    <row r="3331" spans="5:11" x14ac:dyDescent="0.25">
      <c r="E3331" t="s">
        <v>6532</v>
      </c>
      <c r="F3331">
        <v>1615219</v>
      </c>
      <c r="G3331" s="1">
        <v>45382</v>
      </c>
      <c r="H3331" t="s">
        <v>6533</v>
      </c>
      <c r="I3331" t="s">
        <v>30</v>
      </c>
      <c r="J3331" s="1">
        <v>45292</v>
      </c>
      <c r="K3331">
        <v>-1715290</v>
      </c>
    </row>
    <row r="3332" spans="5:11" x14ac:dyDescent="0.25">
      <c r="E3332" t="s">
        <v>6534</v>
      </c>
      <c r="F3332">
        <v>1616000</v>
      </c>
      <c r="G3332" s="1">
        <v>45382</v>
      </c>
      <c r="H3332" t="s">
        <v>6535</v>
      </c>
      <c r="I3332" t="s">
        <v>33</v>
      </c>
      <c r="J3332" s="1">
        <v>45292</v>
      </c>
      <c r="K3332">
        <v>8534000</v>
      </c>
    </row>
    <row r="3333" spans="5:11" x14ac:dyDescent="0.25">
      <c r="E3333" t="s">
        <v>6536</v>
      </c>
      <c r="F3333">
        <v>1616156</v>
      </c>
      <c r="G3333" s="1">
        <v>45351</v>
      </c>
      <c r="H3333" t="s">
        <v>6537</v>
      </c>
      <c r="I3333" t="s">
        <v>142</v>
      </c>
      <c r="J3333" s="1">
        <v>45261</v>
      </c>
      <c r="K3333">
        <v>-140514</v>
      </c>
    </row>
    <row r="3334" spans="5:11" x14ac:dyDescent="0.25">
      <c r="E3334" t="s">
        <v>6538</v>
      </c>
      <c r="F3334">
        <v>1616533</v>
      </c>
      <c r="G3334" s="1">
        <v>45352</v>
      </c>
      <c r="H3334" t="s">
        <v>6539</v>
      </c>
      <c r="I3334" t="s">
        <v>2436</v>
      </c>
      <c r="J3334" s="1">
        <v>45262</v>
      </c>
      <c r="K3334">
        <v>-13620000</v>
      </c>
    </row>
    <row r="3335" spans="5:11" x14ac:dyDescent="0.25">
      <c r="E3335" t="s">
        <v>6540</v>
      </c>
      <c r="F3335">
        <v>1616543</v>
      </c>
      <c r="G3335" s="1">
        <v>45382</v>
      </c>
      <c r="H3335" t="s">
        <v>6541</v>
      </c>
      <c r="I3335" t="s">
        <v>299</v>
      </c>
      <c r="J3335" s="1">
        <v>45292</v>
      </c>
      <c r="K3335">
        <v>-18877000</v>
      </c>
    </row>
    <row r="3336" spans="5:11" x14ac:dyDescent="0.25">
      <c r="E3336" t="s">
        <v>6542</v>
      </c>
      <c r="F3336">
        <v>1616707</v>
      </c>
      <c r="G3336" s="1">
        <v>45382</v>
      </c>
      <c r="H3336" t="s">
        <v>6543</v>
      </c>
      <c r="I3336" t="s">
        <v>24</v>
      </c>
      <c r="J3336" s="1">
        <v>45292</v>
      </c>
      <c r="K3336">
        <v>-248000000</v>
      </c>
    </row>
    <row r="3337" spans="5:11" x14ac:dyDescent="0.25">
      <c r="E3337" t="s">
        <v>6544</v>
      </c>
      <c r="F3337">
        <v>1616736</v>
      </c>
      <c r="G3337" s="1">
        <v>45382</v>
      </c>
      <c r="H3337" t="s">
        <v>6545</v>
      </c>
      <c r="I3337" t="s">
        <v>60</v>
      </c>
      <c r="J3337" s="1">
        <v>45292</v>
      </c>
      <c r="K3337">
        <v>-115473</v>
      </c>
    </row>
    <row r="3338" spans="5:11" x14ac:dyDescent="0.25">
      <c r="E3338" t="s">
        <v>6546</v>
      </c>
      <c r="F3338">
        <v>1616788</v>
      </c>
      <c r="G3338" s="1">
        <v>45382</v>
      </c>
      <c r="H3338" t="s">
        <v>6547</v>
      </c>
      <c r="I3338" t="s">
        <v>2273</v>
      </c>
      <c r="J3338" s="1">
        <v>45292</v>
      </c>
      <c r="K3338">
        <v>-6807</v>
      </c>
    </row>
    <row r="3339" spans="5:11" x14ac:dyDescent="0.25">
      <c r="E3339" t="s">
        <v>6548</v>
      </c>
      <c r="F3339">
        <v>1616862</v>
      </c>
      <c r="G3339" s="1">
        <v>45382</v>
      </c>
      <c r="H3339" t="s">
        <v>6549</v>
      </c>
      <c r="I3339" t="s">
        <v>39</v>
      </c>
      <c r="J3339" s="1">
        <v>45292</v>
      </c>
      <c r="K3339">
        <v>41000000</v>
      </c>
    </row>
    <row r="3340" spans="5:11" x14ac:dyDescent="0.25">
      <c r="E3340" t="s">
        <v>6550</v>
      </c>
      <c r="F3340">
        <v>1617242</v>
      </c>
      <c r="G3340" s="1">
        <v>45382</v>
      </c>
      <c r="H3340" t="s">
        <v>6551</v>
      </c>
      <c r="I3340" t="s">
        <v>46</v>
      </c>
      <c r="J3340" s="1">
        <v>45292</v>
      </c>
      <c r="K3340">
        <v>7397000</v>
      </c>
    </row>
    <row r="3341" spans="5:11" x14ac:dyDescent="0.25">
      <c r="E3341" t="s">
        <v>6552</v>
      </c>
      <c r="F3341">
        <v>1617406</v>
      </c>
      <c r="G3341" s="1">
        <v>45382</v>
      </c>
      <c r="H3341" t="s">
        <v>6553</v>
      </c>
      <c r="I3341" t="s">
        <v>123</v>
      </c>
      <c r="J3341" s="1">
        <v>45292</v>
      </c>
      <c r="K3341">
        <v>28000000</v>
      </c>
    </row>
    <row r="3342" spans="5:11" x14ac:dyDescent="0.25">
      <c r="E3342" t="s">
        <v>6554</v>
      </c>
      <c r="F3342">
        <v>1617553</v>
      </c>
      <c r="G3342" s="1">
        <v>45382</v>
      </c>
      <c r="H3342" t="s">
        <v>6555</v>
      </c>
      <c r="I3342" t="s">
        <v>36</v>
      </c>
      <c r="J3342" s="1">
        <v>45292</v>
      </c>
      <c r="K3342">
        <v>-6505000</v>
      </c>
    </row>
    <row r="3343" spans="5:11" x14ac:dyDescent="0.25">
      <c r="E3343" t="s">
        <v>6556</v>
      </c>
      <c r="F3343">
        <v>1617640</v>
      </c>
      <c r="G3343" s="1">
        <v>45382</v>
      </c>
      <c r="H3343" t="s">
        <v>6557</v>
      </c>
      <c r="I3343" t="s">
        <v>504</v>
      </c>
      <c r="J3343" s="1">
        <v>45292</v>
      </c>
      <c r="K3343">
        <v>-23000000</v>
      </c>
    </row>
    <row r="3344" spans="5:11" x14ac:dyDescent="0.25">
      <c r="E3344" t="s">
        <v>6558</v>
      </c>
      <c r="F3344">
        <v>1618181</v>
      </c>
      <c r="G3344" s="1">
        <v>45382</v>
      </c>
      <c r="H3344" t="s">
        <v>6559</v>
      </c>
      <c r="I3344" t="s">
        <v>57</v>
      </c>
      <c r="J3344" s="1">
        <v>45292</v>
      </c>
      <c r="K3344">
        <v>473976000</v>
      </c>
    </row>
    <row r="3345" spans="5:11" x14ac:dyDescent="0.25">
      <c r="E3345" t="s">
        <v>6560</v>
      </c>
      <c r="F3345">
        <v>1618563</v>
      </c>
      <c r="G3345" s="1">
        <v>45382</v>
      </c>
      <c r="H3345" t="s">
        <v>6561</v>
      </c>
      <c r="I3345" t="s">
        <v>92</v>
      </c>
      <c r="J3345" s="1">
        <v>45292</v>
      </c>
      <c r="K3345">
        <v>59027000</v>
      </c>
    </row>
    <row r="3346" spans="5:11" x14ac:dyDescent="0.25">
      <c r="E3346" t="s">
        <v>6562</v>
      </c>
      <c r="F3346">
        <v>1618673</v>
      </c>
      <c r="G3346" s="1">
        <v>45381</v>
      </c>
      <c r="H3346" t="s">
        <v>6563</v>
      </c>
      <c r="I3346" t="s">
        <v>123</v>
      </c>
      <c r="J3346" s="1">
        <v>45291</v>
      </c>
      <c r="K3346">
        <v>70400000</v>
      </c>
    </row>
    <row r="3347" spans="5:11" x14ac:dyDescent="0.25">
      <c r="E3347" t="s">
        <v>6564</v>
      </c>
      <c r="F3347">
        <v>1618694</v>
      </c>
      <c r="G3347" s="1">
        <v>45382</v>
      </c>
      <c r="H3347" t="s">
        <v>6565</v>
      </c>
      <c r="I3347" t="s">
        <v>57</v>
      </c>
      <c r="J3347" s="1">
        <v>45292</v>
      </c>
      <c r="K3347">
        <v>309000</v>
      </c>
    </row>
    <row r="3348" spans="5:11" x14ac:dyDescent="0.25">
      <c r="E3348" t="s">
        <v>6566</v>
      </c>
      <c r="F3348">
        <v>1618696</v>
      </c>
      <c r="G3348" s="1">
        <v>45382</v>
      </c>
      <c r="H3348" t="s">
        <v>6567</v>
      </c>
      <c r="I3348" t="s">
        <v>57</v>
      </c>
      <c r="J3348" s="1">
        <v>45292</v>
      </c>
      <c r="K3348">
        <v>59647</v>
      </c>
    </row>
    <row r="3349" spans="5:11" x14ac:dyDescent="0.25">
      <c r="E3349" t="s">
        <v>6568</v>
      </c>
      <c r="F3349">
        <v>1618697</v>
      </c>
      <c r="G3349" s="1">
        <v>45382</v>
      </c>
      <c r="H3349" t="s">
        <v>6569</v>
      </c>
      <c r="I3349" t="s">
        <v>57</v>
      </c>
      <c r="J3349" s="1">
        <v>45292</v>
      </c>
      <c r="K3349">
        <v>648000</v>
      </c>
    </row>
    <row r="3350" spans="5:11" x14ac:dyDescent="0.25">
      <c r="E3350" t="s">
        <v>6570</v>
      </c>
      <c r="F3350">
        <v>1618732</v>
      </c>
      <c r="G3350" s="1">
        <v>45412</v>
      </c>
      <c r="H3350" t="s">
        <v>6571</v>
      </c>
      <c r="I3350" t="s">
        <v>36</v>
      </c>
      <c r="J3350" s="1">
        <v>45323</v>
      </c>
      <c r="K3350">
        <v>-15616000</v>
      </c>
    </row>
    <row r="3351" spans="5:11" x14ac:dyDescent="0.25">
      <c r="E3351" t="s">
        <v>6572</v>
      </c>
      <c r="F3351">
        <v>1618835</v>
      </c>
      <c r="G3351" s="1">
        <v>45382</v>
      </c>
      <c r="H3351" t="s">
        <v>6573</v>
      </c>
      <c r="I3351" t="s">
        <v>36</v>
      </c>
      <c r="J3351" s="1">
        <v>45292</v>
      </c>
      <c r="K3351">
        <v>-4809000</v>
      </c>
    </row>
    <row r="3352" spans="5:11" x14ac:dyDescent="0.25">
      <c r="E3352" t="s">
        <v>6574</v>
      </c>
      <c r="F3352">
        <v>1618921</v>
      </c>
      <c r="G3352" s="1">
        <v>45351</v>
      </c>
      <c r="H3352" t="s">
        <v>6575</v>
      </c>
      <c r="I3352" t="s">
        <v>19</v>
      </c>
      <c r="J3352" s="1">
        <v>45261</v>
      </c>
      <c r="K3352">
        <v>-5908000000</v>
      </c>
    </row>
    <row r="3353" spans="5:11" x14ac:dyDescent="0.25">
      <c r="E3353" t="s">
        <v>6576</v>
      </c>
      <c r="F3353">
        <v>1619096</v>
      </c>
      <c r="G3353" s="1">
        <v>45382</v>
      </c>
      <c r="H3353" t="s">
        <v>6577</v>
      </c>
      <c r="I3353" t="s">
        <v>2552</v>
      </c>
      <c r="J3353" s="1">
        <v>45292</v>
      </c>
      <c r="K3353">
        <v>-62472</v>
      </c>
    </row>
    <row r="3354" spans="5:11" x14ac:dyDescent="0.25">
      <c r="E3354" t="s">
        <v>10516</v>
      </c>
      <c r="F3354">
        <v>1619227</v>
      </c>
      <c r="G3354" s="1">
        <v>45382</v>
      </c>
      <c r="H3354" t="s">
        <v>6578</v>
      </c>
      <c r="I3354" t="s">
        <v>36</v>
      </c>
      <c r="J3354" s="1">
        <v>45292</v>
      </c>
      <c r="K3354">
        <v>-25942</v>
      </c>
    </row>
    <row r="3355" spans="5:11" x14ac:dyDescent="0.25">
      <c r="E3355" t="s">
        <v>6579</v>
      </c>
      <c r="F3355">
        <v>1619312</v>
      </c>
      <c r="G3355" s="1">
        <v>45382</v>
      </c>
      <c r="H3355" t="s">
        <v>6580</v>
      </c>
      <c r="I3355" t="s">
        <v>46</v>
      </c>
      <c r="J3355" s="1">
        <v>45292</v>
      </c>
      <c r="K3355">
        <v>-3827203</v>
      </c>
    </row>
    <row r="3356" spans="5:11" x14ac:dyDescent="0.25">
      <c r="E3356" t="s">
        <v>6581</v>
      </c>
      <c r="F3356">
        <v>1619856</v>
      </c>
      <c r="G3356" s="1">
        <v>45382</v>
      </c>
      <c r="H3356" t="s">
        <v>6582</v>
      </c>
      <c r="I3356" t="s">
        <v>36</v>
      </c>
      <c r="J3356" s="1">
        <v>45292</v>
      </c>
      <c r="K3356">
        <v>-41234000</v>
      </c>
    </row>
    <row r="3357" spans="5:11" x14ac:dyDescent="0.25">
      <c r="E3357" t="s">
        <v>6583</v>
      </c>
      <c r="F3357">
        <v>1620179</v>
      </c>
      <c r="G3357" s="1">
        <v>45382</v>
      </c>
      <c r="H3357" t="s">
        <v>6584</v>
      </c>
      <c r="I3357" t="s">
        <v>30</v>
      </c>
      <c r="J3357" s="1">
        <v>45292</v>
      </c>
      <c r="K3357">
        <v>-24879000</v>
      </c>
    </row>
    <row r="3358" spans="5:11" x14ac:dyDescent="0.25">
      <c r="E3358" t="s">
        <v>6585</v>
      </c>
      <c r="F3358">
        <v>1620280</v>
      </c>
      <c r="G3358" s="1">
        <v>45382</v>
      </c>
      <c r="H3358" t="s">
        <v>6586</v>
      </c>
      <c r="I3358" t="s">
        <v>251</v>
      </c>
      <c r="J3358" s="1">
        <v>45292</v>
      </c>
      <c r="K3358">
        <v>41329000</v>
      </c>
    </row>
    <row r="3359" spans="5:11" x14ac:dyDescent="0.25">
      <c r="E3359" t="s">
        <v>6587</v>
      </c>
      <c r="F3359">
        <v>1620393</v>
      </c>
      <c r="G3359" s="1">
        <v>45382</v>
      </c>
      <c r="H3359" t="s">
        <v>6588</v>
      </c>
      <c r="I3359" t="s">
        <v>30</v>
      </c>
      <c r="J3359" s="1">
        <v>45292</v>
      </c>
      <c r="K3359">
        <v>26298000</v>
      </c>
    </row>
    <row r="3360" spans="5:11" x14ac:dyDescent="0.25">
      <c r="E3360" t="s">
        <v>6589</v>
      </c>
      <c r="F3360">
        <v>1620459</v>
      </c>
      <c r="G3360" s="1">
        <v>45382</v>
      </c>
      <c r="H3360" t="s">
        <v>6590</v>
      </c>
      <c r="I3360" t="s">
        <v>919</v>
      </c>
      <c r="J3360" s="1">
        <v>45292</v>
      </c>
      <c r="K3360">
        <v>15403000</v>
      </c>
    </row>
    <row r="3361" spans="5:11" x14ac:dyDescent="0.25">
      <c r="E3361" t="s">
        <v>6591</v>
      </c>
      <c r="F3361">
        <v>1620463</v>
      </c>
      <c r="G3361" s="1">
        <v>45382</v>
      </c>
      <c r="H3361" t="s">
        <v>6592</v>
      </c>
      <c r="I3361" t="s">
        <v>504</v>
      </c>
      <c r="J3361" s="1">
        <v>45292</v>
      </c>
      <c r="K3361">
        <v>-26337000</v>
      </c>
    </row>
    <row r="3362" spans="5:11" x14ac:dyDescent="0.25">
      <c r="E3362" t="s">
        <v>6593</v>
      </c>
      <c r="F3362">
        <v>1620533</v>
      </c>
      <c r="G3362" s="1">
        <v>45378</v>
      </c>
      <c r="H3362" t="s">
        <v>6594</v>
      </c>
      <c r="I3362" t="s">
        <v>57</v>
      </c>
      <c r="J3362" s="1">
        <v>45288</v>
      </c>
      <c r="K3362">
        <v>2040000</v>
      </c>
    </row>
    <row r="3363" spans="5:11" x14ac:dyDescent="0.25">
      <c r="E3363" t="s">
        <v>6595</v>
      </c>
      <c r="F3363">
        <v>1620749</v>
      </c>
      <c r="G3363" s="1">
        <v>45412</v>
      </c>
      <c r="H3363" t="s">
        <v>6596</v>
      </c>
      <c r="I3363" t="s">
        <v>30</v>
      </c>
      <c r="J3363" s="1">
        <v>45323</v>
      </c>
      <c r="K3363">
        <v>-7509093</v>
      </c>
    </row>
    <row r="3364" spans="5:11" x14ac:dyDescent="0.25">
      <c r="E3364" t="s">
        <v>6597</v>
      </c>
      <c r="F3364">
        <v>1621221</v>
      </c>
      <c r="G3364" s="1">
        <v>45382</v>
      </c>
      <c r="H3364" t="s">
        <v>6598</v>
      </c>
      <c r="I3364" t="s">
        <v>36</v>
      </c>
      <c r="J3364" s="1">
        <v>45292</v>
      </c>
      <c r="K3364">
        <v>-2483000</v>
      </c>
    </row>
    <row r="3365" spans="5:11" x14ac:dyDescent="0.25">
      <c r="E3365" t="s">
        <v>6599</v>
      </c>
      <c r="F3365">
        <v>1621227</v>
      </c>
      <c r="G3365" s="1">
        <v>45382</v>
      </c>
      <c r="H3365" t="s">
        <v>6600</v>
      </c>
      <c r="I3365" t="s">
        <v>594</v>
      </c>
      <c r="J3365" s="1">
        <v>45292</v>
      </c>
      <c r="K3365">
        <v>-48503000</v>
      </c>
    </row>
    <row r="3366" spans="5:11" x14ac:dyDescent="0.25">
      <c r="E3366" t="s">
        <v>6601</v>
      </c>
      <c r="F3366">
        <v>1621563</v>
      </c>
      <c r="G3366" s="1">
        <v>45381</v>
      </c>
      <c r="H3366" t="s">
        <v>6602</v>
      </c>
      <c r="I3366" t="s">
        <v>92</v>
      </c>
      <c r="J3366" s="1">
        <v>45291</v>
      </c>
      <c r="K3366">
        <v>-66866000</v>
      </c>
    </row>
    <row r="3367" spans="5:11" x14ac:dyDescent="0.25">
      <c r="E3367" t="s">
        <v>6603</v>
      </c>
      <c r="F3367">
        <v>1621672</v>
      </c>
      <c r="G3367" s="1">
        <v>45382</v>
      </c>
      <c r="H3367" t="s">
        <v>6604</v>
      </c>
      <c r="I3367" t="s">
        <v>36</v>
      </c>
      <c r="J3367" s="1">
        <v>45292</v>
      </c>
      <c r="K3367">
        <v>-5260000</v>
      </c>
    </row>
    <row r="3368" spans="5:11" x14ac:dyDescent="0.25">
      <c r="E3368" t="s">
        <v>6605</v>
      </c>
      <c r="F3368">
        <v>1621832</v>
      </c>
      <c r="G3368" s="1">
        <v>45382</v>
      </c>
      <c r="H3368" t="s">
        <v>6606</v>
      </c>
      <c r="I3368" t="s">
        <v>142</v>
      </c>
      <c r="J3368" s="1">
        <v>45292</v>
      </c>
      <c r="K3368">
        <v>-5752000</v>
      </c>
    </row>
    <row r="3369" spans="5:11" x14ac:dyDescent="0.25">
      <c r="E3369" t="s">
        <v>6607</v>
      </c>
      <c r="F3369">
        <v>1621906</v>
      </c>
      <c r="G3369" s="1">
        <v>45382</v>
      </c>
      <c r="H3369" t="s">
        <v>6608</v>
      </c>
      <c r="I3369" t="s">
        <v>1716</v>
      </c>
      <c r="J3369" s="1">
        <v>45292</v>
      </c>
      <c r="K3369">
        <v>-2476888</v>
      </c>
    </row>
    <row r="3370" spans="5:11" x14ac:dyDescent="0.25">
      <c r="E3370" t="s">
        <v>6609</v>
      </c>
      <c r="F3370">
        <v>1622194</v>
      </c>
      <c r="G3370" s="1">
        <v>45382</v>
      </c>
      <c r="H3370" t="s">
        <v>6610</v>
      </c>
      <c r="I3370" t="s">
        <v>504</v>
      </c>
      <c r="J3370" s="1">
        <v>45292</v>
      </c>
      <c r="K3370">
        <v>4626000</v>
      </c>
    </row>
    <row r="3371" spans="5:11" x14ac:dyDescent="0.25">
      <c r="E3371" t="s">
        <v>6611</v>
      </c>
      <c r="F3371">
        <v>1622229</v>
      </c>
      <c r="G3371" s="1">
        <v>45382</v>
      </c>
      <c r="H3371" t="s">
        <v>6612</v>
      </c>
      <c r="I3371" t="s">
        <v>24</v>
      </c>
      <c r="J3371" s="1">
        <v>45292</v>
      </c>
      <c r="K3371">
        <v>-58348000</v>
      </c>
    </row>
    <row r="3372" spans="5:11" x14ac:dyDescent="0.25">
      <c r="E3372" t="s">
        <v>6613</v>
      </c>
      <c r="F3372">
        <v>1622244</v>
      </c>
      <c r="G3372" s="1">
        <v>45382</v>
      </c>
      <c r="H3372" t="s">
        <v>6614</v>
      </c>
      <c r="I3372" t="s">
        <v>142</v>
      </c>
      <c r="J3372" s="1">
        <v>45292</v>
      </c>
      <c r="K3372">
        <v>-1701022</v>
      </c>
    </row>
    <row r="3373" spans="5:11" x14ac:dyDescent="0.25">
      <c r="E3373" t="s">
        <v>6615</v>
      </c>
      <c r="F3373">
        <v>1622345</v>
      </c>
      <c r="G3373" s="1">
        <v>45382</v>
      </c>
      <c r="H3373" t="s">
        <v>6616</v>
      </c>
      <c r="I3373" t="s">
        <v>36</v>
      </c>
      <c r="J3373" s="1">
        <v>45292</v>
      </c>
      <c r="K3373">
        <v>-2142000</v>
      </c>
    </row>
    <row r="3374" spans="5:11" x14ac:dyDescent="0.25">
      <c r="E3374" t="s">
        <v>6617</v>
      </c>
      <c r="F3374">
        <v>1623526</v>
      </c>
      <c r="G3374" s="1">
        <v>45382</v>
      </c>
      <c r="H3374" t="s">
        <v>6618</v>
      </c>
      <c r="I3374" t="s">
        <v>24</v>
      </c>
      <c r="J3374" s="1">
        <v>45292</v>
      </c>
      <c r="K3374">
        <v>-26374000</v>
      </c>
    </row>
    <row r="3375" spans="5:11" x14ac:dyDescent="0.25">
      <c r="E3375" t="s">
        <v>6619</v>
      </c>
      <c r="F3375">
        <v>1624140</v>
      </c>
      <c r="G3375" s="1">
        <v>45382</v>
      </c>
      <c r="H3375" t="s">
        <v>6620</v>
      </c>
      <c r="I3375" t="s">
        <v>57</v>
      </c>
      <c r="J3375" s="1">
        <v>45292</v>
      </c>
      <c r="K3375">
        <v>-7743</v>
      </c>
    </row>
    <row r="3376" spans="5:11" x14ac:dyDescent="0.25">
      <c r="E3376" t="s">
        <v>6621</v>
      </c>
      <c r="F3376">
        <v>1624322</v>
      </c>
      <c r="G3376" s="1">
        <v>45382</v>
      </c>
      <c r="H3376" t="s">
        <v>6622</v>
      </c>
      <c r="I3376" t="s">
        <v>179</v>
      </c>
      <c r="J3376" s="1">
        <v>45292</v>
      </c>
      <c r="K3376">
        <v>13570000</v>
      </c>
    </row>
    <row r="3377" spans="5:11" x14ac:dyDescent="0.25">
      <c r="E3377" t="s">
        <v>6623</v>
      </c>
      <c r="F3377">
        <v>1624326</v>
      </c>
      <c r="G3377" s="1">
        <v>45382</v>
      </c>
      <c r="H3377" t="s">
        <v>6624</v>
      </c>
      <c r="I3377" t="s">
        <v>57</v>
      </c>
      <c r="J3377" s="1">
        <v>45292</v>
      </c>
      <c r="K3377">
        <v>-15212000</v>
      </c>
    </row>
    <row r="3378" spans="5:11" x14ac:dyDescent="0.25">
      <c r="E3378" t="s">
        <v>6625</v>
      </c>
      <c r="F3378">
        <v>1624512</v>
      </c>
      <c r="G3378" s="1">
        <v>45382</v>
      </c>
      <c r="H3378" t="s">
        <v>6626</v>
      </c>
      <c r="I3378" t="s">
        <v>64</v>
      </c>
      <c r="J3378" s="1">
        <v>45292</v>
      </c>
      <c r="K3378">
        <v>-7089000</v>
      </c>
    </row>
    <row r="3379" spans="5:11" x14ac:dyDescent="0.25">
      <c r="E3379" t="s">
        <v>6627</v>
      </c>
      <c r="F3379">
        <v>1625101</v>
      </c>
      <c r="G3379" s="1">
        <v>45382</v>
      </c>
      <c r="H3379" t="s">
        <v>6628</v>
      </c>
      <c r="I3379" t="s">
        <v>36</v>
      </c>
      <c r="J3379" s="1">
        <v>45292</v>
      </c>
      <c r="K3379">
        <v>-10137000</v>
      </c>
    </row>
    <row r="3380" spans="5:11" x14ac:dyDescent="0.25">
      <c r="E3380" t="s">
        <v>10517</v>
      </c>
      <c r="F3380">
        <v>1625278</v>
      </c>
      <c r="G3380" s="1">
        <v>45382</v>
      </c>
      <c r="H3380" t="s">
        <v>6629</v>
      </c>
      <c r="I3380" t="s">
        <v>36</v>
      </c>
      <c r="J3380" s="1">
        <v>45292</v>
      </c>
      <c r="K3380">
        <v>1100000</v>
      </c>
    </row>
    <row r="3381" spans="5:11" x14ac:dyDescent="0.25">
      <c r="E3381" t="s">
        <v>6630</v>
      </c>
      <c r="F3381">
        <v>1625288</v>
      </c>
      <c r="G3381" s="1">
        <v>45382</v>
      </c>
      <c r="H3381" t="s">
        <v>6631</v>
      </c>
      <c r="I3381" t="s">
        <v>92</v>
      </c>
      <c r="J3381" s="1">
        <v>45292</v>
      </c>
      <c r="K3381">
        <v>-53163</v>
      </c>
    </row>
    <row r="3382" spans="5:11" x14ac:dyDescent="0.25">
      <c r="E3382" t="s">
        <v>6632</v>
      </c>
      <c r="F3382">
        <v>1625641</v>
      </c>
      <c r="G3382" s="1">
        <v>45382</v>
      </c>
      <c r="H3382" t="s">
        <v>6633</v>
      </c>
      <c r="I3382" t="s">
        <v>30</v>
      </c>
      <c r="J3382" s="1">
        <v>45292</v>
      </c>
      <c r="K3382">
        <v>-10582000</v>
      </c>
    </row>
    <row r="3383" spans="5:11" x14ac:dyDescent="0.25">
      <c r="E3383" t="s">
        <v>6634</v>
      </c>
      <c r="F3383">
        <v>1625941</v>
      </c>
      <c r="G3383" s="1">
        <v>45382</v>
      </c>
      <c r="H3383" t="s">
        <v>6635</v>
      </c>
      <c r="I3383" t="s">
        <v>92</v>
      </c>
      <c r="J3383" s="1">
        <v>45292</v>
      </c>
      <c r="K3383">
        <v>-9678000</v>
      </c>
    </row>
    <row r="3384" spans="5:11" x14ac:dyDescent="0.25">
      <c r="E3384" t="s">
        <v>6636</v>
      </c>
      <c r="F3384">
        <v>1626115</v>
      </c>
      <c r="G3384" s="1">
        <v>45382</v>
      </c>
      <c r="H3384" t="s">
        <v>6637</v>
      </c>
      <c r="I3384" t="s">
        <v>57</v>
      </c>
      <c r="J3384" s="1">
        <v>45292</v>
      </c>
      <c r="K3384">
        <v>32623000</v>
      </c>
    </row>
    <row r="3385" spans="5:11" x14ac:dyDescent="0.25">
      <c r="E3385" t="s">
        <v>6638</v>
      </c>
      <c r="F3385">
        <v>1626199</v>
      </c>
      <c r="G3385" s="1">
        <v>45382</v>
      </c>
      <c r="H3385" t="s">
        <v>6639</v>
      </c>
      <c r="I3385" t="s">
        <v>504</v>
      </c>
      <c r="J3385" s="1">
        <v>45292</v>
      </c>
      <c r="K3385">
        <v>-17918000</v>
      </c>
    </row>
    <row r="3386" spans="5:11" x14ac:dyDescent="0.25">
      <c r="E3386" t="s">
        <v>6640</v>
      </c>
      <c r="F3386">
        <v>1626450</v>
      </c>
      <c r="G3386" s="1">
        <v>45382</v>
      </c>
      <c r="H3386" t="s">
        <v>6641</v>
      </c>
      <c r="I3386" t="s">
        <v>30</v>
      </c>
      <c r="J3386" s="1">
        <v>45292</v>
      </c>
      <c r="K3386">
        <v>-6392000</v>
      </c>
    </row>
    <row r="3387" spans="5:11" x14ac:dyDescent="0.25">
      <c r="E3387" t="s">
        <v>6642</v>
      </c>
      <c r="F3387">
        <v>1626644</v>
      </c>
      <c r="G3387" s="1">
        <v>45412</v>
      </c>
      <c r="H3387" t="s">
        <v>6643</v>
      </c>
      <c r="I3387" t="s">
        <v>142</v>
      </c>
      <c r="J3387" s="1">
        <v>45323</v>
      </c>
      <c r="K3387">
        <v>-842341</v>
      </c>
    </row>
    <row r="3388" spans="5:11" x14ac:dyDescent="0.25">
      <c r="E3388" t="s">
        <v>6644</v>
      </c>
      <c r="F3388">
        <v>1626745</v>
      </c>
      <c r="G3388" s="1">
        <v>45382</v>
      </c>
      <c r="H3388" t="s">
        <v>6645</v>
      </c>
      <c r="I3388" t="s">
        <v>1164</v>
      </c>
      <c r="J3388" s="1">
        <v>45292</v>
      </c>
      <c r="K3388">
        <v>-999531</v>
      </c>
    </row>
    <row r="3389" spans="5:11" x14ac:dyDescent="0.25">
      <c r="E3389" t="s">
        <v>6646</v>
      </c>
      <c r="F3389">
        <v>1626878</v>
      </c>
      <c r="G3389" s="1">
        <v>45382</v>
      </c>
      <c r="H3389" t="s">
        <v>6647</v>
      </c>
      <c r="I3389" t="s">
        <v>30</v>
      </c>
      <c r="J3389" s="1">
        <v>45292</v>
      </c>
      <c r="K3389">
        <v>-10002000</v>
      </c>
    </row>
    <row r="3390" spans="5:11" x14ac:dyDescent="0.25">
      <c r="E3390" t="s">
        <v>6648</v>
      </c>
      <c r="F3390">
        <v>1626971</v>
      </c>
      <c r="G3390" s="1">
        <v>45382</v>
      </c>
      <c r="H3390" t="s">
        <v>6649</v>
      </c>
      <c r="I3390" t="s">
        <v>36</v>
      </c>
      <c r="J3390" s="1">
        <v>45292</v>
      </c>
      <c r="K3390">
        <v>-5701000</v>
      </c>
    </row>
    <row r="3391" spans="5:11" x14ac:dyDescent="0.25">
      <c r="E3391" t="s">
        <v>6650</v>
      </c>
      <c r="F3391">
        <v>1627223</v>
      </c>
      <c r="G3391" s="1">
        <v>45382</v>
      </c>
      <c r="H3391" t="s">
        <v>6651</v>
      </c>
      <c r="I3391" t="s">
        <v>186</v>
      </c>
      <c r="J3391" s="1">
        <v>45292</v>
      </c>
      <c r="K3391">
        <v>52000000</v>
      </c>
    </row>
    <row r="3392" spans="5:11" x14ac:dyDescent="0.25">
      <c r="E3392" t="s">
        <v>6652</v>
      </c>
      <c r="F3392">
        <v>1627282</v>
      </c>
      <c r="G3392" s="1">
        <v>45382</v>
      </c>
      <c r="H3392" t="s">
        <v>6653</v>
      </c>
      <c r="I3392" t="s">
        <v>113</v>
      </c>
      <c r="J3392" s="1">
        <v>45292</v>
      </c>
      <c r="K3392">
        <v>-3805000</v>
      </c>
    </row>
    <row r="3393" spans="5:11" x14ac:dyDescent="0.25">
      <c r="E3393" t="s">
        <v>6654</v>
      </c>
      <c r="F3393">
        <v>1627469</v>
      </c>
      <c r="G3393" s="1">
        <v>45351</v>
      </c>
      <c r="H3393" t="s">
        <v>6655</v>
      </c>
      <c r="I3393" t="s">
        <v>3015</v>
      </c>
      <c r="J3393" s="1">
        <v>45261</v>
      </c>
      <c r="K3393">
        <v>-146345</v>
      </c>
    </row>
    <row r="3394" spans="5:11" x14ac:dyDescent="0.25">
      <c r="E3394" t="s">
        <v>6656</v>
      </c>
      <c r="F3394">
        <v>1627475</v>
      </c>
      <c r="G3394" s="1">
        <v>45382</v>
      </c>
      <c r="H3394" t="s">
        <v>6657</v>
      </c>
      <c r="I3394" t="s">
        <v>36</v>
      </c>
      <c r="J3394" s="1">
        <v>45292</v>
      </c>
      <c r="K3394">
        <v>18442000</v>
      </c>
    </row>
    <row r="3395" spans="5:11" x14ac:dyDescent="0.25">
      <c r="E3395" t="s">
        <v>6658</v>
      </c>
      <c r="F3395">
        <v>1628171</v>
      </c>
      <c r="G3395" s="1">
        <v>45382</v>
      </c>
      <c r="H3395" t="s">
        <v>6659</v>
      </c>
      <c r="I3395" t="s">
        <v>36</v>
      </c>
      <c r="J3395" s="1">
        <v>45292</v>
      </c>
      <c r="K3395">
        <v>-116003000</v>
      </c>
    </row>
    <row r="3396" spans="5:11" x14ac:dyDescent="0.25">
      <c r="E3396" t="s">
        <v>6660</v>
      </c>
      <c r="F3396">
        <v>1628369</v>
      </c>
      <c r="G3396" s="1">
        <v>45382</v>
      </c>
      <c r="H3396" t="s">
        <v>6661</v>
      </c>
      <c r="I3396" t="s">
        <v>594</v>
      </c>
      <c r="J3396" s="1">
        <v>45292</v>
      </c>
      <c r="K3396">
        <v>-28800000</v>
      </c>
    </row>
    <row r="3397" spans="5:11" x14ac:dyDescent="0.25">
      <c r="E3397" t="s">
        <v>6662</v>
      </c>
      <c r="F3397">
        <v>1628908</v>
      </c>
      <c r="G3397" s="1">
        <v>45382</v>
      </c>
      <c r="H3397" t="s">
        <v>6663</v>
      </c>
      <c r="I3397" t="s">
        <v>123</v>
      </c>
      <c r="J3397" s="1">
        <v>45292</v>
      </c>
      <c r="K3397">
        <v>-17280000</v>
      </c>
    </row>
    <row r="3398" spans="5:11" x14ac:dyDescent="0.25">
      <c r="E3398" t="s">
        <v>6664</v>
      </c>
      <c r="F3398">
        <v>1629019</v>
      </c>
      <c r="G3398" s="1">
        <v>45382</v>
      </c>
      <c r="H3398" t="s">
        <v>6665</v>
      </c>
      <c r="I3398" t="s">
        <v>288</v>
      </c>
      <c r="J3398" s="1">
        <v>45292</v>
      </c>
      <c r="K3398">
        <v>87054000</v>
      </c>
    </row>
    <row r="3399" spans="5:11" x14ac:dyDescent="0.25">
      <c r="E3399" t="s">
        <v>6666</v>
      </c>
      <c r="F3399">
        <v>1629210</v>
      </c>
      <c r="G3399" s="1">
        <v>45382</v>
      </c>
      <c r="H3399" t="s">
        <v>6667</v>
      </c>
      <c r="I3399" t="s">
        <v>142</v>
      </c>
      <c r="J3399" s="1">
        <v>45292</v>
      </c>
      <c r="K3399">
        <v>-1814045</v>
      </c>
    </row>
    <row r="3400" spans="5:11" x14ac:dyDescent="0.25">
      <c r="E3400" t="s">
        <v>6668</v>
      </c>
      <c r="F3400">
        <v>1630176</v>
      </c>
      <c r="G3400" s="1">
        <v>45382</v>
      </c>
      <c r="H3400" t="s">
        <v>6669</v>
      </c>
      <c r="I3400" t="s">
        <v>142</v>
      </c>
      <c r="J3400" s="1">
        <v>45292</v>
      </c>
      <c r="K3400">
        <v>-861259</v>
      </c>
    </row>
    <row r="3401" spans="5:11" x14ac:dyDescent="0.25">
      <c r="E3401" t="s">
        <v>6670</v>
      </c>
      <c r="F3401">
        <v>1630212</v>
      </c>
      <c r="G3401" s="1">
        <v>45382</v>
      </c>
      <c r="H3401" t="s">
        <v>6671</v>
      </c>
      <c r="I3401" t="s">
        <v>46</v>
      </c>
      <c r="J3401" s="1">
        <v>45292</v>
      </c>
      <c r="K3401">
        <v>-1367513</v>
      </c>
    </row>
    <row r="3402" spans="5:11" x14ac:dyDescent="0.25">
      <c r="E3402" t="s">
        <v>10518</v>
      </c>
      <c r="F3402">
        <v>1630472</v>
      </c>
      <c r="G3402" s="1">
        <v>45382</v>
      </c>
      <c r="H3402" t="s">
        <v>6672</v>
      </c>
      <c r="I3402" t="s">
        <v>57</v>
      </c>
      <c r="J3402" s="1">
        <v>45292</v>
      </c>
      <c r="K3402">
        <v>16744000</v>
      </c>
    </row>
    <row r="3403" spans="5:11" x14ac:dyDescent="0.25">
      <c r="E3403" t="s">
        <v>6673</v>
      </c>
      <c r="F3403">
        <v>1630627</v>
      </c>
      <c r="G3403" s="1">
        <v>45382</v>
      </c>
      <c r="H3403" t="s">
        <v>6674</v>
      </c>
      <c r="I3403" t="s">
        <v>33</v>
      </c>
      <c r="J3403" s="1">
        <v>45292</v>
      </c>
      <c r="K3403">
        <v>-18676000</v>
      </c>
    </row>
    <row r="3404" spans="5:11" x14ac:dyDescent="0.25">
      <c r="E3404" t="s">
        <v>6675</v>
      </c>
      <c r="F3404">
        <v>1630805</v>
      </c>
      <c r="G3404" s="1">
        <v>45382</v>
      </c>
      <c r="H3404" t="s">
        <v>6676</v>
      </c>
      <c r="I3404" t="s">
        <v>60</v>
      </c>
      <c r="J3404" s="1">
        <v>45292</v>
      </c>
      <c r="K3404">
        <v>-16833000</v>
      </c>
    </row>
    <row r="3405" spans="5:11" x14ac:dyDescent="0.25">
      <c r="E3405" t="s">
        <v>6677</v>
      </c>
      <c r="F3405">
        <v>1631569</v>
      </c>
      <c r="G3405" s="1">
        <v>45382</v>
      </c>
      <c r="H3405" t="s">
        <v>6678</v>
      </c>
      <c r="I3405" t="s">
        <v>69</v>
      </c>
      <c r="J3405" s="1">
        <v>45292</v>
      </c>
      <c r="K3405">
        <v>3665000</v>
      </c>
    </row>
    <row r="3406" spans="5:11" x14ac:dyDescent="0.25">
      <c r="E3406" t="s">
        <v>6679</v>
      </c>
      <c r="F3406">
        <v>1631574</v>
      </c>
      <c r="G3406" s="1">
        <v>45382</v>
      </c>
      <c r="H3406" t="s">
        <v>6680</v>
      </c>
      <c r="I3406" t="s">
        <v>1245</v>
      </c>
      <c r="J3406" s="1">
        <v>45292</v>
      </c>
      <c r="K3406">
        <v>-31558000</v>
      </c>
    </row>
    <row r="3407" spans="5:11" x14ac:dyDescent="0.25">
      <c r="E3407" t="s">
        <v>6681</v>
      </c>
      <c r="F3407">
        <v>1631596</v>
      </c>
      <c r="G3407" s="1">
        <v>45382</v>
      </c>
      <c r="H3407" t="s">
        <v>6682</v>
      </c>
      <c r="I3407" t="s">
        <v>57</v>
      </c>
      <c r="J3407" s="1">
        <v>45292</v>
      </c>
      <c r="K3407">
        <v>-3108000</v>
      </c>
    </row>
    <row r="3408" spans="5:11" x14ac:dyDescent="0.25">
      <c r="E3408" t="s">
        <v>6683</v>
      </c>
      <c r="F3408">
        <v>1632121</v>
      </c>
      <c r="G3408" s="1">
        <v>45382</v>
      </c>
      <c r="H3408" t="s">
        <v>6684</v>
      </c>
      <c r="I3408" t="s">
        <v>33</v>
      </c>
      <c r="J3408" s="1">
        <v>45292</v>
      </c>
      <c r="K3408">
        <v>-116943</v>
      </c>
    </row>
    <row r="3409" spans="5:11" x14ac:dyDescent="0.25">
      <c r="E3409" t="s">
        <v>6685</v>
      </c>
      <c r="F3409">
        <v>1632127</v>
      </c>
      <c r="G3409" s="1">
        <v>45382</v>
      </c>
      <c r="H3409" t="s">
        <v>6686</v>
      </c>
      <c r="I3409" t="s">
        <v>113</v>
      </c>
      <c r="J3409" s="1">
        <v>45292</v>
      </c>
      <c r="K3409">
        <v>37350000</v>
      </c>
    </row>
    <row r="3410" spans="5:11" x14ac:dyDescent="0.25">
      <c r="E3410" t="s">
        <v>6687</v>
      </c>
      <c r="F3410">
        <v>1632790</v>
      </c>
      <c r="G3410" s="1">
        <v>45382</v>
      </c>
      <c r="H3410" t="s">
        <v>6688</v>
      </c>
      <c r="I3410" t="s">
        <v>137</v>
      </c>
      <c r="J3410" s="1">
        <v>45292</v>
      </c>
      <c r="K3410">
        <v>32400000</v>
      </c>
    </row>
    <row r="3411" spans="5:11" x14ac:dyDescent="0.25">
      <c r="E3411" t="s">
        <v>6689</v>
      </c>
      <c r="F3411">
        <v>1632970</v>
      </c>
      <c r="G3411" s="1">
        <v>45382</v>
      </c>
      <c r="H3411" t="s">
        <v>6690</v>
      </c>
      <c r="I3411" t="s">
        <v>36</v>
      </c>
      <c r="J3411" s="1">
        <v>45292</v>
      </c>
      <c r="K3411">
        <v>-3892000</v>
      </c>
    </row>
    <row r="3412" spans="5:11" x14ac:dyDescent="0.25">
      <c r="E3412" t="s">
        <v>6691</v>
      </c>
      <c r="F3412">
        <v>1633336</v>
      </c>
      <c r="G3412" s="1">
        <v>45382</v>
      </c>
      <c r="H3412" t="s">
        <v>6692</v>
      </c>
      <c r="I3412" t="s">
        <v>36</v>
      </c>
      <c r="J3412" s="1">
        <v>45292</v>
      </c>
      <c r="K3412">
        <v>28005000</v>
      </c>
    </row>
    <row r="3413" spans="5:11" x14ac:dyDescent="0.25">
      <c r="E3413" t="s">
        <v>6693</v>
      </c>
      <c r="F3413">
        <v>1633858</v>
      </c>
      <c r="G3413" s="1">
        <v>45382</v>
      </c>
      <c r="H3413" t="s">
        <v>6694</v>
      </c>
      <c r="I3413" t="s">
        <v>24</v>
      </c>
      <c r="J3413" s="1">
        <v>45292</v>
      </c>
      <c r="K3413">
        <v>8166034</v>
      </c>
    </row>
    <row r="3414" spans="5:11" x14ac:dyDescent="0.25">
      <c r="E3414" t="s">
        <v>10519</v>
      </c>
      <c r="F3414">
        <v>1633917</v>
      </c>
      <c r="G3414" s="1">
        <v>45382</v>
      </c>
      <c r="H3414" t="s">
        <v>6695</v>
      </c>
      <c r="I3414" t="s">
        <v>36</v>
      </c>
      <c r="J3414" s="1">
        <v>45292</v>
      </c>
      <c r="K3414">
        <v>888000000</v>
      </c>
    </row>
    <row r="3415" spans="5:11" x14ac:dyDescent="0.25">
      <c r="E3415" t="s">
        <v>6696</v>
      </c>
      <c r="F3415">
        <v>1633931</v>
      </c>
      <c r="G3415" s="1">
        <v>45382</v>
      </c>
      <c r="H3415" t="s">
        <v>6697</v>
      </c>
      <c r="I3415" t="s">
        <v>33</v>
      </c>
      <c r="J3415" s="1">
        <v>45292</v>
      </c>
      <c r="K3415">
        <v>152381000</v>
      </c>
    </row>
    <row r="3416" spans="5:11" x14ac:dyDescent="0.25">
      <c r="E3416" t="s">
        <v>6698</v>
      </c>
      <c r="F3416">
        <v>1633932</v>
      </c>
      <c r="G3416" s="1">
        <v>45382</v>
      </c>
      <c r="H3416" t="s">
        <v>6699</v>
      </c>
      <c r="I3416" t="s">
        <v>2552</v>
      </c>
      <c r="J3416" s="1">
        <v>45292</v>
      </c>
      <c r="K3416">
        <v>-8989535</v>
      </c>
    </row>
    <row r="3417" spans="5:11" x14ac:dyDescent="0.25">
      <c r="E3417" t="s">
        <v>6700</v>
      </c>
      <c r="F3417">
        <v>1633978</v>
      </c>
      <c r="G3417" s="1">
        <v>45381</v>
      </c>
      <c r="H3417" t="s">
        <v>6701</v>
      </c>
      <c r="I3417" t="s">
        <v>36</v>
      </c>
      <c r="J3417" s="1">
        <v>45291</v>
      </c>
      <c r="K3417">
        <v>-127000000</v>
      </c>
    </row>
    <row r="3418" spans="5:11" x14ac:dyDescent="0.25">
      <c r="E3418" t="s">
        <v>6702</v>
      </c>
      <c r="F3418">
        <v>1634117</v>
      </c>
      <c r="G3418" s="1">
        <v>45409</v>
      </c>
      <c r="H3418" t="s">
        <v>6703</v>
      </c>
      <c r="I3418" t="s">
        <v>46</v>
      </c>
      <c r="J3418" s="1">
        <v>45319</v>
      </c>
      <c r="K3418">
        <v>-27364000</v>
      </c>
    </row>
    <row r="3419" spans="5:11" x14ac:dyDescent="0.25">
      <c r="E3419" t="s">
        <v>6704</v>
      </c>
      <c r="F3419">
        <v>1634293</v>
      </c>
      <c r="G3419" s="1">
        <v>45382</v>
      </c>
      <c r="H3419" t="s">
        <v>6705</v>
      </c>
      <c r="I3419" t="s">
        <v>3015</v>
      </c>
      <c r="J3419" s="1">
        <v>45292</v>
      </c>
      <c r="K3419">
        <v>-163242</v>
      </c>
    </row>
    <row r="3420" spans="5:11" x14ac:dyDescent="0.25">
      <c r="E3420" t="s">
        <v>6706</v>
      </c>
      <c r="F3420">
        <v>1634452</v>
      </c>
      <c r="G3420" s="1">
        <v>45382</v>
      </c>
      <c r="H3420" t="s">
        <v>6707</v>
      </c>
      <c r="I3420" t="s">
        <v>30</v>
      </c>
      <c r="J3420" s="1">
        <v>45292</v>
      </c>
      <c r="K3420">
        <v>12967026</v>
      </c>
    </row>
    <row r="3421" spans="5:11" x14ac:dyDescent="0.25">
      <c r="E3421" t="s">
        <v>6708</v>
      </c>
      <c r="F3421">
        <v>1634997</v>
      </c>
      <c r="G3421" s="1">
        <v>45382</v>
      </c>
      <c r="H3421" t="s">
        <v>6709</v>
      </c>
      <c r="I3421" t="s">
        <v>27</v>
      </c>
      <c r="J3421" s="1">
        <v>45292</v>
      </c>
      <c r="K3421">
        <v>351000000</v>
      </c>
    </row>
    <row r="3422" spans="5:11" x14ac:dyDescent="0.25">
      <c r="E3422" t="s">
        <v>6710</v>
      </c>
      <c r="F3422">
        <v>1635077</v>
      </c>
      <c r="G3422" s="1">
        <v>45382</v>
      </c>
      <c r="H3422" t="s">
        <v>6711</v>
      </c>
      <c r="I3422" t="s">
        <v>92</v>
      </c>
      <c r="J3422" s="1">
        <v>45292</v>
      </c>
      <c r="K3422">
        <v>-2399102</v>
      </c>
    </row>
    <row r="3423" spans="5:11" x14ac:dyDescent="0.25">
      <c r="E3423" t="s">
        <v>6712</v>
      </c>
      <c r="F3423">
        <v>1635282</v>
      </c>
      <c r="G3423" s="1">
        <v>45382</v>
      </c>
      <c r="H3423" t="s">
        <v>6713</v>
      </c>
      <c r="I3423" t="s">
        <v>142</v>
      </c>
      <c r="J3423" s="1">
        <v>45292</v>
      </c>
      <c r="K3423">
        <v>1317000</v>
      </c>
    </row>
    <row r="3424" spans="5:11" x14ac:dyDescent="0.25">
      <c r="E3424" t="s">
        <v>6714</v>
      </c>
      <c r="F3424">
        <v>1635327</v>
      </c>
      <c r="G3424" s="1">
        <v>45382</v>
      </c>
      <c r="H3424" t="s">
        <v>6715</v>
      </c>
      <c r="I3424" t="s">
        <v>57</v>
      </c>
      <c r="J3424" s="1">
        <v>45292</v>
      </c>
      <c r="K3424">
        <v>-177000000</v>
      </c>
    </row>
    <row r="3425" spans="5:11" x14ac:dyDescent="0.25">
      <c r="E3425" t="s">
        <v>6716</v>
      </c>
      <c r="F3425">
        <v>1635984</v>
      </c>
      <c r="G3425" s="1">
        <v>45382</v>
      </c>
      <c r="H3425" t="s">
        <v>6717</v>
      </c>
      <c r="I3425" t="s">
        <v>30</v>
      </c>
      <c r="J3425" s="1">
        <v>45292</v>
      </c>
      <c r="K3425">
        <v>73608000</v>
      </c>
    </row>
    <row r="3426" spans="5:11" x14ac:dyDescent="0.25">
      <c r="E3426" t="s">
        <v>6718</v>
      </c>
      <c r="F3426">
        <v>1636051</v>
      </c>
      <c r="G3426" s="1">
        <v>45382</v>
      </c>
      <c r="H3426" t="s">
        <v>6719</v>
      </c>
      <c r="I3426" t="s">
        <v>36</v>
      </c>
      <c r="J3426" s="1">
        <v>45292</v>
      </c>
      <c r="K3426">
        <v>-16721</v>
      </c>
    </row>
    <row r="3427" spans="5:11" x14ac:dyDescent="0.25">
      <c r="E3427" t="s">
        <v>10520</v>
      </c>
      <c r="F3427">
        <v>1636222</v>
      </c>
      <c r="G3427" s="1">
        <v>45381</v>
      </c>
      <c r="H3427" t="s">
        <v>6720</v>
      </c>
      <c r="I3427" t="s">
        <v>30</v>
      </c>
      <c r="J3427" s="1">
        <v>45291</v>
      </c>
      <c r="K3427">
        <v>28747000</v>
      </c>
    </row>
    <row r="3428" spans="5:11" x14ac:dyDescent="0.25">
      <c r="E3428" t="s">
        <v>6721</v>
      </c>
      <c r="F3428">
        <v>1636282</v>
      </c>
      <c r="G3428" s="1">
        <v>45382</v>
      </c>
      <c r="H3428" t="s">
        <v>6722</v>
      </c>
      <c r="I3428" t="s">
        <v>24</v>
      </c>
      <c r="J3428" s="1">
        <v>45292</v>
      </c>
      <c r="K3428">
        <v>-43857000</v>
      </c>
    </row>
    <row r="3429" spans="5:11" x14ac:dyDescent="0.25">
      <c r="E3429" t="s">
        <v>6723</v>
      </c>
      <c r="F3429">
        <v>1636422</v>
      </c>
      <c r="G3429" s="1">
        <v>45382</v>
      </c>
      <c r="H3429" t="s">
        <v>6724</v>
      </c>
      <c r="I3429" t="s">
        <v>406</v>
      </c>
      <c r="J3429" s="1">
        <v>45292</v>
      </c>
      <c r="K3429">
        <v>-20587000</v>
      </c>
    </row>
    <row r="3430" spans="5:11" x14ac:dyDescent="0.25">
      <c r="E3430" t="s">
        <v>6725</v>
      </c>
      <c r="F3430">
        <v>1636519</v>
      </c>
      <c r="G3430" s="1">
        <v>45382</v>
      </c>
      <c r="H3430" t="s">
        <v>6726</v>
      </c>
      <c r="I3430" t="s">
        <v>57</v>
      </c>
      <c r="J3430" s="1">
        <v>45292</v>
      </c>
      <c r="K3430">
        <v>37877000</v>
      </c>
    </row>
    <row r="3431" spans="5:11" x14ac:dyDescent="0.25">
      <c r="E3431" t="s">
        <v>6727</v>
      </c>
      <c r="F3431">
        <v>1636651</v>
      </c>
      <c r="G3431" s="1">
        <v>45382</v>
      </c>
      <c r="H3431" t="s">
        <v>6728</v>
      </c>
      <c r="I3431" t="s">
        <v>57</v>
      </c>
      <c r="J3431" s="1">
        <v>45292</v>
      </c>
      <c r="K3431">
        <v>-11694000</v>
      </c>
    </row>
    <row r="3432" spans="5:11" x14ac:dyDescent="0.25">
      <c r="E3432" t="s">
        <v>6729</v>
      </c>
      <c r="F3432">
        <v>1637207</v>
      </c>
      <c r="G3432" s="1">
        <v>45382</v>
      </c>
      <c r="H3432" t="s">
        <v>6730</v>
      </c>
      <c r="I3432" t="s">
        <v>896</v>
      </c>
      <c r="J3432" s="1">
        <v>45292</v>
      </c>
      <c r="K3432">
        <v>34309000</v>
      </c>
    </row>
    <row r="3433" spans="5:11" x14ac:dyDescent="0.25">
      <c r="E3433" t="s">
        <v>6731</v>
      </c>
      <c r="F3433">
        <v>1637459</v>
      </c>
      <c r="G3433" s="1">
        <v>45381</v>
      </c>
      <c r="H3433" t="s">
        <v>6732</v>
      </c>
      <c r="I3433" t="s">
        <v>39</v>
      </c>
      <c r="J3433" s="1">
        <v>45291</v>
      </c>
      <c r="K3433">
        <v>801000000</v>
      </c>
    </row>
    <row r="3434" spans="5:11" x14ac:dyDescent="0.25">
      <c r="E3434" t="s">
        <v>6733</v>
      </c>
      <c r="F3434">
        <v>1637715</v>
      </c>
      <c r="G3434" s="1">
        <v>45382</v>
      </c>
      <c r="H3434" t="s">
        <v>6734</v>
      </c>
      <c r="I3434" t="s">
        <v>36</v>
      </c>
      <c r="J3434" s="1">
        <v>45292</v>
      </c>
      <c r="K3434">
        <v>-8426000</v>
      </c>
    </row>
    <row r="3435" spans="5:11" x14ac:dyDescent="0.25">
      <c r="E3435" t="s">
        <v>6735</v>
      </c>
      <c r="F3435">
        <v>1637757</v>
      </c>
      <c r="G3435" s="1">
        <v>45382</v>
      </c>
      <c r="H3435" t="s">
        <v>6736</v>
      </c>
      <c r="I3435" t="s">
        <v>46</v>
      </c>
      <c r="J3435" s="1">
        <v>45292</v>
      </c>
      <c r="K3435">
        <v>-26000000</v>
      </c>
    </row>
    <row r="3436" spans="5:11" x14ac:dyDescent="0.25">
      <c r="E3436" t="s">
        <v>6737</v>
      </c>
      <c r="F3436">
        <v>1637866</v>
      </c>
      <c r="G3436" s="1">
        <v>45382</v>
      </c>
      <c r="H3436" t="s">
        <v>6738</v>
      </c>
      <c r="I3436" t="s">
        <v>69</v>
      </c>
      <c r="J3436" s="1">
        <v>45292</v>
      </c>
      <c r="K3436">
        <v>-10680</v>
      </c>
    </row>
    <row r="3437" spans="5:11" x14ac:dyDescent="0.25">
      <c r="E3437" t="s">
        <v>6739</v>
      </c>
      <c r="F3437">
        <v>1637873</v>
      </c>
      <c r="G3437" s="1">
        <v>45382</v>
      </c>
      <c r="H3437" t="s">
        <v>6740</v>
      </c>
      <c r="I3437" t="s">
        <v>57</v>
      </c>
      <c r="J3437" s="1">
        <v>45292</v>
      </c>
      <c r="K3437">
        <v>-20471000</v>
      </c>
    </row>
    <row r="3438" spans="5:11" x14ac:dyDescent="0.25">
      <c r="E3438" t="s">
        <v>6741</v>
      </c>
      <c r="F3438">
        <v>1637880</v>
      </c>
      <c r="G3438" s="1">
        <v>45382</v>
      </c>
      <c r="H3438" t="s">
        <v>6742</v>
      </c>
      <c r="I3438" t="s">
        <v>92</v>
      </c>
      <c r="J3438" s="1">
        <v>45292</v>
      </c>
      <c r="K3438">
        <v>-15028000</v>
      </c>
    </row>
    <row r="3439" spans="5:11" x14ac:dyDescent="0.25">
      <c r="E3439" t="s">
        <v>6743</v>
      </c>
      <c r="F3439">
        <v>1638097</v>
      </c>
      <c r="G3439" s="1">
        <v>45382</v>
      </c>
      <c r="H3439" t="s">
        <v>6744</v>
      </c>
      <c r="I3439" t="s">
        <v>1511</v>
      </c>
      <c r="J3439" s="1">
        <v>45292</v>
      </c>
      <c r="K3439">
        <v>-2017000</v>
      </c>
    </row>
    <row r="3440" spans="5:11" x14ac:dyDescent="0.25">
      <c r="E3440" t="s">
        <v>6745</v>
      </c>
      <c r="F3440">
        <v>1638287</v>
      </c>
      <c r="G3440" s="1">
        <v>45382</v>
      </c>
      <c r="H3440" t="s">
        <v>6746</v>
      </c>
      <c r="I3440" t="s">
        <v>24</v>
      </c>
      <c r="J3440" s="1">
        <v>45292</v>
      </c>
      <c r="K3440">
        <v>-6714000</v>
      </c>
    </row>
    <row r="3441" spans="5:11" x14ac:dyDescent="0.25">
      <c r="E3441" t="s">
        <v>6747</v>
      </c>
      <c r="F3441">
        <v>1638290</v>
      </c>
      <c r="G3441" s="1">
        <v>45382</v>
      </c>
      <c r="H3441" t="s">
        <v>6748</v>
      </c>
      <c r="I3441" t="s">
        <v>69</v>
      </c>
      <c r="J3441" s="1">
        <v>45292</v>
      </c>
      <c r="K3441">
        <v>3755000</v>
      </c>
    </row>
    <row r="3442" spans="5:11" x14ac:dyDescent="0.25">
      <c r="E3442" t="s">
        <v>6749</v>
      </c>
      <c r="F3442">
        <v>1638833</v>
      </c>
      <c r="G3442" s="1">
        <v>45382</v>
      </c>
      <c r="H3442" t="s">
        <v>6750</v>
      </c>
      <c r="I3442" t="s">
        <v>69</v>
      </c>
      <c r="J3442" s="1">
        <v>45292</v>
      </c>
      <c r="K3442">
        <v>-12400000</v>
      </c>
    </row>
    <row r="3443" spans="5:11" x14ac:dyDescent="0.25">
      <c r="E3443" t="s">
        <v>6751</v>
      </c>
      <c r="F3443">
        <v>1638911</v>
      </c>
      <c r="G3443" s="1">
        <v>45382</v>
      </c>
      <c r="H3443" t="s">
        <v>6752</v>
      </c>
      <c r="I3443" t="s">
        <v>1511</v>
      </c>
      <c r="J3443" s="1">
        <v>45292</v>
      </c>
      <c r="K3443">
        <v>-209000</v>
      </c>
    </row>
    <row r="3444" spans="5:11" x14ac:dyDescent="0.25">
      <c r="E3444" t="s">
        <v>6753</v>
      </c>
      <c r="F3444">
        <v>1639068</v>
      </c>
      <c r="G3444" s="1">
        <v>45382</v>
      </c>
      <c r="H3444" t="s">
        <v>6754</v>
      </c>
      <c r="I3444" t="s">
        <v>36</v>
      </c>
      <c r="J3444" s="1">
        <v>45292</v>
      </c>
      <c r="K3444">
        <v>-5215</v>
      </c>
    </row>
    <row r="3445" spans="5:11" x14ac:dyDescent="0.25">
      <c r="E3445" t="s">
        <v>6755</v>
      </c>
      <c r="F3445">
        <v>1639300</v>
      </c>
      <c r="G3445" s="1">
        <v>45416</v>
      </c>
      <c r="H3445" t="s">
        <v>6756</v>
      </c>
      <c r="I3445" t="s">
        <v>39</v>
      </c>
      <c r="J3445" s="1">
        <v>45326</v>
      </c>
      <c r="K3445">
        <v>46342000</v>
      </c>
    </row>
    <row r="3446" spans="5:11" x14ac:dyDescent="0.25">
      <c r="E3446" t="s">
        <v>6757</v>
      </c>
      <c r="F3446">
        <v>1639327</v>
      </c>
      <c r="G3446" s="1">
        <v>45382</v>
      </c>
      <c r="H3446" t="s">
        <v>6758</v>
      </c>
      <c r="I3446" t="s">
        <v>1164</v>
      </c>
      <c r="J3446" s="1">
        <v>45292</v>
      </c>
      <c r="K3446">
        <v>-454342</v>
      </c>
    </row>
    <row r="3447" spans="5:11" x14ac:dyDescent="0.25">
      <c r="E3447" t="s">
        <v>6759</v>
      </c>
      <c r="F3447">
        <v>1639438</v>
      </c>
      <c r="G3447" s="1">
        <v>45403</v>
      </c>
      <c r="H3447" t="s">
        <v>6760</v>
      </c>
      <c r="I3447" t="s">
        <v>899</v>
      </c>
      <c r="J3447" s="1">
        <v>45292</v>
      </c>
      <c r="K3447">
        <v>13993000</v>
      </c>
    </row>
    <row r="3448" spans="5:11" x14ac:dyDescent="0.25">
      <c r="E3448" t="s">
        <v>6761</v>
      </c>
      <c r="F3448">
        <v>1639691</v>
      </c>
      <c r="G3448" s="1">
        <v>45382</v>
      </c>
      <c r="H3448" t="s">
        <v>6762</v>
      </c>
      <c r="I3448" t="s">
        <v>594</v>
      </c>
      <c r="J3448" s="1">
        <v>45292</v>
      </c>
      <c r="K3448">
        <v>-41943000</v>
      </c>
    </row>
    <row r="3449" spans="5:11" x14ac:dyDescent="0.25">
      <c r="E3449" t="s">
        <v>6763</v>
      </c>
      <c r="F3449">
        <v>1639825</v>
      </c>
      <c r="G3449" s="1">
        <v>45382</v>
      </c>
      <c r="H3449" t="s">
        <v>6764</v>
      </c>
      <c r="I3449" t="s">
        <v>57</v>
      </c>
      <c r="J3449" s="1">
        <v>45292</v>
      </c>
      <c r="K3449">
        <v>-167300000</v>
      </c>
    </row>
    <row r="3450" spans="5:11" x14ac:dyDescent="0.25">
      <c r="E3450" t="s">
        <v>6765</v>
      </c>
      <c r="F3450">
        <v>1640147</v>
      </c>
      <c r="G3450" s="1">
        <v>45412</v>
      </c>
      <c r="H3450" t="s">
        <v>6766</v>
      </c>
      <c r="I3450" t="s">
        <v>772</v>
      </c>
      <c r="J3450" s="1">
        <v>45323</v>
      </c>
      <c r="K3450">
        <v>-316988000</v>
      </c>
    </row>
    <row r="3451" spans="5:11" x14ac:dyDescent="0.25">
      <c r="E3451" t="s">
        <v>6767</v>
      </c>
      <c r="F3451">
        <v>1640266</v>
      </c>
      <c r="G3451" s="1">
        <v>45382</v>
      </c>
      <c r="H3451" t="s">
        <v>6768</v>
      </c>
      <c r="I3451" t="s">
        <v>24</v>
      </c>
      <c r="J3451" s="1">
        <v>45292</v>
      </c>
      <c r="K3451">
        <v>-11330000</v>
      </c>
    </row>
    <row r="3452" spans="5:11" x14ac:dyDescent="0.25">
      <c r="E3452" t="s">
        <v>6769</v>
      </c>
      <c r="F3452">
        <v>1640384</v>
      </c>
      <c r="G3452" s="1">
        <v>45382</v>
      </c>
      <c r="H3452" t="s">
        <v>6770</v>
      </c>
      <c r="I3452" t="s">
        <v>33</v>
      </c>
      <c r="J3452" s="1">
        <v>45292</v>
      </c>
      <c r="K3452">
        <v>1489745</v>
      </c>
    </row>
    <row r="3453" spans="5:11" x14ac:dyDescent="0.25">
      <c r="E3453" t="s">
        <v>6771</v>
      </c>
      <c r="F3453">
        <v>1640428</v>
      </c>
      <c r="G3453" s="1">
        <v>45382</v>
      </c>
      <c r="H3453" t="s">
        <v>6772</v>
      </c>
      <c r="I3453" t="s">
        <v>24</v>
      </c>
      <c r="J3453" s="1">
        <v>45292</v>
      </c>
      <c r="K3453">
        <v>1907000</v>
      </c>
    </row>
    <row r="3454" spans="5:11" x14ac:dyDescent="0.25">
      <c r="E3454" t="s">
        <v>6773</v>
      </c>
      <c r="F3454">
        <v>1640982</v>
      </c>
      <c r="G3454" s="1">
        <v>45382</v>
      </c>
      <c r="H3454" t="s">
        <v>6774</v>
      </c>
      <c r="I3454" t="s">
        <v>36</v>
      </c>
      <c r="J3454" s="1">
        <v>45292</v>
      </c>
      <c r="K3454">
        <v>-101000</v>
      </c>
    </row>
    <row r="3455" spans="5:11" x14ac:dyDescent="0.25">
      <c r="E3455" t="s">
        <v>6775</v>
      </c>
      <c r="F3455">
        <v>1641281</v>
      </c>
      <c r="G3455" s="1">
        <v>45382</v>
      </c>
      <c r="H3455" t="s">
        <v>6776</v>
      </c>
      <c r="I3455" t="s">
        <v>36</v>
      </c>
      <c r="J3455" s="1">
        <v>45292</v>
      </c>
      <c r="K3455">
        <v>-10811000</v>
      </c>
    </row>
    <row r="3456" spans="5:11" x14ac:dyDescent="0.25">
      <c r="E3456" t="s">
        <v>6777</v>
      </c>
      <c r="F3456">
        <v>1641398</v>
      </c>
      <c r="G3456" s="1">
        <v>45382</v>
      </c>
      <c r="H3456" t="s">
        <v>6778</v>
      </c>
      <c r="I3456" t="s">
        <v>57</v>
      </c>
      <c r="J3456" s="1">
        <v>45292</v>
      </c>
      <c r="K3456">
        <v>-3978628</v>
      </c>
    </row>
    <row r="3457" spans="5:11" x14ac:dyDescent="0.25">
      <c r="E3457" t="s">
        <v>6779</v>
      </c>
      <c r="F3457">
        <v>1641489</v>
      </c>
      <c r="G3457" s="1">
        <v>45382</v>
      </c>
      <c r="H3457" t="s">
        <v>6780</v>
      </c>
      <c r="I3457" t="s">
        <v>172</v>
      </c>
      <c r="J3457" s="1">
        <v>45292</v>
      </c>
      <c r="K3457">
        <v>-4865000</v>
      </c>
    </row>
    <row r="3458" spans="5:11" x14ac:dyDescent="0.25">
      <c r="E3458" t="s">
        <v>6781</v>
      </c>
      <c r="F3458">
        <v>1641601</v>
      </c>
      <c r="G3458" s="1">
        <v>45382</v>
      </c>
      <c r="H3458" t="s">
        <v>6782</v>
      </c>
      <c r="I3458" t="s">
        <v>1123</v>
      </c>
      <c r="J3458" s="1">
        <v>45292</v>
      </c>
      <c r="K3458">
        <v>5810000</v>
      </c>
    </row>
    <row r="3459" spans="5:11" x14ac:dyDescent="0.25">
      <c r="E3459" t="s">
        <v>6783</v>
      </c>
      <c r="F3459">
        <v>1641614</v>
      </c>
      <c r="G3459" s="1">
        <v>45382</v>
      </c>
      <c r="H3459" t="s">
        <v>6784</v>
      </c>
      <c r="I3459" t="s">
        <v>92</v>
      </c>
      <c r="J3459" s="1">
        <v>45292</v>
      </c>
      <c r="K3459">
        <v>5455000</v>
      </c>
    </row>
    <row r="3460" spans="5:11" x14ac:dyDescent="0.25">
      <c r="E3460" t="s">
        <v>6785</v>
      </c>
      <c r="F3460">
        <v>1642122</v>
      </c>
      <c r="G3460" s="1">
        <v>45382</v>
      </c>
      <c r="H3460" t="s">
        <v>6786</v>
      </c>
      <c r="I3460" t="s">
        <v>27</v>
      </c>
      <c r="J3460" s="1">
        <v>45292</v>
      </c>
      <c r="K3460">
        <v>13821000</v>
      </c>
    </row>
    <row r="3461" spans="5:11" x14ac:dyDescent="0.25">
      <c r="E3461" t="s">
        <v>6787</v>
      </c>
      <c r="F3461">
        <v>1642159</v>
      </c>
      <c r="G3461" s="1">
        <v>45382</v>
      </c>
      <c r="H3461" t="s">
        <v>6788</v>
      </c>
      <c r="I3461" t="s">
        <v>36</v>
      </c>
      <c r="J3461" s="1">
        <v>45292</v>
      </c>
      <c r="K3461">
        <v>-758088</v>
      </c>
    </row>
    <row r="3462" spans="5:11" x14ac:dyDescent="0.25">
      <c r="E3462" t="s">
        <v>6789</v>
      </c>
      <c r="F3462">
        <v>1642375</v>
      </c>
      <c r="G3462" s="1">
        <v>45382</v>
      </c>
      <c r="H3462" t="s">
        <v>6790</v>
      </c>
      <c r="I3462" t="s">
        <v>30</v>
      </c>
      <c r="J3462" s="1">
        <v>45292</v>
      </c>
      <c r="K3462">
        <v>-4746744</v>
      </c>
    </row>
    <row r="3463" spans="5:11" x14ac:dyDescent="0.25">
      <c r="E3463" t="s">
        <v>6791</v>
      </c>
      <c r="F3463">
        <v>1642380</v>
      </c>
      <c r="G3463" s="1">
        <v>45382</v>
      </c>
      <c r="H3463" t="s">
        <v>6792</v>
      </c>
      <c r="I3463" t="s">
        <v>36</v>
      </c>
      <c r="J3463" s="1">
        <v>45292</v>
      </c>
      <c r="K3463">
        <v>-9129000</v>
      </c>
    </row>
    <row r="3464" spans="5:11" x14ac:dyDescent="0.25">
      <c r="E3464" t="s">
        <v>6793</v>
      </c>
      <c r="F3464">
        <v>1642545</v>
      </c>
      <c r="G3464" s="1">
        <v>45382</v>
      </c>
      <c r="H3464" t="s">
        <v>6794</v>
      </c>
      <c r="I3464" t="s">
        <v>36</v>
      </c>
      <c r="J3464" s="1">
        <v>45292</v>
      </c>
      <c r="K3464">
        <v>55346000</v>
      </c>
    </row>
    <row r="3465" spans="5:11" x14ac:dyDescent="0.25">
      <c r="E3465" t="s">
        <v>6795</v>
      </c>
      <c r="F3465">
        <v>1642896</v>
      </c>
      <c r="G3465" s="1">
        <v>45416</v>
      </c>
      <c r="H3465" t="s">
        <v>6796</v>
      </c>
      <c r="I3465" t="s">
        <v>36</v>
      </c>
      <c r="J3465" s="1">
        <v>45326</v>
      </c>
      <c r="K3465">
        <v>-56289000</v>
      </c>
    </row>
    <row r="3466" spans="5:11" x14ac:dyDescent="0.25">
      <c r="E3466" t="s">
        <v>6797</v>
      </c>
      <c r="F3466">
        <v>1643154</v>
      </c>
      <c r="G3466" s="1">
        <v>45382</v>
      </c>
      <c r="H3466" t="s">
        <v>6798</v>
      </c>
      <c r="I3466" t="s">
        <v>912</v>
      </c>
      <c r="J3466" s="1">
        <v>45292</v>
      </c>
      <c r="K3466">
        <v>-13998000</v>
      </c>
    </row>
    <row r="3467" spans="5:11" x14ac:dyDescent="0.25">
      <c r="E3467" t="s">
        <v>6799</v>
      </c>
      <c r="F3467">
        <v>1643301</v>
      </c>
      <c r="G3467" s="1">
        <v>45382</v>
      </c>
      <c r="H3467" t="s">
        <v>6800</v>
      </c>
      <c r="I3467" t="s">
        <v>36</v>
      </c>
      <c r="J3467" s="1">
        <v>45292</v>
      </c>
      <c r="K3467">
        <v>-1295000</v>
      </c>
    </row>
    <row r="3468" spans="5:11" x14ac:dyDescent="0.25">
      <c r="E3468" t="s">
        <v>6801</v>
      </c>
      <c r="F3468">
        <v>1643615</v>
      </c>
      <c r="G3468" s="1">
        <v>45382</v>
      </c>
      <c r="H3468" t="s">
        <v>6802</v>
      </c>
      <c r="I3468" t="s">
        <v>251</v>
      </c>
      <c r="J3468" s="1">
        <v>45292</v>
      </c>
      <c r="K3468">
        <v>-13357000</v>
      </c>
    </row>
    <row r="3469" spans="5:11" x14ac:dyDescent="0.25">
      <c r="E3469" t="s">
        <v>6803</v>
      </c>
      <c r="F3469">
        <v>1643721</v>
      </c>
      <c r="G3469" s="1">
        <v>45382</v>
      </c>
      <c r="H3469" t="s">
        <v>6804</v>
      </c>
      <c r="I3469" t="s">
        <v>92</v>
      </c>
      <c r="J3469" s="1">
        <v>45292</v>
      </c>
      <c r="K3469">
        <v>-171649</v>
      </c>
    </row>
    <row r="3470" spans="5:11" x14ac:dyDescent="0.25">
      <c r="E3470" t="s">
        <v>6805</v>
      </c>
      <c r="F3470">
        <v>1643953</v>
      </c>
      <c r="G3470" s="1">
        <v>45382</v>
      </c>
      <c r="H3470" t="s">
        <v>6806</v>
      </c>
      <c r="I3470" t="s">
        <v>406</v>
      </c>
      <c r="J3470" s="1">
        <v>45292</v>
      </c>
      <c r="K3470">
        <v>-50217000</v>
      </c>
    </row>
    <row r="3471" spans="5:11" x14ac:dyDescent="0.25">
      <c r="E3471" t="s">
        <v>6807</v>
      </c>
      <c r="F3471">
        <v>1643988</v>
      </c>
      <c r="G3471" s="1">
        <v>45382</v>
      </c>
      <c r="H3471" t="s">
        <v>6808</v>
      </c>
      <c r="I3471" t="s">
        <v>36</v>
      </c>
      <c r="J3471" s="1">
        <v>45292</v>
      </c>
      <c r="K3471">
        <v>-7570633</v>
      </c>
    </row>
    <row r="3472" spans="5:11" x14ac:dyDescent="0.25">
      <c r="E3472" t="s">
        <v>6809</v>
      </c>
      <c r="F3472">
        <v>1644378</v>
      </c>
      <c r="G3472" s="1">
        <v>45382</v>
      </c>
      <c r="H3472" t="s">
        <v>6810</v>
      </c>
      <c r="I3472" t="s">
        <v>24</v>
      </c>
      <c r="J3472" s="1">
        <v>45292</v>
      </c>
      <c r="K3472">
        <v>5862000</v>
      </c>
    </row>
    <row r="3473" spans="5:11" x14ac:dyDescent="0.25">
      <c r="E3473" t="s">
        <v>6811</v>
      </c>
      <c r="F3473">
        <v>1644903</v>
      </c>
      <c r="G3473" s="1">
        <v>45382</v>
      </c>
      <c r="H3473" t="s">
        <v>6812</v>
      </c>
      <c r="I3473" t="s">
        <v>172</v>
      </c>
      <c r="J3473" s="1">
        <v>45292</v>
      </c>
      <c r="K3473">
        <v>-3010562</v>
      </c>
    </row>
    <row r="3474" spans="5:11" x14ac:dyDescent="0.25">
      <c r="E3474" t="s">
        <v>6813</v>
      </c>
      <c r="F3474">
        <v>1645070</v>
      </c>
      <c r="G3474" s="1">
        <v>45382</v>
      </c>
      <c r="H3474" t="s">
        <v>6814</v>
      </c>
      <c r="I3474" t="s">
        <v>60</v>
      </c>
      <c r="J3474" s="1">
        <v>45292</v>
      </c>
      <c r="K3474">
        <v>-7955000</v>
      </c>
    </row>
    <row r="3475" spans="5:11" x14ac:dyDescent="0.25">
      <c r="E3475" t="s">
        <v>10521</v>
      </c>
      <c r="F3475">
        <v>1645113</v>
      </c>
      <c r="G3475" s="1">
        <v>45382</v>
      </c>
      <c r="H3475" t="s">
        <v>6815</v>
      </c>
      <c r="I3475" t="s">
        <v>6816</v>
      </c>
      <c r="J3475" s="1">
        <v>45292</v>
      </c>
      <c r="K3475">
        <v>-38760000</v>
      </c>
    </row>
    <row r="3476" spans="5:11" x14ac:dyDescent="0.25">
      <c r="E3476" t="s">
        <v>6817</v>
      </c>
      <c r="F3476">
        <v>1645155</v>
      </c>
      <c r="G3476" s="1">
        <v>45382</v>
      </c>
      <c r="H3476" t="s">
        <v>6818</v>
      </c>
      <c r="I3476" t="s">
        <v>64</v>
      </c>
      <c r="J3476" s="1">
        <v>45292</v>
      </c>
      <c r="K3476">
        <v>-224941</v>
      </c>
    </row>
    <row r="3477" spans="5:11" x14ac:dyDescent="0.25">
      <c r="E3477" t="s">
        <v>6819</v>
      </c>
      <c r="F3477">
        <v>1645460</v>
      </c>
      <c r="G3477" s="1">
        <v>45382</v>
      </c>
      <c r="H3477" t="s">
        <v>6820</v>
      </c>
      <c r="I3477" t="s">
        <v>24</v>
      </c>
      <c r="J3477" s="1">
        <v>45292</v>
      </c>
      <c r="K3477">
        <v>-12347000</v>
      </c>
    </row>
    <row r="3478" spans="5:11" x14ac:dyDescent="0.25">
      <c r="E3478" t="s">
        <v>6821</v>
      </c>
      <c r="F3478">
        <v>1645469</v>
      </c>
      <c r="G3478" s="1">
        <v>45382</v>
      </c>
      <c r="H3478" t="s">
        <v>6822</v>
      </c>
      <c r="I3478" t="s">
        <v>19</v>
      </c>
      <c r="J3478" s="1">
        <v>45292</v>
      </c>
      <c r="K3478">
        <v>-1641226</v>
      </c>
    </row>
    <row r="3479" spans="5:11" x14ac:dyDescent="0.25">
      <c r="E3479" t="s">
        <v>6823</v>
      </c>
      <c r="F3479">
        <v>1645590</v>
      </c>
      <c r="G3479" s="1">
        <v>45412</v>
      </c>
      <c r="H3479" t="s">
        <v>6824</v>
      </c>
      <c r="I3479" t="s">
        <v>30</v>
      </c>
      <c r="J3479" s="1">
        <v>45323</v>
      </c>
      <c r="K3479">
        <v>314000000</v>
      </c>
    </row>
    <row r="3480" spans="5:11" x14ac:dyDescent="0.25">
      <c r="E3480" t="s">
        <v>6825</v>
      </c>
      <c r="F3480">
        <v>1645666</v>
      </c>
      <c r="G3480" s="1">
        <v>45382</v>
      </c>
      <c r="H3480" t="s">
        <v>6826</v>
      </c>
      <c r="I3480" t="s">
        <v>36</v>
      </c>
      <c r="J3480" s="1">
        <v>45292</v>
      </c>
      <c r="K3480">
        <v>-21658000</v>
      </c>
    </row>
    <row r="3481" spans="5:11" x14ac:dyDescent="0.25">
      <c r="E3481" t="s">
        <v>6827</v>
      </c>
      <c r="F3481">
        <v>1645873</v>
      </c>
      <c r="G3481" s="1">
        <v>45382</v>
      </c>
      <c r="H3481" t="s">
        <v>6828</v>
      </c>
      <c r="I3481" t="s">
        <v>142</v>
      </c>
      <c r="J3481" s="1">
        <v>45292</v>
      </c>
      <c r="K3481">
        <v>3724459</v>
      </c>
    </row>
    <row r="3482" spans="5:11" x14ac:dyDescent="0.25">
      <c r="E3482" t="s">
        <v>6829</v>
      </c>
      <c r="F3482">
        <v>1646188</v>
      </c>
      <c r="G3482" s="1">
        <v>45382</v>
      </c>
      <c r="H3482" t="s">
        <v>6830</v>
      </c>
      <c r="I3482" t="s">
        <v>24</v>
      </c>
      <c r="J3482" s="1">
        <v>45292</v>
      </c>
      <c r="K3482">
        <v>-9876084</v>
      </c>
    </row>
    <row r="3483" spans="5:11" x14ac:dyDescent="0.25">
      <c r="E3483" t="s">
        <v>6831</v>
      </c>
      <c r="F3483">
        <v>1646614</v>
      </c>
      <c r="G3483" s="1">
        <v>45382</v>
      </c>
      <c r="H3483" t="s">
        <v>6832</v>
      </c>
      <c r="I3483" t="s">
        <v>27</v>
      </c>
      <c r="J3483" s="1">
        <v>45292</v>
      </c>
      <c r="K3483">
        <v>16703878</v>
      </c>
    </row>
    <row r="3484" spans="5:11" x14ac:dyDescent="0.25">
      <c r="E3484" t="s">
        <v>10522</v>
      </c>
      <c r="F3484">
        <v>1647088</v>
      </c>
      <c r="G3484" s="1">
        <v>45382</v>
      </c>
      <c r="H3484" t="s">
        <v>6833</v>
      </c>
      <c r="I3484" t="s">
        <v>113</v>
      </c>
      <c r="J3484" s="1">
        <v>45292</v>
      </c>
      <c r="K3484">
        <v>56240000</v>
      </c>
    </row>
    <row r="3485" spans="5:11" x14ac:dyDescent="0.25">
      <c r="E3485" t="s">
        <v>6834</v>
      </c>
      <c r="F3485">
        <v>1647639</v>
      </c>
      <c r="G3485" s="1">
        <v>45382</v>
      </c>
      <c r="H3485" t="s">
        <v>6835</v>
      </c>
      <c r="I3485" t="s">
        <v>36</v>
      </c>
      <c r="J3485" s="1">
        <v>45292</v>
      </c>
      <c r="K3485">
        <v>-64598000</v>
      </c>
    </row>
    <row r="3486" spans="5:11" x14ac:dyDescent="0.25">
      <c r="E3486" t="s">
        <v>6836</v>
      </c>
      <c r="F3486">
        <v>1648087</v>
      </c>
      <c r="G3486" s="1">
        <v>45382</v>
      </c>
      <c r="H3486" t="s">
        <v>6837</v>
      </c>
      <c r="I3486" t="s">
        <v>69</v>
      </c>
      <c r="J3486" s="1">
        <v>45292</v>
      </c>
      <c r="K3486">
        <v>-2701278</v>
      </c>
    </row>
    <row r="3487" spans="5:11" x14ac:dyDescent="0.25">
      <c r="E3487" t="s">
        <v>6838</v>
      </c>
      <c r="F3487">
        <v>1648960</v>
      </c>
      <c r="G3487" s="1">
        <v>45382</v>
      </c>
      <c r="H3487" t="s">
        <v>6839</v>
      </c>
      <c r="I3487" t="s">
        <v>46</v>
      </c>
      <c r="J3487" s="1">
        <v>45292</v>
      </c>
      <c r="K3487">
        <v>-1137812</v>
      </c>
    </row>
    <row r="3488" spans="5:11" x14ac:dyDescent="0.25">
      <c r="E3488" t="s">
        <v>6840</v>
      </c>
      <c r="F3488">
        <v>1649094</v>
      </c>
      <c r="G3488" s="1">
        <v>45382</v>
      </c>
      <c r="H3488" t="s">
        <v>6841</v>
      </c>
      <c r="I3488" t="s">
        <v>36</v>
      </c>
      <c r="J3488" s="1">
        <v>45292</v>
      </c>
      <c r="K3488">
        <v>-95020000</v>
      </c>
    </row>
    <row r="3489" spans="5:11" x14ac:dyDescent="0.25">
      <c r="E3489" t="s">
        <v>6842</v>
      </c>
      <c r="F3489">
        <v>1649739</v>
      </c>
      <c r="G3489" s="1">
        <v>45382</v>
      </c>
      <c r="H3489" t="s">
        <v>6843</v>
      </c>
      <c r="I3489" t="s">
        <v>33</v>
      </c>
      <c r="J3489" s="1">
        <v>45292</v>
      </c>
      <c r="K3489">
        <v>824000</v>
      </c>
    </row>
    <row r="3490" spans="5:11" x14ac:dyDescent="0.25">
      <c r="E3490" t="s">
        <v>6844</v>
      </c>
      <c r="F3490">
        <v>1649744</v>
      </c>
      <c r="G3490" s="1">
        <v>45410</v>
      </c>
      <c r="H3490" t="s">
        <v>6845</v>
      </c>
      <c r="I3490" t="s">
        <v>83</v>
      </c>
      <c r="J3490" s="1">
        <v>45320</v>
      </c>
      <c r="K3490">
        <v>-7873000</v>
      </c>
    </row>
    <row r="3491" spans="5:11" x14ac:dyDescent="0.25">
      <c r="E3491" t="s">
        <v>6846</v>
      </c>
      <c r="F3491">
        <v>1649749</v>
      </c>
      <c r="G3491" s="1">
        <v>45382</v>
      </c>
      <c r="H3491" t="s">
        <v>6847</v>
      </c>
      <c r="I3491" t="s">
        <v>69</v>
      </c>
      <c r="J3491" s="1">
        <v>45292</v>
      </c>
      <c r="K3491">
        <v>27950000</v>
      </c>
    </row>
    <row r="3492" spans="5:11" x14ac:dyDescent="0.25">
      <c r="E3492" t="s">
        <v>6848</v>
      </c>
      <c r="F3492">
        <v>1649904</v>
      </c>
      <c r="G3492" s="1">
        <v>45382</v>
      </c>
      <c r="H3492" t="s">
        <v>6849</v>
      </c>
      <c r="I3492" t="s">
        <v>24</v>
      </c>
      <c r="J3492" s="1">
        <v>45292</v>
      </c>
      <c r="K3492">
        <v>-141372000</v>
      </c>
    </row>
    <row r="3493" spans="5:11" x14ac:dyDescent="0.25">
      <c r="E3493" t="s">
        <v>6850</v>
      </c>
      <c r="F3493">
        <v>1649989</v>
      </c>
      <c r="G3493" s="1">
        <v>45382</v>
      </c>
      <c r="H3493" t="s">
        <v>6851</v>
      </c>
      <c r="I3493" t="s">
        <v>46</v>
      </c>
      <c r="J3493" s="1">
        <v>45292</v>
      </c>
      <c r="K3493">
        <v>-114288943</v>
      </c>
    </row>
    <row r="3494" spans="5:11" x14ac:dyDescent="0.25">
      <c r="E3494" t="s">
        <v>6852</v>
      </c>
      <c r="F3494">
        <v>1650132</v>
      </c>
      <c r="G3494" s="1">
        <v>45382</v>
      </c>
      <c r="H3494" t="s">
        <v>6853</v>
      </c>
      <c r="I3494" t="s">
        <v>36</v>
      </c>
      <c r="J3494" s="1">
        <v>45292</v>
      </c>
      <c r="K3494">
        <v>24044000</v>
      </c>
    </row>
    <row r="3495" spans="5:11" x14ac:dyDescent="0.25">
      <c r="E3495" t="s">
        <v>6854</v>
      </c>
      <c r="F3495">
        <v>1650164</v>
      </c>
      <c r="G3495" s="1">
        <v>45382</v>
      </c>
      <c r="H3495" t="s">
        <v>6855</v>
      </c>
      <c r="I3495" t="s">
        <v>24</v>
      </c>
      <c r="J3495" s="1">
        <v>45292</v>
      </c>
      <c r="K3495">
        <v>-83000000</v>
      </c>
    </row>
    <row r="3496" spans="5:11" x14ac:dyDescent="0.25">
      <c r="E3496" t="s">
        <v>6856</v>
      </c>
      <c r="F3496">
        <v>1650372</v>
      </c>
      <c r="G3496" s="1">
        <v>45382</v>
      </c>
      <c r="H3496" t="s">
        <v>6857</v>
      </c>
      <c r="I3496" t="s">
        <v>36</v>
      </c>
      <c r="J3496" s="1">
        <v>45292</v>
      </c>
      <c r="K3496">
        <v>12752000</v>
      </c>
    </row>
    <row r="3497" spans="5:11" x14ac:dyDescent="0.25">
      <c r="E3497" t="s">
        <v>6858</v>
      </c>
      <c r="F3497">
        <v>1650648</v>
      </c>
      <c r="G3497" s="1">
        <v>45382</v>
      </c>
      <c r="H3497" t="s">
        <v>6859</v>
      </c>
      <c r="I3497" t="s">
        <v>36</v>
      </c>
      <c r="J3497" s="1">
        <v>45292</v>
      </c>
      <c r="K3497">
        <v>-32401000</v>
      </c>
    </row>
    <row r="3498" spans="5:11" x14ac:dyDescent="0.25">
      <c r="E3498" t="s">
        <v>6860</v>
      </c>
      <c r="F3498">
        <v>1650664</v>
      </c>
      <c r="G3498" s="1">
        <v>45382</v>
      </c>
      <c r="H3498" t="s">
        <v>6861</v>
      </c>
      <c r="I3498" t="s">
        <v>24</v>
      </c>
      <c r="J3498" s="1">
        <v>45292</v>
      </c>
      <c r="K3498">
        <v>-61950000</v>
      </c>
    </row>
    <row r="3499" spans="5:11" x14ac:dyDescent="0.25">
      <c r="E3499" t="s">
        <v>6862</v>
      </c>
      <c r="F3499">
        <v>1650696</v>
      </c>
      <c r="G3499" s="1">
        <v>45382</v>
      </c>
      <c r="H3499" t="s">
        <v>6863</v>
      </c>
      <c r="I3499" t="s">
        <v>92</v>
      </c>
      <c r="J3499" s="1">
        <v>45292</v>
      </c>
      <c r="K3499">
        <v>-1016522</v>
      </c>
    </row>
    <row r="3500" spans="5:11" x14ac:dyDescent="0.25">
      <c r="E3500" t="s">
        <v>10523</v>
      </c>
      <c r="F3500">
        <v>1650729</v>
      </c>
      <c r="G3500" s="1">
        <v>45382</v>
      </c>
      <c r="H3500" t="s">
        <v>6864</v>
      </c>
      <c r="I3500" t="s">
        <v>64</v>
      </c>
      <c r="J3500" s="1">
        <v>45292</v>
      </c>
      <c r="K3500">
        <v>-19300000</v>
      </c>
    </row>
    <row r="3501" spans="5:11" x14ac:dyDescent="0.25">
      <c r="E3501" t="s">
        <v>6865</v>
      </c>
      <c r="F3501">
        <v>1651308</v>
      </c>
      <c r="G3501" s="1">
        <v>45382</v>
      </c>
      <c r="H3501" t="s">
        <v>6866</v>
      </c>
      <c r="I3501" t="s">
        <v>2436</v>
      </c>
      <c r="J3501" s="1">
        <v>45292</v>
      </c>
      <c r="K3501">
        <v>-251150000</v>
      </c>
    </row>
    <row r="3502" spans="5:11" x14ac:dyDescent="0.25">
      <c r="E3502" t="s">
        <v>10524</v>
      </c>
      <c r="F3502">
        <v>1651311</v>
      </c>
      <c r="G3502" s="1">
        <v>45382</v>
      </c>
      <c r="H3502" t="s">
        <v>6867</v>
      </c>
      <c r="I3502" t="s">
        <v>4820</v>
      </c>
      <c r="J3502" s="1">
        <v>45292</v>
      </c>
      <c r="K3502">
        <v>-34456000</v>
      </c>
    </row>
    <row r="3503" spans="5:11" x14ac:dyDescent="0.25">
      <c r="E3503" t="s">
        <v>6868</v>
      </c>
      <c r="F3503">
        <v>1651407</v>
      </c>
      <c r="G3503" s="1">
        <v>45382</v>
      </c>
      <c r="H3503" t="s">
        <v>6869</v>
      </c>
      <c r="I3503" t="s">
        <v>24</v>
      </c>
      <c r="J3503" s="1">
        <v>45292</v>
      </c>
      <c r="K3503">
        <v>-10945000</v>
      </c>
    </row>
    <row r="3504" spans="5:11" x14ac:dyDescent="0.25">
      <c r="E3504" t="s">
        <v>6870</v>
      </c>
      <c r="F3504">
        <v>1651562</v>
      </c>
      <c r="G3504" s="1">
        <v>45382</v>
      </c>
      <c r="H3504" t="s">
        <v>6871</v>
      </c>
      <c r="I3504" t="s">
        <v>36</v>
      </c>
      <c r="J3504" s="1">
        <v>45292</v>
      </c>
      <c r="K3504">
        <v>-21256000</v>
      </c>
    </row>
    <row r="3505" spans="5:11" x14ac:dyDescent="0.25">
      <c r="E3505" t="s">
        <v>6872</v>
      </c>
      <c r="F3505">
        <v>1651721</v>
      </c>
      <c r="G3505" s="1">
        <v>45382</v>
      </c>
      <c r="H3505" t="s">
        <v>6873</v>
      </c>
      <c r="I3505" t="s">
        <v>33</v>
      </c>
      <c r="J3505" s="1">
        <v>45292</v>
      </c>
      <c r="K3505">
        <v>-2825220</v>
      </c>
    </row>
    <row r="3506" spans="5:11" x14ac:dyDescent="0.25">
      <c r="E3506" t="s">
        <v>6874</v>
      </c>
      <c r="F3506">
        <v>1651944</v>
      </c>
      <c r="G3506" s="1">
        <v>45382</v>
      </c>
      <c r="H3506" t="s">
        <v>6875</v>
      </c>
      <c r="I3506" t="s">
        <v>36</v>
      </c>
      <c r="J3506" s="1">
        <v>45292</v>
      </c>
      <c r="K3506">
        <v>-20010000</v>
      </c>
    </row>
    <row r="3507" spans="5:11" x14ac:dyDescent="0.25">
      <c r="E3507" t="s">
        <v>6876</v>
      </c>
      <c r="F3507">
        <v>1651958</v>
      </c>
      <c r="G3507" s="1">
        <v>45382</v>
      </c>
      <c r="H3507" t="s">
        <v>6877</v>
      </c>
      <c r="I3507" t="s">
        <v>4227</v>
      </c>
      <c r="J3507" s="1">
        <v>45292</v>
      </c>
      <c r="K3507">
        <v>-43208</v>
      </c>
    </row>
    <row r="3508" spans="5:11" x14ac:dyDescent="0.25">
      <c r="E3508" t="s">
        <v>6878</v>
      </c>
      <c r="F3508">
        <v>1651992</v>
      </c>
      <c r="G3508" s="1">
        <v>45382</v>
      </c>
      <c r="H3508" t="s">
        <v>6879</v>
      </c>
      <c r="I3508" t="s">
        <v>57</v>
      </c>
      <c r="J3508" s="1">
        <v>45292</v>
      </c>
      <c r="K3508">
        <v>-14986</v>
      </c>
    </row>
    <row r="3509" spans="5:11" x14ac:dyDescent="0.25">
      <c r="E3509" t="s">
        <v>6880</v>
      </c>
      <c r="F3509">
        <v>1652044</v>
      </c>
      <c r="G3509" s="1">
        <v>45382</v>
      </c>
      <c r="H3509" t="s">
        <v>6881</v>
      </c>
      <c r="I3509" t="s">
        <v>36</v>
      </c>
      <c r="J3509" s="1">
        <v>45292</v>
      </c>
      <c r="K3509">
        <v>23662000000</v>
      </c>
    </row>
    <row r="3510" spans="5:11" x14ac:dyDescent="0.25">
      <c r="E3510" t="s">
        <v>6882</v>
      </c>
      <c r="F3510">
        <v>1652130</v>
      </c>
      <c r="G3510" s="1">
        <v>45382</v>
      </c>
      <c r="H3510" t="s">
        <v>6883</v>
      </c>
      <c r="I3510" t="s">
        <v>24</v>
      </c>
      <c r="J3510" s="1">
        <v>45292</v>
      </c>
      <c r="K3510">
        <v>-107436000</v>
      </c>
    </row>
    <row r="3511" spans="5:11" x14ac:dyDescent="0.25">
      <c r="E3511" t="s">
        <v>6884</v>
      </c>
      <c r="F3511">
        <v>1652535</v>
      </c>
      <c r="G3511" s="1">
        <v>45380</v>
      </c>
      <c r="H3511" t="s">
        <v>6885</v>
      </c>
      <c r="I3511" t="s">
        <v>36</v>
      </c>
      <c r="J3511" s="1">
        <v>45290</v>
      </c>
      <c r="K3511">
        <v>-8989000</v>
      </c>
    </row>
    <row r="3512" spans="5:11" x14ac:dyDescent="0.25">
      <c r="E3512" t="s">
        <v>6886</v>
      </c>
      <c r="F3512">
        <v>1652539</v>
      </c>
      <c r="G3512" s="1">
        <v>45382</v>
      </c>
      <c r="H3512" t="s">
        <v>6887</v>
      </c>
      <c r="I3512" t="s">
        <v>912</v>
      </c>
      <c r="J3512" s="1">
        <v>45292</v>
      </c>
      <c r="K3512">
        <v>-1525744</v>
      </c>
    </row>
    <row r="3513" spans="5:11" x14ac:dyDescent="0.25">
      <c r="E3513" t="s">
        <v>6888</v>
      </c>
      <c r="F3513">
        <v>1652561</v>
      </c>
      <c r="G3513" s="1">
        <v>45382</v>
      </c>
      <c r="H3513" t="s">
        <v>6889</v>
      </c>
      <c r="I3513" t="s">
        <v>4980</v>
      </c>
      <c r="J3513" s="1">
        <v>45292</v>
      </c>
      <c r="K3513">
        <v>177665</v>
      </c>
    </row>
    <row r="3514" spans="5:11" x14ac:dyDescent="0.25">
      <c r="E3514" t="s">
        <v>6890</v>
      </c>
      <c r="F3514">
        <v>1652935</v>
      </c>
      <c r="G3514" s="1">
        <v>45382</v>
      </c>
      <c r="H3514" t="s">
        <v>6891</v>
      </c>
      <c r="I3514" t="s">
        <v>30</v>
      </c>
      <c r="J3514" s="1">
        <v>45292</v>
      </c>
      <c r="K3514">
        <v>-8296059</v>
      </c>
    </row>
    <row r="3515" spans="5:11" x14ac:dyDescent="0.25">
      <c r="E3515" t="s">
        <v>6892</v>
      </c>
      <c r="F3515">
        <v>1652958</v>
      </c>
      <c r="G3515" s="1">
        <v>45382</v>
      </c>
      <c r="H3515" t="s">
        <v>6893</v>
      </c>
      <c r="I3515" t="s">
        <v>33</v>
      </c>
      <c r="J3515" s="1">
        <v>45292</v>
      </c>
      <c r="K3515">
        <v>-451204</v>
      </c>
    </row>
    <row r="3516" spans="5:11" x14ac:dyDescent="0.25">
      <c r="E3516" t="s">
        <v>6894</v>
      </c>
      <c r="F3516">
        <v>1653087</v>
      </c>
      <c r="G3516" s="1">
        <v>45382</v>
      </c>
      <c r="H3516" t="s">
        <v>6895</v>
      </c>
      <c r="I3516" t="s">
        <v>36</v>
      </c>
      <c r="J3516" s="1">
        <v>45292</v>
      </c>
      <c r="K3516">
        <v>-36079000</v>
      </c>
    </row>
    <row r="3517" spans="5:11" x14ac:dyDescent="0.25">
      <c r="E3517" t="s">
        <v>6896</v>
      </c>
      <c r="F3517">
        <v>1653384</v>
      </c>
      <c r="G3517" s="1">
        <v>45382</v>
      </c>
      <c r="H3517" t="s">
        <v>6897</v>
      </c>
      <c r="I3517" t="s">
        <v>19</v>
      </c>
      <c r="J3517" s="1">
        <v>45292</v>
      </c>
      <c r="K3517">
        <v>12047000</v>
      </c>
    </row>
    <row r="3518" spans="5:11" x14ac:dyDescent="0.25">
      <c r="E3518" t="s">
        <v>10525</v>
      </c>
      <c r="F3518">
        <v>1653477</v>
      </c>
      <c r="G3518" s="1">
        <v>45382</v>
      </c>
      <c r="H3518" t="s">
        <v>6898</v>
      </c>
      <c r="I3518" t="s">
        <v>686</v>
      </c>
      <c r="J3518" s="1">
        <v>45292</v>
      </c>
      <c r="K3518">
        <v>-56000000</v>
      </c>
    </row>
    <row r="3519" spans="5:11" x14ac:dyDescent="0.25">
      <c r="E3519" t="s">
        <v>6899</v>
      </c>
      <c r="F3519">
        <v>1653482</v>
      </c>
      <c r="G3519" s="1">
        <v>45412</v>
      </c>
      <c r="H3519" t="s">
        <v>6900</v>
      </c>
      <c r="I3519" t="s">
        <v>186</v>
      </c>
      <c r="J3519" s="1">
        <v>45323</v>
      </c>
      <c r="K3519">
        <v>-54644000</v>
      </c>
    </row>
    <row r="3520" spans="5:11" x14ac:dyDescent="0.25">
      <c r="E3520" t="s">
        <v>6901</v>
      </c>
      <c r="F3520">
        <v>1653653</v>
      </c>
      <c r="G3520" s="1">
        <v>45382</v>
      </c>
      <c r="H3520" t="s">
        <v>6902</v>
      </c>
      <c r="I3520" t="s">
        <v>142</v>
      </c>
      <c r="J3520" s="1">
        <v>45292</v>
      </c>
      <c r="K3520">
        <v>42835000</v>
      </c>
    </row>
    <row r="3521" spans="5:11" x14ac:dyDescent="0.25">
      <c r="E3521" t="s">
        <v>6903</v>
      </c>
      <c r="F3521">
        <v>1653909</v>
      </c>
      <c r="G3521" s="1">
        <v>45382</v>
      </c>
      <c r="H3521" t="s">
        <v>6904</v>
      </c>
      <c r="I3521" t="s">
        <v>36</v>
      </c>
      <c r="J3521" s="1">
        <v>45292</v>
      </c>
      <c r="K3521">
        <v>-27331000</v>
      </c>
    </row>
    <row r="3522" spans="5:11" x14ac:dyDescent="0.25">
      <c r="E3522" t="s">
        <v>6905</v>
      </c>
      <c r="F3522">
        <v>1654151</v>
      </c>
      <c r="G3522" s="1">
        <v>45382</v>
      </c>
      <c r="H3522" t="s">
        <v>6906</v>
      </c>
      <c r="I3522" t="s">
        <v>24</v>
      </c>
      <c r="J3522" s="1">
        <v>45292</v>
      </c>
      <c r="K3522">
        <v>-45083000</v>
      </c>
    </row>
    <row r="3523" spans="5:11" x14ac:dyDescent="0.25">
      <c r="E3523" t="s">
        <v>6907</v>
      </c>
      <c r="F3523">
        <v>1654595</v>
      </c>
      <c r="G3523" s="1">
        <v>45382</v>
      </c>
      <c r="H3523" t="s">
        <v>6908</v>
      </c>
      <c r="I3523" t="s">
        <v>123</v>
      </c>
      <c r="J3523" s="1">
        <v>45292</v>
      </c>
      <c r="K3523">
        <v>1357398</v>
      </c>
    </row>
    <row r="3524" spans="5:11" x14ac:dyDescent="0.25">
      <c r="E3524" t="s">
        <v>6909</v>
      </c>
      <c r="F3524">
        <v>1655050</v>
      </c>
      <c r="G3524" s="1">
        <v>45382</v>
      </c>
      <c r="H3524" t="s">
        <v>6910</v>
      </c>
      <c r="I3524" t="s">
        <v>24</v>
      </c>
      <c r="J3524" s="1">
        <v>45292</v>
      </c>
      <c r="K3524">
        <v>35095000</v>
      </c>
    </row>
    <row r="3525" spans="5:11" x14ac:dyDescent="0.25">
      <c r="E3525" t="s">
        <v>6911</v>
      </c>
      <c r="F3525">
        <v>1655210</v>
      </c>
      <c r="G3525" s="1">
        <v>45381</v>
      </c>
      <c r="H3525" t="s">
        <v>6912</v>
      </c>
      <c r="I3525" t="s">
        <v>36</v>
      </c>
      <c r="J3525" s="1">
        <v>45292</v>
      </c>
      <c r="K3525">
        <v>-54361000</v>
      </c>
    </row>
    <row r="3526" spans="5:11" x14ac:dyDescent="0.25">
      <c r="E3526" t="s">
        <v>6913</v>
      </c>
      <c r="F3526">
        <v>1655759</v>
      </c>
      <c r="G3526" s="1">
        <v>45382</v>
      </c>
      <c r="H3526" t="s">
        <v>6914</v>
      </c>
      <c r="I3526" t="s">
        <v>27</v>
      </c>
      <c r="J3526" s="1">
        <v>45292</v>
      </c>
      <c r="K3526">
        <v>-69400000</v>
      </c>
    </row>
    <row r="3527" spans="5:11" x14ac:dyDescent="0.25">
      <c r="E3527" t="s">
        <v>6915</v>
      </c>
      <c r="F3527">
        <v>1655887</v>
      </c>
      <c r="G3527" s="1">
        <v>45382</v>
      </c>
      <c r="H3527" t="s">
        <v>6916</v>
      </c>
      <c r="I3527" t="s">
        <v>57</v>
      </c>
      <c r="J3527" s="1">
        <v>45292</v>
      </c>
      <c r="K3527">
        <v>27865000</v>
      </c>
    </row>
    <row r="3528" spans="5:11" x14ac:dyDescent="0.25">
      <c r="E3528" t="s">
        <v>6917</v>
      </c>
      <c r="F3528">
        <v>1655888</v>
      </c>
      <c r="G3528" s="1">
        <v>45382</v>
      </c>
      <c r="H3528" t="s">
        <v>6918</v>
      </c>
      <c r="I3528" t="s">
        <v>57</v>
      </c>
      <c r="J3528" s="1">
        <v>45292</v>
      </c>
      <c r="K3528">
        <v>182517000</v>
      </c>
    </row>
    <row r="3529" spans="5:11" x14ac:dyDescent="0.25">
      <c r="E3529" t="s">
        <v>6919</v>
      </c>
      <c r="F3529">
        <v>1656472</v>
      </c>
      <c r="G3529" s="1">
        <v>45382</v>
      </c>
      <c r="H3529" t="s">
        <v>6920</v>
      </c>
      <c r="I3529" t="s">
        <v>912</v>
      </c>
      <c r="J3529" s="1">
        <v>45292</v>
      </c>
      <c r="K3529">
        <v>-2241000</v>
      </c>
    </row>
    <row r="3530" spans="5:11" x14ac:dyDescent="0.25">
      <c r="E3530" t="s">
        <v>6921</v>
      </c>
      <c r="F3530">
        <v>1656634</v>
      </c>
      <c r="G3530" s="1">
        <v>45382</v>
      </c>
      <c r="H3530" t="s">
        <v>6922</v>
      </c>
      <c r="I3530" t="s">
        <v>36</v>
      </c>
      <c r="J3530" s="1">
        <v>45292</v>
      </c>
      <c r="K3530">
        <v>-40385000</v>
      </c>
    </row>
    <row r="3531" spans="5:11" x14ac:dyDescent="0.25">
      <c r="E3531" t="s">
        <v>6923</v>
      </c>
      <c r="F3531">
        <v>1657045</v>
      </c>
      <c r="G3531" s="1">
        <v>45382</v>
      </c>
      <c r="H3531" t="s">
        <v>6924</v>
      </c>
      <c r="I3531" t="s">
        <v>142</v>
      </c>
      <c r="J3531" s="1">
        <v>45292</v>
      </c>
      <c r="K3531">
        <v>-518963</v>
      </c>
    </row>
    <row r="3532" spans="5:11" x14ac:dyDescent="0.25">
      <c r="E3532" t="s">
        <v>6925</v>
      </c>
      <c r="F3532">
        <v>1657214</v>
      </c>
      <c r="G3532" s="1">
        <v>45382</v>
      </c>
      <c r="H3532" t="s">
        <v>6926</v>
      </c>
      <c r="I3532" t="s">
        <v>36</v>
      </c>
      <c r="J3532" s="1">
        <v>45292</v>
      </c>
      <c r="K3532">
        <v>3650150</v>
      </c>
    </row>
    <row r="3533" spans="5:11" x14ac:dyDescent="0.25">
      <c r="E3533" t="s">
        <v>6927</v>
      </c>
      <c r="F3533">
        <v>1657312</v>
      </c>
      <c r="G3533" s="1">
        <v>45382</v>
      </c>
      <c r="H3533" t="s">
        <v>6928</v>
      </c>
      <c r="I3533" t="s">
        <v>594</v>
      </c>
      <c r="J3533" s="1">
        <v>45292</v>
      </c>
      <c r="K3533">
        <v>-25794000</v>
      </c>
    </row>
    <row r="3534" spans="5:11" x14ac:dyDescent="0.25">
      <c r="E3534" t="s">
        <v>6929</v>
      </c>
      <c r="F3534">
        <v>1657573</v>
      </c>
      <c r="G3534" s="1">
        <v>45382</v>
      </c>
      <c r="H3534" t="s">
        <v>6930</v>
      </c>
      <c r="I3534" t="s">
        <v>299</v>
      </c>
      <c r="J3534" s="1">
        <v>45292</v>
      </c>
      <c r="K3534">
        <v>-16616000</v>
      </c>
    </row>
    <row r="3535" spans="5:11" x14ac:dyDescent="0.25">
      <c r="E3535" t="s">
        <v>6931</v>
      </c>
      <c r="F3535">
        <v>1657642</v>
      </c>
      <c r="G3535" s="1">
        <v>45382</v>
      </c>
      <c r="H3535" t="s">
        <v>6932</v>
      </c>
      <c r="I3535" t="s">
        <v>123</v>
      </c>
      <c r="J3535" s="1">
        <v>45292</v>
      </c>
      <c r="K3535">
        <v>2051000</v>
      </c>
    </row>
    <row r="3536" spans="5:11" x14ac:dyDescent="0.25">
      <c r="E3536" t="s">
        <v>6933</v>
      </c>
      <c r="F3536">
        <v>1657853</v>
      </c>
      <c r="G3536" s="1">
        <v>45382</v>
      </c>
      <c r="H3536" t="s">
        <v>6934</v>
      </c>
      <c r="I3536" t="s">
        <v>33</v>
      </c>
      <c r="J3536" s="1">
        <v>45292</v>
      </c>
      <c r="K3536">
        <v>-186000000</v>
      </c>
    </row>
    <row r="3537" spans="5:11" x14ac:dyDescent="0.25">
      <c r="E3537" t="s">
        <v>6935</v>
      </c>
      <c r="F3537">
        <v>1658247</v>
      </c>
      <c r="G3537" s="1">
        <v>45382</v>
      </c>
      <c r="H3537" t="s">
        <v>6936</v>
      </c>
      <c r="I3537" t="s">
        <v>36</v>
      </c>
      <c r="J3537" s="1">
        <v>45292</v>
      </c>
      <c r="K3537">
        <v>-66930000</v>
      </c>
    </row>
    <row r="3538" spans="5:11" x14ac:dyDescent="0.25">
      <c r="E3538" t="s">
        <v>6937</v>
      </c>
      <c r="F3538">
        <v>1658521</v>
      </c>
      <c r="G3538" s="1">
        <v>45382</v>
      </c>
      <c r="H3538" t="s">
        <v>6938</v>
      </c>
      <c r="I3538" t="s">
        <v>57</v>
      </c>
      <c r="J3538" s="1">
        <v>45292</v>
      </c>
      <c r="K3538">
        <v>-24453</v>
      </c>
    </row>
    <row r="3539" spans="5:11" x14ac:dyDescent="0.25">
      <c r="E3539" t="s">
        <v>6939</v>
      </c>
      <c r="F3539">
        <v>1658551</v>
      </c>
      <c r="G3539" s="1">
        <v>45382</v>
      </c>
      <c r="H3539" t="s">
        <v>6940</v>
      </c>
      <c r="I3539" t="s">
        <v>24</v>
      </c>
      <c r="J3539" s="1">
        <v>45292</v>
      </c>
      <c r="K3539">
        <v>-118793000</v>
      </c>
    </row>
    <row r="3540" spans="5:11" x14ac:dyDescent="0.25">
      <c r="E3540" t="s">
        <v>6941</v>
      </c>
      <c r="F3540">
        <v>1658566</v>
      </c>
      <c r="G3540" s="1">
        <v>45382</v>
      </c>
      <c r="H3540" t="s">
        <v>6942</v>
      </c>
      <c r="I3540" t="s">
        <v>30</v>
      </c>
      <c r="J3540" s="1">
        <v>45292</v>
      </c>
      <c r="K3540">
        <v>146575000</v>
      </c>
    </row>
    <row r="3541" spans="5:11" x14ac:dyDescent="0.25">
      <c r="E3541" t="s">
        <v>6943</v>
      </c>
      <c r="F3541">
        <v>1659166</v>
      </c>
      <c r="G3541" s="1">
        <v>45380</v>
      </c>
      <c r="H3541" t="s">
        <v>6944</v>
      </c>
      <c r="I3541" t="s">
        <v>504</v>
      </c>
      <c r="J3541" s="1">
        <v>45292</v>
      </c>
      <c r="K3541">
        <v>207400000</v>
      </c>
    </row>
    <row r="3542" spans="5:11" x14ac:dyDescent="0.25">
      <c r="E3542" t="s">
        <v>6945</v>
      </c>
      <c r="F3542">
        <v>1659323</v>
      </c>
      <c r="G3542" s="1">
        <v>45382</v>
      </c>
      <c r="H3542" t="s">
        <v>6946</v>
      </c>
      <c r="I3542" t="s">
        <v>927</v>
      </c>
      <c r="J3542" s="1">
        <v>45292</v>
      </c>
      <c r="K3542">
        <v>-7101000</v>
      </c>
    </row>
    <row r="3543" spans="5:11" x14ac:dyDescent="0.25">
      <c r="E3543" t="s">
        <v>6947</v>
      </c>
      <c r="F3543">
        <v>1659617</v>
      </c>
      <c r="G3543" s="1">
        <v>45382</v>
      </c>
      <c r="H3543" t="s">
        <v>6948</v>
      </c>
      <c r="I3543" t="s">
        <v>30</v>
      </c>
      <c r="J3543" s="1">
        <v>45292</v>
      </c>
      <c r="K3543">
        <v>-4970000</v>
      </c>
    </row>
    <row r="3544" spans="5:11" x14ac:dyDescent="0.25">
      <c r="E3544" t="s">
        <v>10526</v>
      </c>
      <c r="F3544">
        <v>1660134</v>
      </c>
      <c r="G3544" s="1">
        <v>45412</v>
      </c>
      <c r="H3544" t="s">
        <v>6949</v>
      </c>
      <c r="I3544" t="s">
        <v>36</v>
      </c>
      <c r="J3544" s="1">
        <v>45323</v>
      </c>
      <c r="K3544">
        <v>-40000000</v>
      </c>
    </row>
    <row r="3545" spans="5:11" x14ac:dyDescent="0.25">
      <c r="E3545" t="s">
        <v>6950</v>
      </c>
      <c r="F3545">
        <v>1660280</v>
      </c>
      <c r="G3545" s="1">
        <v>45382</v>
      </c>
      <c r="H3545" t="s">
        <v>6951</v>
      </c>
      <c r="I3545" t="s">
        <v>299</v>
      </c>
      <c r="J3545" s="1">
        <v>45292</v>
      </c>
      <c r="K3545">
        <v>-14386000</v>
      </c>
    </row>
    <row r="3546" spans="5:11" x14ac:dyDescent="0.25">
      <c r="E3546" t="s">
        <v>6952</v>
      </c>
      <c r="F3546">
        <v>1660334</v>
      </c>
      <c r="G3546" s="1">
        <v>45382</v>
      </c>
      <c r="H3546" t="s">
        <v>6953</v>
      </c>
      <c r="I3546" t="s">
        <v>39</v>
      </c>
      <c r="J3546" s="1">
        <v>45292</v>
      </c>
      <c r="K3546">
        <v>-20331000</v>
      </c>
    </row>
    <row r="3547" spans="5:11" x14ac:dyDescent="0.25">
      <c r="E3547" t="s">
        <v>6954</v>
      </c>
      <c r="F3547">
        <v>1660734</v>
      </c>
      <c r="G3547" s="1">
        <v>45382</v>
      </c>
      <c r="H3547" t="s">
        <v>6955</v>
      </c>
      <c r="I3547" t="s">
        <v>919</v>
      </c>
      <c r="J3547" s="1">
        <v>45292</v>
      </c>
      <c r="K3547">
        <v>125543000</v>
      </c>
    </row>
    <row r="3548" spans="5:11" x14ac:dyDescent="0.25">
      <c r="E3548" t="s">
        <v>6956</v>
      </c>
      <c r="F3548">
        <v>1661039</v>
      </c>
      <c r="G3548" s="1">
        <v>45382</v>
      </c>
      <c r="H3548" t="s">
        <v>6957</v>
      </c>
      <c r="I3548" t="s">
        <v>36</v>
      </c>
      <c r="J3548" s="1">
        <v>45292</v>
      </c>
      <c r="K3548">
        <v>-3275788</v>
      </c>
    </row>
    <row r="3549" spans="5:11" x14ac:dyDescent="0.25">
      <c r="E3549" t="s">
        <v>6958</v>
      </c>
      <c r="F3549">
        <v>1661053</v>
      </c>
      <c r="G3549" s="1">
        <v>45382</v>
      </c>
      <c r="H3549" t="s">
        <v>6959</v>
      </c>
      <c r="I3549" t="s">
        <v>36</v>
      </c>
      <c r="J3549" s="1">
        <v>45292</v>
      </c>
      <c r="K3549">
        <v>-4992000</v>
      </c>
    </row>
    <row r="3550" spans="5:11" x14ac:dyDescent="0.25">
      <c r="E3550" t="s">
        <v>6960</v>
      </c>
      <c r="F3550">
        <v>1661059</v>
      </c>
      <c r="G3550" s="1">
        <v>45382</v>
      </c>
      <c r="H3550" t="s">
        <v>6961</v>
      </c>
      <c r="I3550" t="s">
        <v>299</v>
      </c>
      <c r="J3550" s="1">
        <v>45292</v>
      </c>
      <c r="K3550">
        <v>-17107000</v>
      </c>
    </row>
    <row r="3551" spans="5:11" x14ac:dyDescent="0.25">
      <c r="E3551" t="s">
        <v>6962</v>
      </c>
      <c r="F3551">
        <v>1661181</v>
      </c>
      <c r="G3551" s="1">
        <v>45382</v>
      </c>
      <c r="H3551" t="s">
        <v>6963</v>
      </c>
      <c r="I3551" t="s">
        <v>24</v>
      </c>
      <c r="J3551" s="1">
        <v>45292</v>
      </c>
      <c r="K3551">
        <v>-2100000</v>
      </c>
    </row>
    <row r="3552" spans="5:11" x14ac:dyDescent="0.25">
      <c r="E3552" t="s">
        <v>6964</v>
      </c>
      <c r="F3552">
        <v>1661306</v>
      </c>
      <c r="G3552" s="1">
        <v>45382</v>
      </c>
      <c r="H3552" t="s">
        <v>6965</v>
      </c>
      <c r="I3552" t="s">
        <v>19</v>
      </c>
      <c r="J3552" s="1">
        <v>45292</v>
      </c>
      <c r="K3552">
        <v>487818</v>
      </c>
    </row>
    <row r="3553" spans="5:11" x14ac:dyDescent="0.25">
      <c r="E3553" t="s">
        <v>6966</v>
      </c>
      <c r="F3553">
        <v>1661458</v>
      </c>
      <c r="G3553" s="1">
        <v>45382</v>
      </c>
      <c r="H3553" t="s">
        <v>6967</v>
      </c>
      <c r="I3553" t="s">
        <v>19</v>
      </c>
      <c r="J3553" s="1">
        <v>45292</v>
      </c>
      <c r="K3553">
        <v>5043000</v>
      </c>
    </row>
    <row r="3554" spans="5:11" x14ac:dyDescent="0.25">
      <c r="E3554" t="s">
        <v>6968</v>
      </c>
      <c r="F3554">
        <v>1661460</v>
      </c>
      <c r="G3554" s="1">
        <v>45382</v>
      </c>
      <c r="H3554" t="s">
        <v>6969</v>
      </c>
      <c r="I3554" t="s">
        <v>36</v>
      </c>
      <c r="J3554" s="1">
        <v>45292</v>
      </c>
      <c r="K3554">
        <v>-24274000</v>
      </c>
    </row>
    <row r="3555" spans="5:11" x14ac:dyDescent="0.25">
      <c r="E3555" t="s">
        <v>6970</v>
      </c>
      <c r="F3555">
        <v>1661600</v>
      </c>
      <c r="G3555" s="1">
        <v>45382</v>
      </c>
      <c r="H3555" t="s">
        <v>6971</v>
      </c>
      <c r="I3555" t="s">
        <v>299</v>
      </c>
      <c r="J3555" s="1">
        <v>45292</v>
      </c>
      <c r="K3555">
        <v>70000</v>
      </c>
    </row>
    <row r="3556" spans="5:11" x14ac:dyDescent="0.25">
      <c r="E3556" t="s">
        <v>6972</v>
      </c>
      <c r="F3556">
        <v>1661779</v>
      </c>
      <c r="G3556" s="1">
        <v>45382</v>
      </c>
      <c r="H3556" t="s">
        <v>6973</v>
      </c>
      <c r="I3556" t="s">
        <v>36</v>
      </c>
      <c r="J3556" s="1">
        <v>45292</v>
      </c>
      <c r="K3556">
        <v>-4020586</v>
      </c>
    </row>
    <row r="3557" spans="5:11" x14ac:dyDescent="0.25">
      <c r="E3557" t="s">
        <v>6974</v>
      </c>
      <c r="F3557">
        <v>1661998</v>
      </c>
      <c r="G3557" s="1">
        <v>45382</v>
      </c>
      <c r="H3557" t="s">
        <v>6975</v>
      </c>
      <c r="I3557" t="s">
        <v>24</v>
      </c>
      <c r="J3557" s="1">
        <v>45292</v>
      </c>
      <c r="K3557">
        <v>1029000</v>
      </c>
    </row>
    <row r="3558" spans="5:11" x14ac:dyDescent="0.25">
      <c r="E3558" t="s">
        <v>6976</v>
      </c>
      <c r="F3558">
        <v>1662574</v>
      </c>
      <c r="G3558" s="1">
        <v>45382</v>
      </c>
      <c r="H3558" t="s">
        <v>6977</v>
      </c>
      <c r="I3558" t="s">
        <v>33</v>
      </c>
      <c r="J3558" s="1">
        <v>45292</v>
      </c>
      <c r="K3558">
        <v>-3961336</v>
      </c>
    </row>
    <row r="3559" spans="5:11" x14ac:dyDescent="0.25">
      <c r="E3559" t="s">
        <v>10527</v>
      </c>
      <c r="F3559">
        <v>1662579</v>
      </c>
      <c r="G3559" s="1">
        <v>45382</v>
      </c>
      <c r="H3559" t="s">
        <v>6978</v>
      </c>
      <c r="I3559" t="s">
        <v>24</v>
      </c>
      <c r="J3559" s="1">
        <v>45292</v>
      </c>
      <c r="K3559">
        <v>-28361000</v>
      </c>
    </row>
    <row r="3560" spans="5:11" x14ac:dyDescent="0.25">
      <c r="E3560" t="s">
        <v>6979</v>
      </c>
      <c r="F3560">
        <v>1662684</v>
      </c>
      <c r="G3560" s="1">
        <v>45382</v>
      </c>
      <c r="H3560" t="s">
        <v>6980</v>
      </c>
      <c r="I3560" t="s">
        <v>36</v>
      </c>
      <c r="J3560" s="1">
        <v>45292</v>
      </c>
      <c r="K3560">
        <v>-5008876</v>
      </c>
    </row>
    <row r="3561" spans="5:11" x14ac:dyDescent="0.25">
      <c r="E3561" t="s">
        <v>6981</v>
      </c>
      <c r="F3561">
        <v>1662774</v>
      </c>
      <c r="G3561" s="1">
        <v>45382</v>
      </c>
      <c r="H3561" t="s">
        <v>6982</v>
      </c>
      <c r="I3561" t="s">
        <v>36</v>
      </c>
      <c r="J3561" s="1">
        <v>45292</v>
      </c>
      <c r="K3561">
        <v>-11149000</v>
      </c>
    </row>
    <row r="3562" spans="5:11" x14ac:dyDescent="0.25">
      <c r="E3562" t="s">
        <v>6983</v>
      </c>
      <c r="F3562">
        <v>1662972</v>
      </c>
      <c r="G3562" s="1">
        <v>45382</v>
      </c>
      <c r="H3562" t="s">
        <v>6984</v>
      </c>
      <c r="I3562" t="s">
        <v>57</v>
      </c>
      <c r="J3562" s="1">
        <v>45292</v>
      </c>
      <c r="K3562">
        <v>-133013000</v>
      </c>
    </row>
    <row r="3563" spans="5:11" x14ac:dyDescent="0.25">
      <c r="E3563" t="s">
        <v>6985</v>
      </c>
      <c r="F3563">
        <v>1662991</v>
      </c>
      <c r="G3563" s="1">
        <v>45382</v>
      </c>
      <c r="H3563" t="s">
        <v>6986</v>
      </c>
      <c r="I3563" t="s">
        <v>213</v>
      </c>
      <c r="J3563" s="1">
        <v>45292</v>
      </c>
      <c r="K3563">
        <v>8007005</v>
      </c>
    </row>
    <row r="3564" spans="5:11" x14ac:dyDescent="0.25">
      <c r="E3564" t="s">
        <v>6987</v>
      </c>
      <c r="F3564">
        <v>1664710</v>
      </c>
      <c r="G3564" s="1">
        <v>45382</v>
      </c>
      <c r="H3564" t="s">
        <v>6988</v>
      </c>
      <c r="I3564" t="s">
        <v>24</v>
      </c>
      <c r="J3564" s="1">
        <v>45292</v>
      </c>
      <c r="K3564">
        <v>-43114000</v>
      </c>
    </row>
    <row r="3565" spans="5:11" x14ac:dyDescent="0.25">
      <c r="E3565" t="s">
        <v>6989</v>
      </c>
      <c r="F3565">
        <v>1664740</v>
      </c>
      <c r="G3565" s="1">
        <v>45382</v>
      </c>
      <c r="H3565" t="s">
        <v>6990</v>
      </c>
      <c r="I3565" t="s">
        <v>57</v>
      </c>
      <c r="J3565" s="1">
        <v>45292</v>
      </c>
      <c r="K3565">
        <v>119409</v>
      </c>
    </row>
    <row r="3566" spans="5:11" x14ac:dyDescent="0.25">
      <c r="E3566" t="s">
        <v>6991</v>
      </c>
      <c r="F3566">
        <v>1665300</v>
      </c>
      <c r="G3566" s="1">
        <v>45382</v>
      </c>
      <c r="H3566" t="s">
        <v>6992</v>
      </c>
      <c r="I3566" t="s">
        <v>30</v>
      </c>
      <c r="J3566" s="1">
        <v>45292</v>
      </c>
      <c r="K3566">
        <v>-2292000</v>
      </c>
    </row>
    <row r="3567" spans="5:11" x14ac:dyDescent="0.25">
      <c r="E3567" t="s">
        <v>6993</v>
      </c>
      <c r="F3567">
        <v>1665918</v>
      </c>
      <c r="G3567" s="1">
        <v>45381</v>
      </c>
      <c r="H3567" t="s">
        <v>6994</v>
      </c>
      <c r="I3567" t="s">
        <v>19</v>
      </c>
      <c r="J3567" s="1">
        <v>45291</v>
      </c>
      <c r="K3567">
        <v>82000000</v>
      </c>
    </row>
    <row r="3568" spans="5:11" x14ac:dyDescent="0.25">
      <c r="E3568" t="s">
        <v>6995</v>
      </c>
      <c r="F3568">
        <v>1665988</v>
      </c>
      <c r="G3568" s="1">
        <v>45381</v>
      </c>
      <c r="H3568" t="s">
        <v>6996</v>
      </c>
      <c r="I3568" t="s">
        <v>172</v>
      </c>
      <c r="J3568" s="1">
        <v>45292</v>
      </c>
      <c r="K3568">
        <v>-4570000</v>
      </c>
    </row>
    <row r="3569" spans="5:11" x14ac:dyDescent="0.25">
      <c r="E3569" t="s">
        <v>6997</v>
      </c>
      <c r="F3569">
        <v>1666071</v>
      </c>
      <c r="G3569" s="1">
        <v>45382</v>
      </c>
      <c r="H3569" t="s">
        <v>6998</v>
      </c>
      <c r="I3569" t="s">
        <v>64</v>
      </c>
      <c r="J3569" s="1">
        <v>45292</v>
      </c>
      <c r="K3569">
        <v>-24275000</v>
      </c>
    </row>
    <row r="3570" spans="5:11" x14ac:dyDescent="0.25">
      <c r="E3570" t="s">
        <v>6999</v>
      </c>
      <c r="F3570">
        <v>1666134</v>
      </c>
      <c r="G3570" s="1">
        <v>45382</v>
      </c>
      <c r="H3570" t="s">
        <v>7000</v>
      </c>
      <c r="I3570" t="s">
        <v>36</v>
      </c>
      <c r="J3570" s="1">
        <v>45292</v>
      </c>
      <c r="K3570">
        <v>10829000</v>
      </c>
    </row>
    <row r="3571" spans="5:11" x14ac:dyDescent="0.25">
      <c r="E3571" t="s">
        <v>7001</v>
      </c>
      <c r="F3571">
        <v>1666138</v>
      </c>
      <c r="G3571" s="1">
        <v>45380</v>
      </c>
      <c r="H3571" t="s">
        <v>7002</v>
      </c>
      <c r="I3571" t="s">
        <v>19</v>
      </c>
      <c r="J3571" s="1">
        <v>45290</v>
      </c>
      <c r="K3571">
        <v>137955000</v>
      </c>
    </row>
    <row r="3572" spans="5:11" x14ac:dyDescent="0.25">
      <c r="E3572" t="s">
        <v>7003</v>
      </c>
      <c r="F3572">
        <v>1666244</v>
      </c>
      <c r="G3572" s="1">
        <v>45382</v>
      </c>
      <c r="H3572" t="s">
        <v>7004</v>
      </c>
      <c r="I3572" t="s">
        <v>57</v>
      </c>
      <c r="J3572" s="1">
        <v>45292</v>
      </c>
      <c r="K3572">
        <v>-81353</v>
      </c>
    </row>
    <row r="3573" spans="5:11" x14ac:dyDescent="0.25">
      <c r="E3573" t="s">
        <v>7005</v>
      </c>
      <c r="F3573">
        <v>1666291</v>
      </c>
      <c r="G3573" s="1">
        <v>45382</v>
      </c>
      <c r="H3573" t="s">
        <v>7006</v>
      </c>
      <c r="I3573" t="s">
        <v>57</v>
      </c>
      <c r="J3573" s="1">
        <v>45292</v>
      </c>
      <c r="K3573">
        <v>-52795000</v>
      </c>
    </row>
    <row r="3574" spans="5:11" x14ac:dyDescent="0.25">
      <c r="E3574" t="s">
        <v>7007</v>
      </c>
      <c r="F3574">
        <v>1666700</v>
      </c>
      <c r="G3574" s="1">
        <v>45382</v>
      </c>
      <c r="H3574" t="s">
        <v>7008</v>
      </c>
      <c r="I3574" t="s">
        <v>186</v>
      </c>
      <c r="J3574" s="1">
        <v>45292</v>
      </c>
      <c r="K3574">
        <v>189000000</v>
      </c>
    </row>
    <row r="3575" spans="5:11" x14ac:dyDescent="0.25">
      <c r="E3575" t="s">
        <v>7009</v>
      </c>
      <c r="F3575">
        <v>1667011</v>
      </c>
      <c r="G3575" s="1">
        <v>45382</v>
      </c>
      <c r="H3575" t="s">
        <v>7010</v>
      </c>
      <c r="I3575" t="s">
        <v>36</v>
      </c>
      <c r="J3575" s="1">
        <v>45292</v>
      </c>
      <c r="K3575">
        <v>-9403000</v>
      </c>
    </row>
    <row r="3576" spans="5:11" x14ac:dyDescent="0.25">
      <c r="E3576" t="s">
        <v>7011</v>
      </c>
      <c r="F3576">
        <v>1667313</v>
      </c>
      <c r="G3576" s="1">
        <v>45412</v>
      </c>
      <c r="H3576" t="s">
        <v>7012</v>
      </c>
      <c r="I3576" t="s">
        <v>57</v>
      </c>
      <c r="J3576" s="1">
        <v>45323</v>
      </c>
      <c r="K3576">
        <v>113000</v>
      </c>
    </row>
    <row r="3577" spans="5:11" x14ac:dyDescent="0.25">
      <c r="E3577" t="s">
        <v>7013</v>
      </c>
      <c r="F3577">
        <v>1668010</v>
      </c>
      <c r="G3577" s="1">
        <v>45382</v>
      </c>
      <c r="H3577" t="s">
        <v>7014</v>
      </c>
      <c r="I3577" t="s">
        <v>30</v>
      </c>
      <c r="J3577" s="1">
        <v>45292</v>
      </c>
      <c r="K3577">
        <v>-683735</v>
      </c>
    </row>
    <row r="3578" spans="5:11" x14ac:dyDescent="0.25">
      <c r="E3578" t="s">
        <v>7015</v>
      </c>
      <c r="F3578">
        <v>1668243</v>
      </c>
      <c r="G3578" s="1">
        <v>45382</v>
      </c>
      <c r="H3578" t="s">
        <v>7016</v>
      </c>
      <c r="I3578" t="s">
        <v>46</v>
      </c>
      <c r="J3578" s="1">
        <v>45292</v>
      </c>
      <c r="K3578">
        <v>-32286000</v>
      </c>
    </row>
    <row r="3579" spans="5:11" x14ac:dyDescent="0.25">
      <c r="E3579" t="s">
        <v>7017</v>
      </c>
      <c r="F3579">
        <v>1668340</v>
      </c>
      <c r="G3579" s="1">
        <v>45382</v>
      </c>
      <c r="H3579" t="s">
        <v>7018</v>
      </c>
      <c r="I3579" t="s">
        <v>113</v>
      </c>
      <c r="J3579" s="1">
        <v>45292</v>
      </c>
      <c r="K3579">
        <v>-1539000</v>
      </c>
    </row>
    <row r="3580" spans="5:11" x14ac:dyDescent="0.25">
      <c r="E3580" t="s">
        <v>7019</v>
      </c>
      <c r="F3580">
        <v>1668397</v>
      </c>
      <c r="G3580" s="1">
        <v>45382</v>
      </c>
      <c r="H3580" t="s">
        <v>7020</v>
      </c>
      <c r="I3580" t="s">
        <v>60</v>
      </c>
      <c r="J3580" s="1">
        <v>45292</v>
      </c>
      <c r="K3580">
        <v>102591000</v>
      </c>
    </row>
    <row r="3581" spans="5:11" x14ac:dyDescent="0.25">
      <c r="E3581" t="s">
        <v>7021</v>
      </c>
      <c r="F3581">
        <v>1668523</v>
      </c>
      <c r="G3581" s="1">
        <v>45382</v>
      </c>
      <c r="H3581" t="s">
        <v>7022</v>
      </c>
      <c r="I3581" t="s">
        <v>2273</v>
      </c>
      <c r="J3581" s="1">
        <v>45292</v>
      </c>
      <c r="K3581">
        <v>-3100</v>
      </c>
    </row>
    <row r="3582" spans="5:11" x14ac:dyDescent="0.25">
      <c r="E3582" t="s">
        <v>7023</v>
      </c>
      <c r="F3582">
        <v>1668673</v>
      </c>
      <c r="G3582" s="1">
        <v>45382</v>
      </c>
      <c r="H3582" t="s">
        <v>7024</v>
      </c>
      <c r="I3582" t="s">
        <v>1071</v>
      </c>
      <c r="J3582" s="1">
        <v>45292</v>
      </c>
      <c r="K3582">
        <v>14907000</v>
      </c>
    </row>
    <row r="3583" spans="5:11" x14ac:dyDescent="0.25">
      <c r="E3583" t="s">
        <v>10528</v>
      </c>
      <c r="F3583">
        <v>1669162</v>
      </c>
      <c r="G3583" s="1">
        <v>45382</v>
      </c>
      <c r="H3583" t="s">
        <v>7025</v>
      </c>
      <c r="I3583" t="s">
        <v>123</v>
      </c>
      <c r="J3583" s="1">
        <v>45292</v>
      </c>
      <c r="K3583">
        <v>98941000</v>
      </c>
    </row>
    <row r="3584" spans="5:11" x14ac:dyDescent="0.25">
      <c r="E3584" t="s">
        <v>7026</v>
      </c>
      <c r="F3584">
        <v>1669779</v>
      </c>
      <c r="G3584" s="1">
        <v>45382</v>
      </c>
      <c r="H3584" t="s">
        <v>7027</v>
      </c>
      <c r="I3584" t="s">
        <v>19</v>
      </c>
      <c r="J3584" s="1">
        <v>45292</v>
      </c>
      <c r="K3584">
        <v>-22307000</v>
      </c>
    </row>
    <row r="3585" spans="5:11" x14ac:dyDescent="0.25">
      <c r="E3585" t="s">
        <v>7028</v>
      </c>
      <c r="F3585">
        <v>1669811</v>
      </c>
      <c r="G3585" s="1">
        <v>45382</v>
      </c>
      <c r="H3585" t="s">
        <v>7029</v>
      </c>
      <c r="I3585" t="s">
        <v>19</v>
      </c>
      <c r="J3585" s="1">
        <v>45292</v>
      </c>
      <c r="K3585">
        <v>33300000</v>
      </c>
    </row>
    <row r="3586" spans="5:11" x14ac:dyDescent="0.25">
      <c r="E3586" t="s">
        <v>10529</v>
      </c>
      <c r="F3586">
        <v>1670076</v>
      </c>
      <c r="G3586" s="1">
        <v>45382</v>
      </c>
      <c r="H3586" t="s">
        <v>7030</v>
      </c>
      <c r="I3586" t="s">
        <v>92</v>
      </c>
      <c r="J3586" s="1">
        <v>45292</v>
      </c>
      <c r="K3586">
        <v>-26000000</v>
      </c>
    </row>
    <row r="3587" spans="5:11" x14ac:dyDescent="0.25">
      <c r="E3587" t="s">
        <v>7031</v>
      </c>
      <c r="F3587">
        <v>1670541</v>
      </c>
      <c r="G3587" s="1">
        <v>45382</v>
      </c>
      <c r="H3587" t="s">
        <v>7032</v>
      </c>
      <c r="I3587" t="s">
        <v>927</v>
      </c>
      <c r="J3587" s="1">
        <v>45292</v>
      </c>
      <c r="K3587">
        <v>-70000000</v>
      </c>
    </row>
    <row r="3588" spans="5:11" x14ac:dyDescent="0.25">
      <c r="E3588" t="s">
        <v>7033</v>
      </c>
      <c r="F3588">
        <v>1670592</v>
      </c>
      <c r="G3588" s="1">
        <v>45381</v>
      </c>
      <c r="H3588" t="s">
        <v>7034</v>
      </c>
      <c r="I3588" t="s">
        <v>30</v>
      </c>
      <c r="J3588" s="1">
        <v>45291</v>
      </c>
      <c r="K3588">
        <v>15855000</v>
      </c>
    </row>
    <row r="3589" spans="5:11" x14ac:dyDescent="0.25">
      <c r="E3589" t="s">
        <v>7035</v>
      </c>
      <c r="F3589">
        <v>1671284</v>
      </c>
      <c r="G3589" s="1">
        <v>45382</v>
      </c>
      <c r="H3589" t="s">
        <v>7036</v>
      </c>
      <c r="I3589" t="s">
        <v>33</v>
      </c>
      <c r="J3589" s="1">
        <v>45292</v>
      </c>
      <c r="K3589">
        <v>-15914000</v>
      </c>
    </row>
    <row r="3590" spans="5:11" x14ac:dyDescent="0.25">
      <c r="E3590" t="s">
        <v>7037</v>
      </c>
      <c r="F3590">
        <v>1671502</v>
      </c>
      <c r="G3590" s="1">
        <v>45382</v>
      </c>
      <c r="H3590" t="s">
        <v>7038</v>
      </c>
      <c r="I3590" t="s">
        <v>123</v>
      </c>
      <c r="J3590" s="1">
        <v>45292</v>
      </c>
      <c r="K3590">
        <v>-2327280</v>
      </c>
    </row>
    <row r="3591" spans="5:11" x14ac:dyDescent="0.25">
      <c r="E3591" t="s">
        <v>7039</v>
      </c>
      <c r="F3591">
        <v>1671584</v>
      </c>
      <c r="G3591" s="1">
        <v>45382</v>
      </c>
      <c r="H3591" t="s">
        <v>7040</v>
      </c>
      <c r="I3591" t="s">
        <v>504</v>
      </c>
      <c r="J3591" s="1">
        <v>45292</v>
      </c>
      <c r="K3591">
        <v>-6834000</v>
      </c>
    </row>
    <row r="3592" spans="5:11" x14ac:dyDescent="0.25">
      <c r="E3592" t="s">
        <v>7041</v>
      </c>
      <c r="F3592">
        <v>1671858</v>
      </c>
      <c r="G3592" s="1">
        <v>45382</v>
      </c>
      <c r="H3592" t="s">
        <v>7042</v>
      </c>
      <c r="I3592" t="s">
        <v>36</v>
      </c>
      <c r="J3592" s="1">
        <v>45292</v>
      </c>
      <c r="K3592">
        <v>-10292000</v>
      </c>
    </row>
    <row r="3593" spans="5:11" x14ac:dyDescent="0.25">
      <c r="E3593" t="s">
        <v>7043</v>
      </c>
      <c r="F3593">
        <v>1671927</v>
      </c>
      <c r="G3593" s="1">
        <v>45382</v>
      </c>
      <c r="H3593" t="s">
        <v>7044</v>
      </c>
      <c r="I3593" t="s">
        <v>594</v>
      </c>
      <c r="J3593" s="1">
        <v>45292</v>
      </c>
      <c r="K3593">
        <v>-24436000</v>
      </c>
    </row>
    <row r="3594" spans="5:11" x14ac:dyDescent="0.25">
      <c r="E3594" t="s">
        <v>7045</v>
      </c>
      <c r="F3594">
        <v>1671933</v>
      </c>
      <c r="G3594" s="1">
        <v>45382</v>
      </c>
      <c r="H3594" t="s">
        <v>7046</v>
      </c>
      <c r="I3594" t="s">
        <v>36</v>
      </c>
      <c r="J3594" s="1">
        <v>45292</v>
      </c>
      <c r="K3594">
        <v>31660000</v>
      </c>
    </row>
    <row r="3595" spans="5:11" x14ac:dyDescent="0.25">
      <c r="E3595" t="s">
        <v>7047</v>
      </c>
      <c r="F3595">
        <v>1671941</v>
      </c>
      <c r="G3595" s="1">
        <v>45382</v>
      </c>
      <c r="H3595" t="s">
        <v>7048</v>
      </c>
      <c r="I3595" t="s">
        <v>406</v>
      </c>
      <c r="J3595" s="1">
        <v>45292</v>
      </c>
      <c r="K3595">
        <v>-14844084</v>
      </c>
    </row>
    <row r="3596" spans="5:11" x14ac:dyDescent="0.25">
      <c r="E3596" t="s">
        <v>7049</v>
      </c>
      <c r="F3596">
        <v>1672013</v>
      </c>
      <c r="G3596" s="1">
        <v>45382</v>
      </c>
      <c r="H3596" t="s">
        <v>7050</v>
      </c>
      <c r="I3596" t="s">
        <v>24</v>
      </c>
      <c r="J3596" s="1">
        <v>45292</v>
      </c>
      <c r="K3596">
        <v>87762000</v>
      </c>
    </row>
    <row r="3597" spans="5:11" x14ac:dyDescent="0.25">
      <c r="E3597" t="s">
        <v>7051</v>
      </c>
      <c r="F3597">
        <v>1672619</v>
      </c>
      <c r="G3597" s="1">
        <v>45382</v>
      </c>
      <c r="H3597" t="s">
        <v>7052</v>
      </c>
      <c r="I3597" t="s">
        <v>92</v>
      </c>
      <c r="J3597" s="1">
        <v>45292</v>
      </c>
      <c r="K3597">
        <v>-22738000</v>
      </c>
    </row>
    <row r="3598" spans="5:11" x14ac:dyDescent="0.25">
      <c r="E3598" t="s">
        <v>7053</v>
      </c>
      <c r="F3598">
        <v>1672688</v>
      </c>
      <c r="G3598" s="1">
        <v>45382</v>
      </c>
      <c r="H3598" t="s">
        <v>7054</v>
      </c>
      <c r="I3598" t="s">
        <v>504</v>
      </c>
      <c r="J3598" s="1">
        <v>45292</v>
      </c>
      <c r="K3598">
        <v>-21975000</v>
      </c>
    </row>
    <row r="3599" spans="5:11" x14ac:dyDescent="0.25">
      <c r="E3599" t="s">
        <v>7055</v>
      </c>
      <c r="F3599">
        <v>1672909</v>
      </c>
      <c r="G3599" s="1">
        <v>45382</v>
      </c>
      <c r="H3599" t="s">
        <v>7056</v>
      </c>
      <c r="I3599" t="s">
        <v>213</v>
      </c>
      <c r="J3599" s="1">
        <v>45292</v>
      </c>
      <c r="K3599">
        <v>998154</v>
      </c>
    </row>
    <row r="3600" spans="5:11" x14ac:dyDescent="0.25">
      <c r="E3600" t="s">
        <v>7057</v>
      </c>
      <c r="F3600">
        <v>1673358</v>
      </c>
      <c r="G3600" s="1">
        <v>45382</v>
      </c>
      <c r="H3600" t="s">
        <v>7058</v>
      </c>
      <c r="I3600" t="s">
        <v>30</v>
      </c>
      <c r="J3600" s="1">
        <v>45292</v>
      </c>
      <c r="K3600">
        <v>287000000</v>
      </c>
    </row>
    <row r="3601" spans="5:11" x14ac:dyDescent="0.25">
      <c r="E3601" t="s">
        <v>7059</v>
      </c>
      <c r="F3601">
        <v>1673481</v>
      </c>
      <c r="G3601" s="1">
        <v>45382</v>
      </c>
      <c r="H3601" t="s">
        <v>7060</v>
      </c>
      <c r="I3601" t="s">
        <v>30</v>
      </c>
      <c r="J3601" s="1">
        <v>45292</v>
      </c>
      <c r="K3601">
        <v>-5708979</v>
      </c>
    </row>
    <row r="3602" spans="5:11" x14ac:dyDescent="0.25">
      <c r="E3602" t="s">
        <v>7061</v>
      </c>
      <c r="F3602">
        <v>1673504</v>
      </c>
      <c r="G3602" s="1">
        <v>45382</v>
      </c>
      <c r="H3602" t="s">
        <v>7062</v>
      </c>
      <c r="I3602" t="s">
        <v>2273</v>
      </c>
      <c r="J3602" s="1">
        <v>45292</v>
      </c>
      <c r="K3602">
        <v>-9005</v>
      </c>
    </row>
    <row r="3603" spans="5:11" x14ac:dyDescent="0.25">
      <c r="E3603" t="s">
        <v>7063</v>
      </c>
      <c r="F3603">
        <v>1673772</v>
      </c>
      <c r="G3603" s="1">
        <v>45382</v>
      </c>
      <c r="H3603" t="s">
        <v>7064</v>
      </c>
      <c r="I3603" t="s">
        <v>36</v>
      </c>
      <c r="J3603" s="1">
        <v>45292</v>
      </c>
      <c r="K3603">
        <v>-30521000</v>
      </c>
    </row>
    <row r="3604" spans="5:11" x14ac:dyDescent="0.25">
      <c r="E3604" t="s">
        <v>7065</v>
      </c>
      <c r="F3604">
        <v>1673985</v>
      </c>
      <c r="G3604" s="1">
        <v>45382</v>
      </c>
      <c r="H3604" t="s">
        <v>7066</v>
      </c>
      <c r="I3604" t="s">
        <v>46</v>
      </c>
      <c r="J3604" s="1">
        <v>45292</v>
      </c>
      <c r="K3604">
        <v>-17396000</v>
      </c>
    </row>
    <row r="3605" spans="5:11" x14ac:dyDescent="0.25">
      <c r="E3605" t="s">
        <v>10530</v>
      </c>
      <c r="F3605">
        <v>1674101</v>
      </c>
      <c r="G3605" s="1">
        <v>45382</v>
      </c>
      <c r="H3605" t="s">
        <v>7067</v>
      </c>
      <c r="I3605" t="s">
        <v>60</v>
      </c>
      <c r="J3605" s="1">
        <v>45292</v>
      </c>
      <c r="K3605">
        <v>-5900000</v>
      </c>
    </row>
    <row r="3606" spans="5:11" x14ac:dyDescent="0.25">
      <c r="E3606" t="s">
        <v>7068</v>
      </c>
      <c r="F3606">
        <v>1674168</v>
      </c>
      <c r="G3606" s="1">
        <v>45382</v>
      </c>
      <c r="H3606" t="s">
        <v>7069</v>
      </c>
      <c r="I3606" t="s">
        <v>33</v>
      </c>
      <c r="J3606" s="1">
        <v>45292</v>
      </c>
      <c r="K3606">
        <v>-4000000</v>
      </c>
    </row>
    <row r="3607" spans="5:11" x14ac:dyDescent="0.25">
      <c r="E3607" t="s">
        <v>7070</v>
      </c>
      <c r="F3607">
        <v>1674227</v>
      </c>
      <c r="G3607" s="1">
        <v>45382</v>
      </c>
      <c r="H3607" t="s">
        <v>7071</v>
      </c>
      <c r="I3607" t="s">
        <v>33</v>
      </c>
      <c r="J3607" s="1">
        <v>45292</v>
      </c>
      <c r="K3607">
        <v>-178659</v>
      </c>
    </row>
    <row r="3608" spans="5:11" x14ac:dyDescent="0.25">
      <c r="E3608" t="s">
        <v>7072</v>
      </c>
      <c r="F3608">
        <v>1674335</v>
      </c>
      <c r="G3608" s="1">
        <v>45381</v>
      </c>
      <c r="H3608" t="s">
        <v>7073</v>
      </c>
      <c r="I3608" t="s">
        <v>172</v>
      </c>
      <c r="J3608" s="1">
        <v>45292</v>
      </c>
      <c r="K3608">
        <v>-27730000</v>
      </c>
    </row>
    <row r="3609" spans="5:11" x14ac:dyDescent="0.25">
      <c r="E3609" t="s">
        <v>7074</v>
      </c>
      <c r="F3609">
        <v>1674356</v>
      </c>
      <c r="G3609" s="1">
        <v>45382</v>
      </c>
      <c r="H3609" t="s">
        <v>7075</v>
      </c>
      <c r="I3609" t="s">
        <v>57</v>
      </c>
      <c r="J3609" s="1">
        <v>45292</v>
      </c>
      <c r="K3609">
        <v>-6183974</v>
      </c>
    </row>
    <row r="3610" spans="5:11" x14ac:dyDescent="0.25">
      <c r="E3610" t="s">
        <v>7076</v>
      </c>
      <c r="F3610">
        <v>1674416</v>
      </c>
      <c r="G3610" s="1">
        <v>45382</v>
      </c>
      <c r="H3610" t="s">
        <v>7077</v>
      </c>
      <c r="I3610" t="s">
        <v>2162</v>
      </c>
      <c r="J3610" s="1">
        <v>45292</v>
      </c>
      <c r="K3610">
        <v>-116591000</v>
      </c>
    </row>
    <row r="3611" spans="5:11" x14ac:dyDescent="0.25">
      <c r="E3611" t="s">
        <v>7078</v>
      </c>
      <c r="F3611">
        <v>1674760</v>
      </c>
      <c r="G3611" s="1">
        <v>45382</v>
      </c>
      <c r="H3611" t="s">
        <v>7079</v>
      </c>
      <c r="I3611" t="s">
        <v>57</v>
      </c>
      <c r="J3611" s="1">
        <v>45292</v>
      </c>
      <c r="K3611">
        <v>6513000</v>
      </c>
    </row>
    <row r="3612" spans="5:11" x14ac:dyDescent="0.25">
      <c r="E3612" t="s">
        <v>7080</v>
      </c>
      <c r="F3612">
        <v>1674910</v>
      </c>
      <c r="G3612" s="1">
        <v>45382</v>
      </c>
      <c r="H3612" t="s">
        <v>7081</v>
      </c>
      <c r="I3612" t="s">
        <v>190</v>
      </c>
      <c r="J3612" s="1">
        <v>45292</v>
      </c>
      <c r="K3612">
        <v>41400000</v>
      </c>
    </row>
    <row r="3613" spans="5:11" x14ac:dyDescent="0.25">
      <c r="E3613" t="s">
        <v>7082</v>
      </c>
      <c r="F3613">
        <v>1674930</v>
      </c>
      <c r="G3613" s="1">
        <v>45382</v>
      </c>
      <c r="H3613" t="s">
        <v>7083</v>
      </c>
      <c r="I3613" t="s">
        <v>36</v>
      </c>
      <c r="J3613" s="1">
        <v>45292</v>
      </c>
      <c r="K3613">
        <v>-13462000</v>
      </c>
    </row>
    <row r="3614" spans="5:11" x14ac:dyDescent="0.25">
      <c r="E3614" t="s">
        <v>7084</v>
      </c>
      <c r="F3614">
        <v>1675149</v>
      </c>
      <c r="G3614" s="1">
        <v>45382</v>
      </c>
      <c r="H3614" t="s">
        <v>7085</v>
      </c>
      <c r="I3614" t="s">
        <v>39</v>
      </c>
      <c r="J3614" s="1">
        <v>45292</v>
      </c>
      <c r="K3614">
        <v>-252000000</v>
      </c>
    </row>
    <row r="3615" spans="5:11" x14ac:dyDescent="0.25">
      <c r="E3615" t="s">
        <v>7086</v>
      </c>
      <c r="F3615">
        <v>1675634</v>
      </c>
      <c r="G3615" s="1">
        <v>45351</v>
      </c>
      <c r="H3615" t="s">
        <v>7087</v>
      </c>
      <c r="I3615" t="s">
        <v>33</v>
      </c>
      <c r="J3615" s="1">
        <v>45261</v>
      </c>
      <c r="K3615">
        <v>-4704000</v>
      </c>
    </row>
    <row r="3616" spans="5:11" x14ac:dyDescent="0.25">
      <c r="E3616" t="s">
        <v>7088</v>
      </c>
      <c r="F3616">
        <v>1675644</v>
      </c>
      <c r="G3616" s="1">
        <v>45382</v>
      </c>
      <c r="H3616" t="s">
        <v>7089</v>
      </c>
      <c r="I3616" t="s">
        <v>123</v>
      </c>
      <c r="J3616" s="1">
        <v>45292</v>
      </c>
      <c r="K3616">
        <v>1340000</v>
      </c>
    </row>
    <row r="3617" spans="5:11" x14ac:dyDescent="0.25">
      <c r="E3617" t="s">
        <v>7090</v>
      </c>
      <c r="F3617">
        <v>1676047</v>
      </c>
      <c r="G3617" s="1">
        <v>45412</v>
      </c>
      <c r="H3617" t="s">
        <v>7091</v>
      </c>
      <c r="I3617" t="s">
        <v>33</v>
      </c>
      <c r="J3617" s="1">
        <v>45323</v>
      </c>
      <c r="K3617">
        <v>-1898077</v>
      </c>
    </row>
    <row r="3618" spans="5:11" x14ac:dyDescent="0.25">
      <c r="E3618" t="s">
        <v>7092</v>
      </c>
      <c r="F3618">
        <v>1676163</v>
      </c>
      <c r="G3618" s="1">
        <v>45382</v>
      </c>
      <c r="H3618" t="s">
        <v>7093</v>
      </c>
      <c r="I3618" t="s">
        <v>7094</v>
      </c>
      <c r="J3618" s="1">
        <v>45292</v>
      </c>
      <c r="K3618">
        <v>-2647861</v>
      </c>
    </row>
    <row r="3619" spans="5:11" x14ac:dyDescent="0.25">
      <c r="E3619" t="s">
        <v>7095</v>
      </c>
      <c r="F3619">
        <v>1676238</v>
      </c>
      <c r="G3619" s="1">
        <v>45412</v>
      </c>
      <c r="H3619" t="s">
        <v>7096</v>
      </c>
      <c r="I3619" t="s">
        <v>57</v>
      </c>
      <c r="J3619" s="1">
        <v>45323</v>
      </c>
      <c r="K3619">
        <v>-35641000</v>
      </c>
    </row>
    <row r="3620" spans="5:11" x14ac:dyDescent="0.25">
      <c r="E3620" t="s">
        <v>7097</v>
      </c>
      <c r="F3620">
        <v>1676725</v>
      </c>
      <c r="G3620" s="1">
        <v>45382</v>
      </c>
      <c r="H3620" t="s">
        <v>7098</v>
      </c>
      <c r="I3620" t="s">
        <v>36</v>
      </c>
      <c r="J3620" s="1">
        <v>45292</v>
      </c>
      <c r="K3620">
        <v>-39572000</v>
      </c>
    </row>
    <row r="3621" spans="5:11" x14ac:dyDescent="0.25">
      <c r="E3621" t="s">
        <v>7099</v>
      </c>
      <c r="F3621">
        <v>1677576</v>
      </c>
      <c r="G3621" s="1">
        <v>45382</v>
      </c>
      <c r="H3621" t="s">
        <v>7100</v>
      </c>
      <c r="I3621" t="s">
        <v>406</v>
      </c>
      <c r="J3621" s="1">
        <v>45292</v>
      </c>
      <c r="K3621">
        <v>39428000</v>
      </c>
    </row>
    <row r="3622" spans="5:11" x14ac:dyDescent="0.25">
      <c r="E3622" t="s">
        <v>7101</v>
      </c>
      <c r="F3622">
        <v>1678660</v>
      </c>
      <c r="G3622" s="1">
        <v>45382</v>
      </c>
      <c r="H3622" t="s">
        <v>7102</v>
      </c>
      <c r="I3622" t="s">
        <v>186</v>
      </c>
      <c r="J3622" s="1">
        <v>45292</v>
      </c>
      <c r="K3622">
        <v>-31431000</v>
      </c>
    </row>
    <row r="3623" spans="5:11" x14ac:dyDescent="0.25">
      <c r="E3623" t="s">
        <v>7103</v>
      </c>
      <c r="F3623">
        <v>1678848</v>
      </c>
      <c r="G3623" s="1">
        <v>45382</v>
      </c>
      <c r="H3623" t="s">
        <v>7104</v>
      </c>
      <c r="I3623" t="s">
        <v>27</v>
      </c>
      <c r="J3623" s="1">
        <v>45292</v>
      </c>
      <c r="K3623">
        <v>221335</v>
      </c>
    </row>
    <row r="3624" spans="5:11" x14ac:dyDescent="0.25">
      <c r="E3624" t="s">
        <v>7105</v>
      </c>
      <c r="F3624">
        <v>1679049</v>
      </c>
      <c r="G3624" s="1">
        <v>45382</v>
      </c>
      <c r="H3624" t="s">
        <v>7106</v>
      </c>
      <c r="I3624" t="s">
        <v>57</v>
      </c>
      <c r="J3624" s="1">
        <v>45292</v>
      </c>
      <c r="K3624">
        <v>144490000</v>
      </c>
    </row>
    <row r="3625" spans="5:11" x14ac:dyDescent="0.25">
      <c r="E3625" t="s">
        <v>7107</v>
      </c>
      <c r="F3625">
        <v>1679063</v>
      </c>
      <c r="G3625" s="1">
        <v>45382</v>
      </c>
      <c r="H3625" t="s">
        <v>7108</v>
      </c>
      <c r="I3625" t="s">
        <v>27</v>
      </c>
      <c r="J3625" s="1">
        <v>45292</v>
      </c>
      <c r="K3625">
        <v>-48699807</v>
      </c>
    </row>
    <row r="3626" spans="5:11" x14ac:dyDescent="0.25">
      <c r="E3626" t="s">
        <v>7109</v>
      </c>
      <c r="F3626">
        <v>1679268</v>
      </c>
      <c r="G3626" s="1">
        <v>45382</v>
      </c>
      <c r="H3626" t="s">
        <v>7110</v>
      </c>
      <c r="I3626" t="s">
        <v>277</v>
      </c>
      <c r="J3626" s="1">
        <v>45292</v>
      </c>
      <c r="K3626">
        <v>-11811000</v>
      </c>
    </row>
    <row r="3627" spans="5:11" x14ac:dyDescent="0.25">
      <c r="E3627" t="s">
        <v>7111</v>
      </c>
      <c r="F3627">
        <v>1679273</v>
      </c>
      <c r="G3627" s="1">
        <v>45347</v>
      </c>
      <c r="H3627" t="s">
        <v>7112</v>
      </c>
      <c r="I3627" t="s">
        <v>1071</v>
      </c>
      <c r="J3627" s="1">
        <v>45257</v>
      </c>
      <c r="K3627">
        <v>146100000</v>
      </c>
    </row>
    <row r="3628" spans="5:11" x14ac:dyDescent="0.25">
      <c r="E3628" t="s">
        <v>7113</v>
      </c>
      <c r="F3628">
        <v>1679363</v>
      </c>
      <c r="G3628" s="1">
        <v>45382</v>
      </c>
      <c r="H3628" t="s">
        <v>7114</v>
      </c>
      <c r="I3628" t="s">
        <v>24</v>
      </c>
      <c r="J3628" s="1">
        <v>45292</v>
      </c>
      <c r="K3628">
        <v>-45294000</v>
      </c>
    </row>
    <row r="3629" spans="5:11" x14ac:dyDescent="0.25">
      <c r="E3629" t="s">
        <v>7115</v>
      </c>
      <c r="F3629">
        <v>1679688</v>
      </c>
      <c r="G3629" s="1">
        <v>45382</v>
      </c>
      <c r="H3629" t="s">
        <v>7116</v>
      </c>
      <c r="I3629" t="s">
        <v>33</v>
      </c>
      <c r="J3629" s="1">
        <v>45292</v>
      </c>
      <c r="K3629">
        <v>-29628000</v>
      </c>
    </row>
    <row r="3630" spans="5:11" x14ac:dyDescent="0.25">
      <c r="E3630" t="s">
        <v>7117</v>
      </c>
      <c r="F3630">
        <v>1679788</v>
      </c>
      <c r="G3630" s="1">
        <v>45382</v>
      </c>
      <c r="H3630" t="s">
        <v>7118</v>
      </c>
      <c r="I3630" t="s">
        <v>3015</v>
      </c>
      <c r="J3630" s="1">
        <v>45292</v>
      </c>
      <c r="K3630">
        <v>1176245000</v>
      </c>
    </row>
    <row r="3631" spans="5:11" x14ac:dyDescent="0.25">
      <c r="E3631" t="s">
        <v>7119</v>
      </c>
      <c r="F3631">
        <v>1680048</v>
      </c>
      <c r="G3631" s="1">
        <v>45382</v>
      </c>
      <c r="H3631" t="s">
        <v>7120</v>
      </c>
      <c r="I3631" t="s">
        <v>24</v>
      </c>
      <c r="J3631" s="1">
        <v>45292</v>
      </c>
      <c r="K3631">
        <v>-5191000</v>
      </c>
    </row>
    <row r="3632" spans="5:11" x14ac:dyDescent="0.25">
      <c r="E3632" t="s">
        <v>7121</v>
      </c>
      <c r="F3632">
        <v>1680062</v>
      </c>
      <c r="G3632" s="1">
        <v>45382</v>
      </c>
      <c r="H3632" t="s">
        <v>7122</v>
      </c>
      <c r="I3632" t="s">
        <v>36</v>
      </c>
      <c r="J3632" s="1">
        <v>45292</v>
      </c>
      <c r="K3632">
        <v>17433000</v>
      </c>
    </row>
    <row r="3633" spans="5:11" x14ac:dyDescent="0.25">
      <c r="E3633" t="s">
        <v>7123</v>
      </c>
      <c r="F3633">
        <v>1680132</v>
      </c>
      <c r="G3633" s="1">
        <v>45351</v>
      </c>
      <c r="H3633" t="s">
        <v>7124</v>
      </c>
      <c r="I3633" t="s">
        <v>33</v>
      </c>
      <c r="J3633" s="1">
        <v>45261</v>
      </c>
      <c r="K3633">
        <v>-67974</v>
      </c>
    </row>
    <row r="3634" spans="5:11" x14ac:dyDescent="0.25">
      <c r="E3634" t="s">
        <v>7125</v>
      </c>
      <c r="F3634">
        <v>1680139</v>
      </c>
      <c r="G3634" s="1">
        <v>45382</v>
      </c>
      <c r="H3634" t="s">
        <v>7126</v>
      </c>
      <c r="I3634" t="s">
        <v>33</v>
      </c>
      <c r="J3634" s="1">
        <v>45292</v>
      </c>
      <c r="K3634">
        <v>-1387718</v>
      </c>
    </row>
    <row r="3635" spans="5:11" x14ac:dyDescent="0.25">
      <c r="E3635" t="s">
        <v>10531</v>
      </c>
      <c r="F3635">
        <v>1680247</v>
      </c>
      <c r="G3635" s="1">
        <v>45382</v>
      </c>
      <c r="H3635" t="s">
        <v>7127</v>
      </c>
      <c r="I3635" t="s">
        <v>30</v>
      </c>
      <c r="J3635" s="1">
        <v>45292</v>
      </c>
      <c r="K3635">
        <v>19930000</v>
      </c>
    </row>
    <row r="3636" spans="5:11" x14ac:dyDescent="0.25">
      <c r="E3636" t="s">
        <v>7128</v>
      </c>
      <c r="F3636">
        <v>1680367</v>
      </c>
      <c r="G3636" s="1">
        <v>45382</v>
      </c>
      <c r="H3636" t="s">
        <v>7129</v>
      </c>
      <c r="I3636" t="s">
        <v>30</v>
      </c>
      <c r="J3636" s="1">
        <v>45292</v>
      </c>
      <c r="K3636">
        <v>-18504000</v>
      </c>
    </row>
    <row r="3637" spans="5:11" x14ac:dyDescent="0.25">
      <c r="E3637" t="s">
        <v>7130</v>
      </c>
      <c r="F3637">
        <v>1680378</v>
      </c>
      <c r="G3637" s="1">
        <v>45382</v>
      </c>
      <c r="H3637" t="s">
        <v>7131</v>
      </c>
      <c r="I3637" t="s">
        <v>113</v>
      </c>
      <c r="J3637" s="1">
        <v>45292</v>
      </c>
      <c r="K3637">
        <v>-1832000</v>
      </c>
    </row>
    <row r="3638" spans="5:11" x14ac:dyDescent="0.25">
      <c r="E3638" t="s">
        <v>7132</v>
      </c>
      <c r="F3638">
        <v>1680379</v>
      </c>
      <c r="G3638" s="1">
        <v>45382</v>
      </c>
      <c r="H3638" t="s">
        <v>7133</v>
      </c>
      <c r="I3638" t="s">
        <v>329</v>
      </c>
      <c r="J3638" s="1">
        <v>45292</v>
      </c>
      <c r="K3638">
        <v>-197000</v>
      </c>
    </row>
    <row r="3639" spans="5:11" x14ac:dyDescent="0.25">
      <c r="E3639" t="s">
        <v>7134</v>
      </c>
      <c r="F3639">
        <v>1680581</v>
      </c>
      <c r="G3639" s="1">
        <v>45382</v>
      </c>
      <c r="H3639" t="s">
        <v>7135</v>
      </c>
      <c r="I3639" t="s">
        <v>24</v>
      </c>
      <c r="J3639" s="1">
        <v>45292</v>
      </c>
      <c r="K3639">
        <v>-26870000</v>
      </c>
    </row>
    <row r="3640" spans="5:11" x14ac:dyDescent="0.25">
      <c r="E3640" t="s">
        <v>7136</v>
      </c>
      <c r="F3640">
        <v>1680873</v>
      </c>
      <c r="G3640" s="1">
        <v>45382</v>
      </c>
      <c r="H3640" t="s">
        <v>7137</v>
      </c>
      <c r="I3640" t="s">
        <v>142</v>
      </c>
      <c r="J3640" s="1">
        <v>45292</v>
      </c>
      <c r="K3640">
        <v>-694000</v>
      </c>
    </row>
    <row r="3641" spans="5:11" x14ac:dyDescent="0.25">
      <c r="E3641" t="s">
        <v>7138</v>
      </c>
      <c r="F3641">
        <v>1681087</v>
      </c>
      <c r="G3641" s="1">
        <v>45382</v>
      </c>
      <c r="H3641" t="s">
        <v>7139</v>
      </c>
      <c r="I3641" t="s">
        <v>24</v>
      </c>
      <c r="J3641" s="1">
        <v>45292</v>
      </c>
      <c r="K3641">
        <v>-15221000</v>
      </c>
    </row>
    <row r="3642" spans="5:11" x14ac:dyDescent="0.25">
      <c r="E3642" t="s">
        <v>7140</v>
      </c>
      <c r="F3642">
        <v>1681206</v>
      </c>
      <c r="G3642" s="1">
        <v>45382</v>
      </c>
      <c r="H3642" t="s">
        <v>7141</v>
      </c>
      <c r="I3642" t="s">
        <v>518</v>
      </c>
      <c r="J3642" s="1">
        <v>45292</v>
      </c>
      <c r="K3642">
        <v>6419000</v>
      </c>
    </row>
    <row r="3643" spans="5:11" x14ac:dyDescent="0.25">
      <c r="E3643" t="s">
        <v>7142</v>
      </c>
      <c r="F3643">
        <v>1681459</v>
      </c>
      <c r="G3643" s="1">
        <v>45382</v>
      </c>
      <c r="H3643" t="s">
        <v>7143</v>
      </c>
      <c r="I3643" t="s">
        <v>30</v>
      </c>
      <c r="J3643" s="1">
        <v>45292</v>
      </c>
      <c r="K3643">
        <v>157100000</v>
      </c>
    </row>
    <row r="3644" spans="5:11" x14ac:dyDescent="0.25">
      <c r="E3644" t="s">
        <v>7144</v>
      </c>
      <c r="F3644">
        <v>1681622</v>
      </c>
      <c r="G3644" s="1">
        <v>45380</v>
      </c>
      <c r="H3644" t="s">
        <v>7145</v>
      </c>
      <c r="I3644" t="s">
        <v>406</v>
      </c>
      <c r="J3644" s="1">
        <v>45290</v>
      </c>
      <c r="K3644">
        <v>1400000</v>
      </c>
    </row>
    <row r="3645" spans="5:11" x14ac:dyDescent="0.25">
      <c r="E3645" t="s">
        <v>7146</v>
      </c>
      <c r="F3645">
        <v>1681682</v>
      </c>
      <c r="G3645" s="1">
        <v>45382</v>
      </c>
      <c r="H3645" t="s">
        <v>7147</v>
      </c>
      <c r="I3645" t="s">
        <v>329</v>
      </c>
      <c r="J3645" s="1">
        <v>45292</v>
      </c>
      <c r="K3645">
        <v>-2775700</v>
      </c>
    </row>
    <row r="3646" spans="5:11" x14ac:dyDescent="0.25">
      <c r="E3646" t="s">
        <v>7148</v>
      </c>
      <c r="F3646">
        <v>1681903</v>
      </c>
      <c r="G3646" s="1">
        <v>45382</v>
      </c>
      <c r="H3646" t="s">
        <v>7149</v>
      </c>
      <c r="I3646" t="s">
        <v>19</v>
      </c>
      <c r="J3646" s="1">
        <v>45292</v>
      </c>
      <c r="K3646">
        <v>2239205</v>
      </c>
    </row>
    <row r="3647" spans="5:11" x14ac:dyDescent="0.25">
      <c r="E3647" t="s">
        <v>7150</v>
      </c>
      <c r="F3647">
        <v>1682149</v>
      </c>
      <c r="G3647" s="1">
        <v>45382</v>
      </c>
      <c r="H3647" t="s">
        <v>7151</v>
      </c>
      <c r="I3647" t="s">
        <v>963</v>
      </c>
      <c r="J3647" s="1">
        <v>45292</v>
      </c>
      <c r="K3647">
        <v>2707000</v>
      </c>
    </row>
    <row r="3648" spans="5:11" x14ac:dyDescent="0.25">
      <c r="E3648" t="s">
        <v>7152</v>
      </c>
      <c r="F3648">
        <v>1682220</v>
      </c>
      <c r="G3648" s="1">
        <v>45382</v>
      </c>
      <c r="H3648" t="s">
        <v>7153</v>
      </c>
      <c r="I3648" t="s">
        <v>27</v>
      </c>
      <c r="J3648" s="1">
        <v>45292</v>
      </c>
      <c r="K3648">
        <v>4670225</v>
      </c>
    </row>
    <row r="3649" spans="5:11" x14ac:dyDescent="0.25">
      <c r="E3649" t="s">
        <v>7154</v>
      </c>
      <c r="F3649">
        <v>1682265</v>
      </c>
      <c r="G3649" s="1">
        <v>45382</v>
      </c>
      <c r="H3649" t="s">
        <v>7155</v>
      </c>
      <c r="I3649" t="s">
        <v>36</v>
      </c>
      <c r="J3649" s="1">
        <v>45292</v>
      </c>
      <c r="K3649">
        <v>125301</v>
      </c>
    </row>
    <row r="3650" spans="5:11" x14ac:dyDescent="0.25">
      <c r="E3650" t="s">
        <v>7156</v>
      </c>
      <c r="F3650">
        <v>1682639</v>
      </c>
      <c r="G3650" s="1">
        <v>45382</v>
      </c>
      <c r="H3650" t="s">
        <v>7157</v>
      </c>
      <c r="I3650" t="s">
        <v>57</v>
      </c>
      <c r="J3650" s="1">
        <v>45292</v>
      </c>
      <c r="K3650">
        <v>-10922101</v>
      </c>
    </row>
    <row r="3651" spans="5:11" x14ac:dyDescent="0.25">
      <c r="E3651" t="s">
        <v>10532</v>
      </c>
      <c r="F3651">
        <v>1682745</v>
      </c>
      <c r="G3651" s="1">
        <v>45382</v>
      </c>
      <c r="H3651" t="s">
        <v>7158</v>
      </c>
      <c r="I3651" t="s">
        <v>113</v>
      </c>
      <c r="J3651" s="1">
        <v>45292</v>
      </c>
      <c r="K3651">
        <v>29149000</v>
      </c>
    </row>
    <row r="3652" spans="5:11" x14ac:dyDescent="0.25">
      <c r="E3652" t="s">
        <v>7159</v>
      </c>
      <c r="F3652">
        <v>1682852</v>
      </c>
      <c r="G3652" s="1">
        <v>45382</v>
      </c>
      <c r="H3652" t="s">
        <v>7160</v>
      </c>
      <c r="I3652" t="s">
        <v>24</v>
      </c>
      <c r="J3652" s="1">
        <v>45292</v>
      </c>
      <c r="K3652">
        <v>-1175000000</v>
      </c>
    </row>
    <row r="3653" spans="5:11" x14ac:dyDescent="0.25">
      <c r="E3653" t="s">
        <v>7161</v>
      </c>
      <c r="F3653">
        <v>1683252</v>
      </c>
      <c r="G3653" s="1">
        <v>45382</v>
      </c>
      <c r="H3653" t="s">
        <v>7162</v>
      </c>
      <c r="I3653" t="s">
        <v>33</v>
      </c>
      <c r="J3653" s="1">
        <v>45292</v>
      </c>
      <c r="K3653">
        <v>-20906</v>
      </c>
    </row>
    <row r="3654" spans="5:11" x14ac:dyDescent="0.25">
      <c r="E3654" t="s">
        <v>7163</v>
      </c>
      <c r="F3654">
        <v>1683553</v>
      </c>
      <c r="G3654" s="1">
        <v>45382</v>
      </c>
      <c r="H3654" t="s">
        <v>7164</v>
      </c>
      <c r="I3654" t="s">
        <v>36</v>
      </c>
      <c r="J3654" s="1">
        <v>45292</v>
      </c>
      <c r="K3654">
        <v>-11625000</v>
      </c>
    </row>
    <row r="3655" spans="5:11" x14ac:dyDescent="0.25">
      <c r="E3655" t="s">
        <v>7165</v>
      </c>
      <c r="F3655">
        <v>1683606</v>
      </c>
      <c r="G3655" s="1">
        <v>45382</v>
      </c>
      <c r="H3655" t="s">
        <v>7166</v>
      </c>
      <c r="I3655" t="s">
        <v>19</v>
      </c>
      <c r="J3655" s="1">
        <v>45292</v>
      </c>
      <c r="K3655">
        <v>784000</v>
      </c>
    </row>
    <row r="3656" spans="5:11" x14ac:dyDescent="0.25">
      <c r="E3656" t="s">
        <v>7167</v>
      </c>
      <c r="F3656">
        <v>1683695</v>
      </c>
      <c r="G3656" s="1">
        <v>45382</v>
      </c>
      <c r="H3656" t="s">
        <v>7168</v>
      </c>
      <c r="I3656" t="s">
        <v>33</v>
      </c>
      <c r="J3656" s="1">
        <v>45292</v>
      </c>
      <c r="K3656">
        <v>12106000</v>
      </c>
    </row>
    <row r="3657" spans="5:11" x14ac:dyDescent="0.25">
      <c r="E3657" t="s">
        <v>7169</v>
      </c>
      <c r="F3657">
        <v>1684144</v>
      </c>
      <c r="G3657" s="1">
        <v>45382</v>
      </c>
      <c r="H3657" t="s">
        <v>7170</v>
      </c>
      <c r="I3657" t="s">
        <v>329</v>
      </c>
      <c r="J3657" s="1">
        <v>45292</v>
      </c>
      <c r="K3657">
        <v>-9160000</v>
      </c>
    </row>
    <row r="3658" spans="5:11" x14ac:dyDescent="0.25">
      <c r="E3658" t="s">
        <v>7171</v>
      </c>
      <c r="F3658">
        <v>1684682</v>
      </c>
      <c r="G3658" s="1">
        <v>45382</v>
      </c>
      <c r="H3658" t="s">
        <v>7172</v>
      </c>
      <c r="I3658" t="s">
        <v>33</v>
      </c>
      <c r="J3658" s="1">
        <v>45292</v>
      </c>
      <c r="K3658">
        <v>20951000</v>
      </c>
    </row>
    <row r="3659" spans="5:11" x14ac:dyDescent="0.25">
      <c r="E3659" t="s">
        <v>7173</v>
      </c>
      <c r="F3659">
        <v>1685040</v>
      </c>
      <c r="G3659" s="1">
        <v>45382</v>
      </c>
      <c r="H3659" t="s">
        <v>7174</v>
      </c>
      <c r="I3659" t="s">
        <v>172</v>
      </c>
      <c r="J3659" s="1">
        <v>45292</v>
      </c>
      <c r="K3659">
        <v>-493000000</v>
      </c>
    </row>
    <row r="3660" spans="5:11" x14ac:dyDescent="0.25">
      <c r="E3660" t="s">
        <v>7175</v>
      </c>
      <c r="F3660">
        <v>1685766</v>
      </c>
      <c r="G3660" s="1">
        <v>45382</v>
      </c>
      <c r="H3660" t="s">
        <v>7176</v>
      </c>
      <c r="I3660" t="s">
        <v>113</v>
      </c>
      <c r="J3660" s="1">
        <v>45292</v>
      </c>
      <c r="K3660">
        <v>-37496</v>
      </c>
    </row>
    <row r="3661" spans="5:11" x14ac:dyDescent="0.25">
      <c r="E3661" t="s">
        <v>7177</v>
      </c>
      <c r="F3661">
        <v>1686850</v>
      </c>
      <c r="G3661" s="1">
        <v>45382</v>
      </c>
      <c r="H3661" t="s">
        <v>7178</v>
      </c>
      <c r="I3661" t="s">
        <v>33</v>
      </c>
      <c r="J3661" s="1">
        <v>45292</v>
      </c>
      <c r="K3661">
        <v>-2113000</v>
      </c>
    </row>
    <row r="3662" spans="5:11" x14ac:dyDescent="0.25">
      <c r="E3662" t="s">
        <v>7179</v>
      </c>
      <c r="F3662">
        <v>1687187</v>
      </c>
      <c r="G3662" s="1">
        <v>45382</v>
      </c>
      <c r="H3662" t="s">
        <v>7180</v>
      </c>
      <c r="I3662" t="s">
        <v>190</v>
      </c>
      <c r="J3662" s="1">
        <v>45292</v>
      </c>
      <c r="K3662">
        <v>2032000</v>
      </c>
    </row>
    <row r="3663" spans="5:11" x14ac:dyDescent="0.25">
      <c r="E3663" t="s">
        <v>7181</v>
      </c>
      <c r="F3663">
        <v>1687221</v>
      </c>
      <c r="G3663" s="1">
        <v>45412</v>
      </c>
      <c r="H3663" t="s">
        <v>7182</v>
      </c>
      <c r="I3663" t="s">
        <v>83</v>
      </c>
      <c r="J3663" s="1">
        <v>45323</v>
      </c>
      <c r="K3663">
        <v>15200000</v>
      </c>
    </row>
    <row r="3664" spans="5:11" x14ac:dyDescent="0.25">
      <c r="E3664" t="s">
        <v>7183</v>
      </c>
      <c r="F3664">
        <v>1687229</v>
      </c>
      <c r="G3664" s="1">
        <v>45382</v>
      </c>
      <c r="H3664" t="s">
        <v>7184</v>
      </c>
      <c r="I3664" t="s">
        <v>30</v>
      </c>
      <c r="J3664" s="1">
        <v>45292</v>
      </c>
      <c r="K3664">
        <v>142350000</v>
      </c>
    </row>
    <row r="3665" spans="5:11" x14ac:dyDescent="0.25">
      <c r="E3665" t="s">
        <v>7185</v>
      </c>
      <c r="F3665">
        <v>1687919</v>
      </c>
      <c r="G3665" s="1">
        <v>45382</v>
      </c>
      <c r="H3665" t="s">
        <v>7186</v>
      </c>
      <c r="I3665" t="s">
        <v>36</v>
      </c>
      <c r="J3665" s="1">
        <v>45292</v>
      </c>
      <c r="K3665">
        <v>-584338</v>
      </c>
    </row>
    <row r="3666" spans="5:11" x14ac:dyDescent="0.25">
      <c r="E3666" t="s">
        <v>7187</v>
      </c>
      <c r="F3666">
        <v>1687926</v>
      </c>
      <c r="G3666" s="1">
        <v>45382</v>
      </c>
      <c r="H3666" t="s">
        <v>7188</v>
      </c>
      <c r="I3666" t="s">
        <v>57</v>
      </c>
      <c r="J3666" s="1">
        <v>45292</v>
      </c>
      <c r="K3666">
        <v>-161733</v>
      </c>
    </row>
    <row r="3667" spans="5:11" x14ac:dyDescent="0.25">
      <c r="E3667" t="s">
        <v>10533</v>
      </c>
      <c r="F3667">
        <v>1687932</v>
      </c>
      <c r="G3667" s="1">
        <v>45416</v>
      </c>
      <c r="H3667" t="s">
        <v>7189</v>
      </c>
      <c r="I3667" t="s">
        <v>24</v>
      </c>
      <c r="J3667" s="1">
        <v>45326</v>
      </c>
      <c r="K3667">
        <v>16696000</v>
      </c>
    </row>
    <row r="3668" spans="5:11" x14ac:dyDescent="0.25">
      <c r="E3668" t="s">
        <v>7190</v>
      </c>
      <c r="F3668">
        <v>1688126</v>
      </c>
      <c r="G3668" s="1">
        <v>45382</v>
      </c>
      <c r="H3668" t="s">
        <v>7191</v>
      </c>
      <c r="I3668" t="s">
        <v>36</v>
      </c>
      <c r="J3668" s="1">
        <v>45292</v>
      </c>
      <c r="K3668">
        <v>-1102738</v>
      </c>
    </row>
    <row r="3669" spans="5:11" x14ac:dyDescent="0.25">
      <c r="E3669" t="s">
        <v>7192</v>
      </c>
      <c r="F3669">
        <v>1688757</v>
      </c>
      <c r="G3669" s="1">
        <v>45382</v>
      </c>
      <c r="H3669" t="s">
        <v>7193</v>
      </c>
      <c r="I3669" t="s">
        <v>7194</v>
      </c>
      <c r="J3669" s="1">
        <v>45292</v>
      </c>
      <c r="K3669">
        <v>-16202000</v>
      </c>
    </row>
    <row r="3670" spans="5:11" x14ac:dyDescent="0.25">
      <c r="E3670" t="s">
        <v>7195</v>
      </c>
      <c r="F3670">
        <v>1689084</v>
      </c>
      <c r="G3670" s="1">
        <v>45382</v>
      </c>
      <c r="H3670" t="s">
        <v>7196</v>
      </c>
      <c r="I3670" t="s">
        <v>57</v>
      </c>
      <c r="J3670" s="1">
        <v>45292</v>
      </c>
      <c r="K3670">
        <v>-42616</v>
      </c>
    </row>
    <row r="3671" spans="5:11" x14ac:dyDescent="0.25">
      <c r="E3671" t="s">
        <v>7197</v>
      </c>
      <c r="F3671">
        <v>1689375</v>
      </c>
      <c r="G3671" s="1">
        <v>45382</v>
      </c>
      <c r="H3671" t="s">
        <v>7198</v>
      </c>
      <c r="I3671" t="s">
        <v>24</v>
      </c>
      <c r="J3671" s="1">
        <v>45292</v>
      </c>
      <c r="K3671">
        <v>23496000</v>
      </c>
    </row>
    <row r="3672" spans="5:11" x14ac:dyDescent="0.25">
      <c r="E3672" t="s">
        <v>7199</v>
      </c>
      <c r="F3672">
        <v>1689548</v>
      </c>
      <c r="G3672" s="1">
        <v>45382</v>
      </c>
      <c r="H3672" t="s">
        <v>7200</v>
      </c>
      <c r="I3672" t="s">
        <v>24</v>
      </c>
      <c r="J3672" s="1">
        <v>45292</v>
      </c>
      <c r="K3672">
        <v>-39553000</v>
      </c>
    </row>
    <row r="3673" spans="5:11" x14ac:dyDescent="0.25">
      <c r="E3673" t="s">
        <v>7201</v>
      </c>
      <c r="F3673">
        <v>1689731</v>
      </c>
      <c r="G3673" s="1">
        <v>45382</v>
      </c>
      <c r="H3673" t="s">
        <v>7202</v>
      </c>
      <c r="I3673" t="s">
        <v>1123</v>
      </c>
      <c r="J3673" s="1">
        <v>45292</v>
      </c>
      <c r="K3673">
        <v>8119000</v>
      </c>
    </row>
    <row r="3674" spans="5:11" x14ac:dyDescent="0.25">
      <c r="E3674" t="s">
        <v>7203</v>
      </c>
      <c r="F3674">
        <v>1689796</v>
      </c>
      <c r="G3674" s="1">
        <v>45382</v>
      </c>
      <c r="H3674" t="s">
        <v>7204</v>
      </c>
      <c r="I3674" t="s">
        <v>299</v>
      </c>
      <c r="J3674" s="1">
        <v>45292</v>
      </c>
      <c r="K3674">
        <v>-32276000</v>
      </c>
    </row>
    <row r="3675" spans="5:11" x14ac:dyDescent="0.25">
      <c r="E3675" t="s">
        <v>7205</v>
      </c>
      <c r="F3675">
        <v>1690012</v>
      </c>
      <c r="G3675" s="1">
        <v>45382</v>
      </c>
      <c r="H3675" t="s">
        <v>7206</v>
      </c>
      <c r="I3675" t="s">
        <v>19</v>
      </c>
      <c r="J3675" s="1">
        <v>45292</v>
      </c>
      <c r="K3675">
        <v>3399000</v>
      </c>
    </row>
    <row r="3676" spans="5:11" x14ac:dyDescent="0.25">
      <c r="E3676" t="s">
        <v>7207</v>
      </c>
      <c r="F3676">
        <v>1690080</v>
      </c>
      <c r="G3676" s="1">
        <v>45382</v>
      </c>
      <c r="H3676" t="s">
        <v>7208</v>
      </c>
      <c r="I3676" t="s">
        <v>36</v>
      </c>
      <c r="J3676" s="1">
        <v>45292</v>
      </c>
      <c r="K3676">
        <v>-1069744</v>
      </c>
    </row>
    <row r="3677" spans="5:11" x14ac:dyDescent="0.25">
      <c r="E3677" t="s">
        <v>7209</v>
      </c>
      <c r="F3677">
        <v>1690384</v>
      </c>
      <c r="G3677" s="1">
        <v>45382</v>
      </c>
      <c r="H3677" t="s">
        <v>7210</v>
      </c>
      <c r="I3677" t="s">
        <v>1716</v>
      </c>
      <c r="J3677" s="1">
        <v>45292</v>
      </c>
      <c r="K3677">
        <v>-123536</v>
      </c>
    </row>
    <row r="3678" spans="5:11" x14ac:dyDescent="0.25">
      <c r="E3678" t="s">
        <v>7211</v>
      </c>
      <c r="F3678">
        <v>1690437</v>
      </c>
      <c r="G3678" s="1">
        <v>45382</v>
      </c>
      <c r="H3678" t="s">
        <v>7212</v>
      </c>
      <c r="I3678" t="s">
        <v>57</v>
      </c>
      <c r="J3678" s="1">
        <v>45292</v>
      </c>
      <c r="K3678">
        <v>67931000</v>
      </c>
    </row>
    <row r="3679" spans="5:11" x14ac:dyDescent="0.25">
      <c r="E3679" t="s">
        <v>7213</v>
      </c>
      <c r="F3679">
        <v>1690536</v>
      </c>
      <c r="G3679" s="1">
        <v>45382</v>
      </c>
      <c r="H3679" t="s">
        <v>7214</v>
      </c>
      <c r="I3679" t="s">
        <v>39</v>
      </c>
      <c r="J3679" s="1">
        <v>45292</v>
      </c>
      <c r="K3679">
        <v>15820000</v>
      </c>
    </row>
    <row r="3680" spans="5:11" x14ac:dyDescent="0.25">
      <c r="E3680" t="s">
        <v>7215</v>
      </c>
      <c r="F3680">
        <v>1690585</v>
      </c>
      <c r="G3680" s="1">
        <v>45382</v>
      </c>
      <c r="H3680" t="s">
        <v>7216</v>
      </c>
      <c r="I3680" t="s">
        <v>57</v>
      </c>
      <c r="J3680" s="1">
        <v>45292</v>
      </c>
      <c r="K3680">
        <v>-13748000</v>
      </c>
    </row>
    <row r="3681" spans="5:11" x14ac:dyDescent="0.25">
      <c r="E3681" t="s">
        <v>7217</v>
      </c>
      <c r="F3681">
        <v>1690680</v>
      </c>
      <c r="G3681" s="1">
        <v>45382</v>
      </c>
      <c r="H3681" t="s">
        <v>7218</v>
      </c>
      <c r="I3681" t="s">
        <v>57</v>
      </c>
      <c r="J3681" s="1">
        <v>45292</v>
      </c>
      <c r="K3681">
        <v>-16254000</v>
      </c>
    </row>
    <row r="3682" spans="5:11" x14ac:dyDescent="0.25">
      <c r="E3682" t="s">
        <v>7219</v>
      </c>
      <c r="F3682">
        <v>1690820</v>
      </c>
      <c r="G3682" s="1">
        <v>45382</v>
      </c>
      <c r="H3682" t="s">
        <v>7220</v>
      </c>
      <c r="I3682" t="s">
        <v>113</v>
      </c>
      <c r="J3682" s="1">
        <v>45292</v>
      </c>
      <c r="K3682">
        <v>28000000</v>
      </c>
    </row>
    <row r="3683" spans="5:11" x14ac:dyDescent="0.25">
      <c r="E3683" t="s">
        <v>7221</v>
      </c>
      <c r="F3683">
        <v>1690842</v>
      </c>
      <c r="G3683" s="1">
        <v>45382</v>
      </c>
      <c r="H3683" t="s">
        <v>7222</v>
      </c>
      <c r="I3683" t="s">
        <v>57</v>
      </c>
      <c r="J3683" s="1">
        <v>45292</v>
      </c>
      <c r="K3683">
        <v>-3925000</v>
      </c>
    </row>
    <row r="3684" spans="5:11" x14ac:dyDescent="0.25">
      <c r="E3684" t="s">
        <v>7223</v>
      </c>
      <c r="F3684">
        <v>1691303</v>
      </c>
      <c r="G3684" s="1">
        <v>45382</v>
      </c>
      <c r="H3684" t="s">
        <v>7224</v>
      </c>
      <c r="I3684" t="s">
        <v>1123</v>
      </c>
      <c r="J3684" s="1">
        <v>45292</v>
      </c>
      <c r="K3684">
        <v>136989000</v>
      </c>
    </row>
    <row r="3685" spans="5:11" x14ac:dyDescent="0.25">
      <c r="E3685" t="s">
        <v>10534</v>
      </c>
      <c r="F3685">
        <v>1691421</v>
      </c>
      <c r="G3685" s="1">
        <v>45382</v>
      </c>
      <c r="H3685" t="s">
        <v>7225</v>
      </c>
      <c r="I3685" t="s">
        <v>57</v>
      </c>
      <c r="J3685" s="1">
        <v>45292</v>
      </c>
      <c r="K3685">
        <v>-47300000</v>
      </c>
    </row>
    <row r="3686" spans="5:11" x14ac:dyDescent="0.25">
      <c r="E3686" t="s">
        <v>7226</v>
      </c>
      <c r="F3686">
        <v>1691936</v>
      </c>
      <c r="G3686" s="1">
        <v>45382</v>
      </c>
      <c r="H3686" t="s">
        <v>7227</v>
      </c>
      <c r="I3686" t="s">
        <v>30</v>
      </c>
      <c r="J3686" s="1">
        <v>45292</v>
      </c>
      <c r="K3686">
        <v>-3928514</v>
      </c>
    </row>
    <row r="3687" spans="5:11" x14ac:dyDescent="0.25">
      <c r="E3687" t="s">
        <v>7228</v>
      </c>
      <c r="F3687">
        <v>1692063</v>
      </c>
      <c r="G3687" s="1">
        <v>45382</v>
      </c>
      <c r="H3687" t="s">
        <v>7229</v>
      </c>
      <c r="I3687" t="s">
        <v>83</v>
      </c>
      <c r="J3687" s="1">
        <v>45292</v>
      </c>
      <c r="K3687">
        <v>18500000</v>
      </c>
    </row>
    <row r="3688" spans="5:11" x14ac:dyDescent="0.25">
      <c r="E3688" t="s">
        <v>7230</v>
      </c>
      <c r="F3688">
        <v>1692115</v>
      </c>
      <c r="G3688" s="1">
        <v>45382</v>
      </c>
      <c r="H3688" t="s">
        <v>7231</v>
      </c>
      <c r="I3688" t="s">
        <v>142</v>
      </c>
      <c r="J3688" s="1">
        <v>45292</v>
      </c>
      <c r="K3688">
        <v>87737000</v>
      </c>
    </row>
    <row r="3689" spans="5:11" x14ac:dyDescent="0.25">
      <c r="E3689" t="s">
        <v>7232</v>
      </c>
      <c r="F3689">
        <v>1692376</v>
      </c>
      <c r="G3689" s="1">
        <v>45382</v>
      </c>
      <c r="H3689" t="s">
        <v>7233</v>
      </c>
      <c r="I3689" t="s">
        <v>36</v>
      </c>
      <c r="J3689" s="1">
        <v>45292</v>
      </c>
      <c r="K3689">
        <v>17251000</v>
      </c>
    </row>
    <row r="3690" spans="5:11" x14ac:dyDescent="0.25">
      <c r="E3690" t="s">
        <v>7234</v>
      </c>
      <c r="F3690">
        <v>1692412</v>
      </c>
      <c r="G3690" s="1">
        <v>45382</v>
      </c>
      <c r="H3690" t="s">
        <v>7235</v>
      </c>
      <c r="I3690" t="s">
        <v>4820</v>
      </c>
      <c r="J3690" s="1">
        <v>45292</v>
      </c>
      <c r="K3690">
        <v>54341000</v>
      </c>
    </row>
    <row r="3691" spans="5:11" x14ac:dyDescent="0.25">
      <c r="E3691" t="s">
        <v>7236</v>
      </c>
      <c r="F3691">
        <v>1692415</v>
      </c>
      <c r="G3691" s="1">
        <v>45382</v>
      </c>
      <c r="H3691" t="s">
        <v>7237</v>
      </c>
      <c r="I3691" t="s">
        <v>406</v>
      </c>
      <c r="J3691" s="1">
        <v>45292</v>
      </c>
      <c r="K3691">
        <v>-9312043</v>
      </c>
    </row>
    <row r="3692" spans="5:11" x14ac:dyDescent="0.25">
      <c r="E3692" t="s">
        <v>7238</v>
      </c>
      <c r="F3692">
        <v>1692427</v>
      </c>
      <c r="G3692" s="1">
        <v>45382</v>
      </c>
      <c r="H3692" t="s">
        <v>7239</v>
      </c>
      <c r="I3692" t="s">
        <v>30</v>
      </c>
      <c r="J3692" s="1">
        <v>45292</v>
      </c>
      <c r="K3692">
        <v>2070000</v>
      </c>
    </row>
    <row r="3693" spans="5:11" x14ac:dyDescent="0.25">
      <c r="E3693" t="s">
        <v>7240</v>
      </c>
      <c r="F3693">
        <v>1692787</v>
      </c>
      <c r="G3693" s="1">
        <v>45382</v>
      </c>
      <c r="H3693" t="s">
        <v>7241</v>
      </c>
      <c r="I3693" t="s">
        <v>30</v>
      </c>
      <c r="J3693" s="1">
        <v>45292</v>
      </c>
      <c r="K3693">
        <v>233559000</v>
      </c>
    </row>
    <row r="3694" spans="5:11" x14ac:dyDescent="0.25">
      <c r="E3694" t="s">
        <v>7242</v>
      </c>
      <c r="F3694">
        <v>1692819</v>
      </c>
      <c r="G3694" s="1">
        <v>45382</v>
      </c>
      <c r="H3694" t="s">
        <v>7243</v>
      </c>
      <c r="I3694" t="s">
        <v>30</v>
      </c>
      <c r="J3694" s="1">
        <v>45292</v>
      </c>
      <c r="K3694">
        <v>-35000000</v>
      </c>
    </row>
    <row r="3695" spans="5:11" x14ac:dyDescent="0.25">
      <c r="E3695" t="s">
        <v>7244</v>
      </c>
      <c r="F3695">
        <v>1692951</v>
      </c>
      <c r="G3695" s="1">
        <v>45382</v>
      </c>
      <c r="H3695" t="s">
        <v>7245</v>
      </c>
      <c r="I3695" t="s">
        <v>406</v>
      </c>
      <c r="J3695" s="1">
        <v>45292</v>
      </c>
      <c r="K3695">
        <v>3919000</v>
      </c>
    </row>
    <row r="3696" spans="5:11" x14ac:dyDescent="0.25">
      <c r="E3696" t="s">
        <v>7246</v>
      </c>
      <c r="F3696">
        <v>1693011</v>
      </c>
      <c r="G3696" s="1">
        <v>45382</v>
      </c>
      <c r="H3696" t="s">
        <v>7247</v>
      </c>
      <c r="I3696" t="s">
        <v>24</v>
      </c>
      <c r="J3696" s="1">
        <v>45292</v>
      </c>
      <c r="K3696">
        <v>-23347000</v>
      </c>
    </row>
    <row r="3697" spans="5:11" x14ac:dyDescent="0.25">
      <c r="E3697" t="s">
        <v>7248</v>
      </c>
      <c r="F3697">
        <v>1693256</v>
      </c>
      <c r="G3697" s="1">
        <v>45382</v>
      </c>
      <c r="H3697" t="s">
        <v>7249</v>
      </c>
      <c r="I3697" t="s">
        <v>30</v>
      </c>
      <c r="J3697" s="1">
        <v>45292</v>
      </c>
      <c r="K3697">
        <v>3625000</v>
      </c>
    </row>
    <row r="3698" spans="5:11" x14ac:dyDescent="0.25">
      <c r="E3698" t="s">
        <v>10535</v>
      </c>
      <c r="F3698">
        <v>1693317</v>
      </c>
      <c r="G3698" s="1">
        <v>45382</v>
      </c>
      <c r="H3698" t="s">
        <v>7250</v>
      </c>
      <c r="I3698" t="s">
        <v>30</v>
      </c>
      <c r="J3698" s="1">
        <v>45292</v>
      </c>
      <c r="K3698">
        <v>-36000000</v>
      </c>
    </row>
    <row r="3699" spans="5:11" x14ac:dyDescent="0.25">
      <c r="E3699" t="s">
        <v>7251</v>
      </c>
      <c r="F3699">
        <v>1693577</v>
      </c>
      <c r="G3699" s="1">
        <v>45382</v>
      </c>
      <c r="H3699" t="s">
        <v>7252</v>
      </c>
      <c r="I3699" t="s">
        <v>123</v>
      </c>
      <c r="J3699" s="1">
        <v>45292</v>
      </c>
      <c r="K3699">
        <v>3305000</v>
      </c>
    </row>
    <row r="3700" spans="5:11" x14ac:dyDescent="0.25">
      <c r="E3700" t="s">
        <v>10536</v>
      </c>
      <c r="F3700">
        <v>1693687</v>
      </c>
      <c r="G3700" s="1">
        <v>45382</v>
      </c>
      <c r="H3700" t="s">
        <v>7253</v>
      </c>
      <c r="I3700" t="s">
        <v>1071</v>
      </c>
      <c r="J3700" s="1">
        <v>45292</v>
      </c>
      <c r="K3700">
        <v>-193653</v>
      </c>
    </row>
    <row r="3701" spans="5:11" x14ac:dyDescent="0.25">
      <c r="E3701" t="s">
        <v>7254</v>
      </c>
      <c r="F3701">
        <v>1694028</v>
      </c>
      <c r="G3701" s="1">
        <v>45382</v>
      </c>
      <c r="H3701" t="s">
        <v>7255</v>
      </c>
      <c r="I3701" t="s">
        <v>92</v>
      </c>
      <c r="J3701" s="1">
        <v>45292</v>
      </c>
      <c r="K3701">
        <v>81892000</v>
      </c>
    </row>
    <row r="3702" spans="5:11" x14ac:dyDescent="0.25">
      <c r="E3702" t="s">
        <v>7256</v>
      </c>
      <c r="F3702">
        <v>1694426</v>
      </c>
      <c r="G3702" s="1">
        <v>45382</v>
      </c>
      <c r="H3702" t="s">
        <v>7257</v>
      </c>
      <c r="I3702" t="s">
        <v>69</v>
      </c>
      <c r="J3702" s="1">
        <v>45292</v>
      </c>
      <c r="K3702">
        <v>-32600000</v>
      </c>
    </row>
    <row r="3703" spans="5:11" x14ac:dyDescent="0.25">
      <c r="E3703" t="s">
        <v>7258</v>
      </c>
      <c r="F3703">
        <v>1694617</v>
      </c>
      <c r="G3703" s="1">
        <v>45382</v>
      </c>
      <c r="H3703" t="s">
        <v>7259</v>
      </c>
      <c r="I3703" t="s">
        <v>36</v>
      </c>
      <c r="J3703" s="1">
        <v>45292</v>
      </c>
      <c r="K3703">
        <v>-770110</v>
      </c>
    </row>
    <row r="3704" spans="5:11" x14ac:dyDescent="0.25">
      <c r="E3704" t="s">
        <v>7260</v>
      </c>
      <c r="F3704">
        <v>1695295</v>
      </c>
      <c r="G3704" s="1">
        <v>45382</v>
      </c>
      <c r="H3704" t="s">
        <v>7261</v>
      </c>
      <c r="I3704" t="s">
        <v>39</v>
      </c>
      <c r="J3704" s="1">
        <v>45292</v>
      </c>
      <c r="K3704">
        <v>-12608000</v>
      </c>
    </row>
    <row r="3705" spans="5:11" x14ac:dyDescent="0.25">
      <c r="E3705" t="s">
        <v>7262</v>
      </c>
      <c r="F3705">
        <v>1695473</v>
      </c>
      <c r="G3705" s="1">
        <v>45382</v>
      </c>
      <c r="H3705" t="s">
        <v>7263</v>
      </c>
      <c r="I3705" t="s">
        <v>299</v>
      </c>
      <c r="J3705" s="1">
        <v>45292</v>
      </c>
      <c r="K3705">
        <v>-44611</v>
      </c>
    </row>
    <row r="3706" spans="5:11" x14ac:dyDescent="0.25">
      <c r="E3706" t="s">
        <v>7264</v>
      </c>
      <c r="F3706">
        <v>1695963</v>
      </c>
      <c r="G3706" s="1">
        <v>45382</v>
      </c>
      <c r="H3706" t="s">
        <v>7265</v>
      </c>
      <c r="I3706" t="s">
        <v>33</v>
      </c>
      <c r="J3706" s="1">
        <v>45292</v>
      </c>
      <c r="K3706">
        <v>-1269499</v>
      </c>
    </row>
    <row r="3707" spans="5:11" x14ac:dyDescent="0.25">
      <c r="E3707" t="s">
        <v>7266</v>
      </c>
      <c r="F3707">
        <v>1696025</v>
      </c>
      <c r="G3707" s="1">
        <v>45412</v>
      </c>
      <c r="H3707" t="s">
        <v>7267</v>
      </c>
      <c r="I3707" t="s">
        <v>33</v>
      </c>
      <c r="J3707" s="1">
        <v>45323</v>
      </c>
      <c r="K3707">
        <v>-89532</v>
      </c>
    </row>
    <row r="3708" spans="5:11" x14ac:dyDescent="0.25">
      <c r="E3708" t="s">
        <v>7268</v>
      </c>
      <c r="F3708">
        <v>1696088</v>
      </c>
      <c r="G3708" s="1">
        <v>45382</v>
      </c>
      <c r="H3708" t="s">
        <v>7269</v>
      </c>
      <c r="I3708" t="s">
        <v>30</v>
      </c>
      <c r="J3708" s="1">
        <v>45292</v>
      </c>
      <c r="K3708">
        <v>-1113467</v>
      </c>
    </row>
    <row r="3709" spans="5:11" x14ac:dyDescent="0.25">
      <c r="E3709" t="s">
        <v>7270</v>
      </c>
      <c r="F3709">
        <v>1696195</v>
      </c>
      <c r="G3709" s="1">
        <v>45382</v>
      </c>
      <c r="H3709" t="s">
        <v>7271</v>
      </c>
      <c r="I3709" t="s">
        <v>33</v>
      </c>
      <c r="J3709" s="1">
        <v>45292</v>
      </c>
      <c r="K3709">
        <v>-18273</v>
      </c>
    </row>
    <row r="3710" spans="5:11" x14ac:dyDescent="0.25">
      <c r="E3710" t="s">
        <v>7272</v>
      </c>
      <c r="F3710">
        <v>1696411</v>
      </c>
      <c r="G3710" s="1">
        <v>45382</v>
      </c>
      <c r="H3710" t="s">
        <v>7273</v>
      </c>
      <c r="I3710" t="s">
        <v>2552</v>
      </c>
      <c r="J3710" s="1">
        <v>45292</v>
      </c>
      <c r="K3710">
        <v>-17838</v>
      </c>
    </row>
    <row r="3711" spans="5:11" x14ac:dyDescent="0.25">
      <c r="E3711" t="s">
        <v>7274</v>
      </c>
      <c r="F3711">
        <v>1697500</v>
      </c>
      <c r="G3711" s="1">
        <v>45382</v>
      </c>
      <c r="H3711" t="s">
        <v>7275</v>
      </c>
      <c r="I3711" t="s">
        <v>30</v>
      </c>
      <c r="J3711" s="1">
        <v>45292</v>
      </c>
      <c r="K3711">
        <v>4317000</v>
      </c>
    </row>
    <row r="3712" spans="5:11" x14ac:dyDescent="0.25">
      <c r="E3712" t="s">
        <v>7276</v>
      </c>
      <c r="F3712">
        <v>1697532</v>
      </c>
      <c r="G3712" s="1">
        <v>45382</v>
      </c>
      <c r="H3712" t="s">
        <v>7277</v>
      </c>
      <c r="I3712" t="s">
        <v>57</v>
      </c>
      <c r="J3712" s="1">
        <v>45292</v>
      </c>
      <c r="K3712">
        <v>-83938000</v>
      </c>
    </row>
    <row r="3713" spans="5:11" x14ac:dyDescent="0.25">
      <c r="E3713" t="s">
        <v>7278</v>
      </c>
      <c r="F3713">
        <v>1697851</v>
      </c>
      <c r="G3713" s="1">
        <v>45382</v>
      </c>
      <c r="H3713" t="s">
        <v>7279</v>
      </c>
      <c r="I3713" t="s">
        <v>299</v>
      </c>
      <c r="J3713" s="1">
        <v>45292</v>
      </c>
      <c r="K3713">
        <v>-18614000</v>
      </c>
    </row>
    <row r="3714" spans="5:11" x14ac:dyDescent="0.25">
      <c r="E3714" t="s">
        <v>7280</v>
      </c>
      <c r="F3714">
        <v>1698022</v>
      </c>
      <c r="G3714" s="1">
        <v>45382</v>
      </c>
      <c r="H3714" t="s">
        <v>7281</v>
      </c>
      <c r="I3714" t="s">
        <v>299</v>
      </c>
      <c r="J3714" s="1">
        <v>45292</v>
      </c>
      <c r="K3714">
        <v>1219987</v>
      </c>
    </row>
    <row r="3715" spans="5:11" x14ac:dyDescent="0.25">
      <c r="E3715" t="s">
        <v>7282</v>
      </c>
      <c r="F3715">
        <v>1698530</v>
      </c>
      <c r="G3715" s="1">
        <v>45382</v>
      </c>
      <c r="H3715" t="s">
        <v>7283</v>
      </c>
      <c r="I3715" t="s">
        <v>19</v>
      </c>
      <c r="J3715" s="1">
        <v>45292</v>
      </c>
      <c r="K3715">
        <v>-829000</v>
      </c>
    </row>
    <row r="3716" spans="5:11" x14ac:dyDescent="0.25">
      <c r="E3716" t="s">
        <v>7284</v>
      </c>
      <c r="F3716">
        <v>1698990</v>
      </c>
      <c r="G3716" s="1">
        <v>45382</v>
      </c>
      <c r="H3716" t="s">
        <v>7285</v>
      </c>
      <c r="I3716" t="s">
        <v>30</v>
      </c>
      <c r="J3716" s="1">
        <v>45292</v>
      </c>
      <c r="K3716">
        <v>85086000</v>
      </c>
    </row>
    <row r="3717" spans="5:11" x14ac:dyDescent="0.25">
      <c r="E3717" t="s">
        <v>10537</v>
      </c>
      <c r="F3717">
        <v>1698991</v>
      </c>
      <c r="G3717" s="1">
        <v>45382</v>
      </c>
      <c r="H3717" t="s">
        <v>7286</v>
      </c>
      <c r="I3717" t="s">
        <v>19</v>
      </c>
      <c r="J3717" s="1">
        <v>45292</v>
      </c>
      <c r="K3717">
        <v>7416000</v>
      </c>
    </row>
    <row r="3718" spans="5:11" x14ac:dyDescent="0.25">
      <c r="E3718" t="s">
        <v>7287</v>
      </c>
      <c r="F3718">
        <v>1699031</v>
      </c>
      <c r="G3718" s="1">
        <v>45382</v>
      </c>
      <c r="H3718" t="s">
        <v>7288</v>
      </c>
      <c r="I3718" t="s">
        <v>36</v>
      </c>
      <c r="J3718" s="1">
        <v>45292</v>
      </c>
      <c r="K3718">
        <v>-218914000</v>
      </c>
    </row>
    <row r="3719" spans="5:11" x14ac:dyDescent="0.25">
      <c r="E3719" t="s">
        <v>7289</v>
      </c>
      <c r="F3719">
        <v>1699039</v>
      </c>
      <c r="G3719" s="1">
        <v>45382</v>
      </c>
      <c r="H3719" t="s">
        <v>7290</v>
      </c>
      <c r="I3719" t="s">
        <v>30</v>
      </c>
      <c r="J3719" s="1">
        <v>45292</v>
      </c>
      <c r="K3719">
        <v>-800000</v>
      </c>
    </row>
    <row r="3720" spans="5:11" x14ac:dyDescent="0.25">
      <c r="E3720" t="s">
        <v>7291</v>
      </c>
      <c r="F3720">
        <v>1699136</v>
      </c>
      <c r="G3720" s="1">
        <v>45382</v>
      </c>
      <c r="H3720" t="s">
        <v>7292</v>
      </c>
      <c r="I3720" t="s">
        <v>30</v>
      </c>
      <c r="J3720" s="1">
        <v>45292</v>
      </c>
      <c r="K3720">
        <v>38965000</v>
      </c>
    </row>
    <row r="3721" spans="5:11" x14ac:dyDescent="0.25">
      <c r="E3721" t="s">
        <v>7293</v>
      </c>
      <c r="F3721">
        <v>1699150</v>
      </c>
      <c r="G3721" s="1">
        <v>45382</v>
      </c>
      <c r="H3721" t="s">
        <v>7294</v>
      </c>
      <c r="I3721" t="s">
        <v>172</v>
      </c>
      <c r="J3721" s="1">
        <v>45292</v>
      </c>
      <c r="K3721">
        <v>202200000</v>
      </c>
    </row>
    <row r="3722" spans="5:11" x14ac:dyDescent="0.25">
      <c r="E3722" t="s">
        <v>7295</v>
      </c>
      <c r="F3722">
        <v>1699382</v>
      </c>
      <c r="G3722" s="1">
        <v>45382</v>
      </c>
      <c r="H3722" t="s">
        <v>7296</v>
      </c>
      <c r="I3722" t="s">
        <v>46</v>
      </c>
      <c r="J3722" s="1">
        <v>45292</v>
      </c>
      <c r="K3722">
        <v>-15270000</v>
      </c>
    </row>
    <row r="3723" spans="5:11" x14ac:dyDescent="0.25">
      <c r="E3723" t="s">
        <v>7297</v>
      </c>
      <c r="F3723">
        <v>1699838</v>
      </c>
      <c r="G3723" s="1">
        <v>45382</v>
      </c>
      <c r="H3723" t="s">
        <v>7298</v>
      </c>
      <c r="I3723" t="s">
        <v>36</v>
      </c>
      <c r="J3723" s="1">
        <v>45292</v>
      </c>
      <c r="K3723">
        <v>-92967000</v>
      </c>
    </row>
    <row r="3724" spans="5:11" x14ac:dyDescent="0.25">
      <c r="E3724" t="s">
        <v>7299</v>
      </c>
      <c r="F3724">
        <v>1700844</v>
      </c>
      <c r="G3724" s="1">
        <v>45351</v>
      </c>
      <c r="H3724" t="s">
        <v>7300</v>
      </c>
      <c r="I3724" t="s">
        <v>4980</v>
      </c>
      <c r="J3724" s="1">
        <v>45261</v>
      </c>
      <c r="K3724">
        <v>-1366904</v>
      </c>
    </row>
    <row r="3725" spans="5:11" x14ac:dyDescent="0.25">
      <c r="E3725" t="s">
        <v>7301</v>
      </c>
      <c r="F3725">
        <v>1700849</v>
      </c>
      <c r="G3725" s="1">
        <v>45382</v>
      </c>
      <c r="H3725" t="s">
        <v>7302</v>
      </c>
      <c r="I3725" t="s">
        <v>36</v>
      </c>
      <c r="J3725" s="1">
        <v>45292</v>
      </c>
      <c r="K3725">
        <v>-2048539</v>
      </c>
    </row>
    <row r="3726" spans="5:11" x14ac:dyDescent="0.25">
      <c r="E3726" t="s">
        <v>7303</v>
      </c>
      <c r="F3726">
        <v>1701051</v>
      </c>
      <c r="G3726" s="1">
        <v>45382</v>
      </c>
      <c r="H3726" t="s">
        <v>7304</v>
      </c>
      <c r="I3726" t="s">
        <v>92</v>
      </c>
      <c r="J3726" s="1">
        <v>45292</v>
      </c>
      <c r="K3726">
        <v>-15000000</v>
      </c>
    </row>
    <row r="3727" spans="5:11" x14ac:dyDescent="0.25">
      <c r="E3727" t="s">
        <v>7305</v>
      </c>
      <c r="F3727">
        <v>1701108</v>
      </c>
      <c r="G3727" s="1">
        <v>45382</v>
      </c>
      <c r="H3727" t="s">
        <v>7306</v>
      </c>
      <c r="I3727" t="s">
        <v>24</v>
      </c>
      <c r="J3727" s="1">
        <v>45292</v>
      </c>
      <c r="K3727">
        <v>-12700000</v>
      </c>
    </row>
    <row r="3728" spans="5:11" x14ac:dyDescent="0.25">
      <c r="E3728" t="s">
        <v>7307</v>
      </c>
      <c r="F3728">
        <v>1701478</v>
      </c>
      <c r="G3728" s="1">
        <v>45382</v>
      </c>
      <c r="H3728" t="s">
        <v>7308</v>
      </c>
      <c r="I3728" t="s">
        <v>27</v>
      </c>
      <c r="J3728" s="1">
        <v>45292</v>
      </c>
      <c r="K3728">
        <v>-2932875</v>
      </c>
    </row>
    <row r="3729" spans="5:11" x14ac:dyDescent="0.25">
      <c r="E3729" t="s">
        <v>7309</v>
      </c>
      <c r="F3729">
        <v>1701541</v>
      </c>
      <c r="G3729" s="1">
        <v>45382</v>
      </c>
      <c r="H3729" t="s">
        <v>7310</v>
      </c>
      <c r="I3729" t="s">
        <v>24</v>
      </c>
      <c r="J3729" s="1">
        <v>45292</v>
      </c>
      <c r="K3729">
        <v>-18225000</v>
      </c>
    </row>
    <row r="3730" spans="5:11" x14ac:dyDescent="0.25">
      <c r="E3730" t="s">
        <v>7311</v>
      </c>
      <c r="F3730">
        <v>1701605</v>
      </c>
      <c r="G3730" s="1">
        <v>45382</v>
      </c>
      <c r="H3730" t="s">
        <v>7312</v>
      </c>
      <c r="I3730" t="s">
        <v>30</v>
      </c>
      <c r="J3730" s="1">
        <v>45292</v>
      </c>
      <c r="K3730">
        <v>455000000</v>
      </c>
    </row>
    <row r="3731" spans="5:11" x14ac:dyDescent="0.25">
      <c r="E3731" t="s">
        <v>10538</v>
      </c>
      <c r="F3731">
        <v>1701732</v>
      </c>
      <c r="G3731" s="1">
        <v>45382</v>
      </c>
      <c r="H3731" t="s">
        <v>7313</v>
      </c>
      <c r="I3731" t="s">
        <v>329</v>
      </c>
      <c r="J3731" s="1">
        <v>45292</v>
      </c>
      <c r="K3731">
        <v>16547000</v>
      </c>
    </row>
    <row r="3732" spans="5:11" x14ac:dyDescent="0.25">
      <c r="E3732" t="s">
        <v>7314</v>
      </c>
      <c r="F3732">
        <v>1701756</v>
      </c>
      <c r="G3732" s="1">
        <v>45382</v>
      </c>
      <c r="H3732" t="s">
        <v>7315</v>
      </c>
      <c r="I3732" t="s">
        <v>30</v>
      </c>
      <c r="J3732" s="1">
        <v>45292</v>
      </c>
      <c r="K3732">
        <v>-265000</v>
      </c>
    </row>
    <row r="3733" spans="5:11" x14ac:dyDescent="0.25">
      <c r="E3733" t="s">
        <v>7316</v>
      </c>
      <c r="F3733">
        <v>1701758</v>
      </c>
      <c r="G3733" s="1">
        <v>45417</v>
      </c>
      <c r="H3733" t="s">
        <v>7317</v>
      </c>
      <c r="I3733" t="s">
        <v>27</v>
      </c>
      <c r="J3733" s="1">
        <v>45327</v>
      </c>
      <c r="K3733">
        <v>-12960000</v>
      </c>
    </row>
    <row r="3734" spans="5:11" x14ac:dyDescent="0.25">
      <c r="E3734" t="s">
        <v>7318</v>
      </c>
      <c r="F3734">
        <v>1701963</v>
      </c>
      <c r="G3734" s="1">
        <v>45382</v>
      </c>
      <c r="H3734" t="s">
        <v>7319</v>
      </c>
      <c r="I3734" t="s">
        <v>2552</v>
      </c>
      <c r="J3734" s="1">
        <v>45292</v>
      </c>
      <c r="K3734">
        <v>-1501683</v>
      </c>
    </row>
    <row r="3735" spans="5:11" x14ac:dyDescent="0.25">
      <c r="E3735" t="s">
        <v>7320</v>
      </c>
      <c r="F3735">
        <v>1702510</v>
      </c>
      <c r="G3735" s="1">
        <v>45382</v>
      </c>
      <c r="H3735" t="s">
        <v>7321</v>
      </c>
      <c r="I3735" t="s">
        <v>57</v>
      </c>
      <c r="J3735" s="1">
        <v>45292</v>
      </c>
      <c r="K3735">
        <v>39586000</v>
      </c>
    </row>
    <row r="3736" spans="5:11" x14ac:dyDescent="0.25">
      <c r="E3736" t="s">
        <v>7322</v>
      </c>
      <c r="F3736">
        <v>1702744</v>
      </c>
      <c r="G3736" s="1">
        <v>45346</v>
      </c>
      <c r="H3736" t="s">
        <v>7323</v>
      </c>
      <c r="I3736" t="s">
        <v>92</v>
      </c>
      <c r="J3736" s="1">
        <v>45256</v>
      </c>
      <c r="K3736">
        <v>33123000</v>
      </c>
    </row>
    <row r="3737" spans="5:11" x14ac:dyDescent="0.25">
      <c r="E3737" t="s">
        <v>7324</v>
      </c>
      <c r="F3737">
        <v>1702750</v>
      </c>
      <c r="G3737" s="1">
        <v>45382</v>
      </c>
      <c r="H3737" t="s">
        <v>7325</v>
      </c>
      <c r="I3737" t="s">
        <v>19</v>
      </c>
      <c r="J3737" s="1">
        <v>45292</v>
      </c>
      <c r="K3737">
        <v>30440000</v>
      </c>
    </row>
    <row r="3738" spans="5:11" x14ac:dyDescent="0.25">
      <c r="E3738" t="s">
        <v>7326</v>
      </c>
      <c r="F3738">
        <v>1702780</v>
      </c>
      <c r="G3738" s="1">
        <v>45382</v>
      </c>
      <c r="H3738" t="s">
        <v>7327</v>
      </c>
      <c r="I3738" t="s">
        <v>57</v>
      </c>
      <c r="J3738" s="1">
        <v>45292</v>
      </c>
      <c r="K3738">
        <v>-21193000</v>
      </c>
    </row>
    <row r="3739" spans="5:11" x14ac:dyDescent="0.25">
      <c r="E3739" t="s">
        <v>7328</v>
      </c>
      <c r="F3739">
        <v>1702924</v>
      </c>
      <c r="G3739" s="1">
        <v>45382</v>
      </c>
      <c r="H3739" t="s">
        <v>7329</v>
      </c>
      <c r="I3739" t="s">
        <v>113</v>
      </c>
      <c r="J3739" s="1">
        <v>45292</v>
      </c>
      <c r="K3739">
        <v>117000</v>
      </c>
    </row>
    <row r="3740" spans="5:11" x14ac:dyDescent="0.25">
      <c r="E3740" t="s">
        <v>7330</v>
      </c>
      <c r="F3740">
        <v>1703056</v>
      </c>
      <c r="G3740" s="1">
        <v>45382</v>
      </c>
      <c r="H3740" t="s">
        <v>7331</v>
      </c>
      <c r="I3740" t="s">
        <v>33</v>
      </c>
      <c r="J3740" s="1">
        <v>45292</v>
      </c>
      <c r="K3740">
        <v>91551000</v>
      </c>
    </row>
    <row r="3741" spans="5:11" x14ac:dyDescent="0.25">
      <c r="E3741" t="s">
        <v>7332</v>
      </c>
      <c r="F3741">
        <v>1703057</v>
      </c>
      <c r="G3741" s="1">
        <v>45382</v>
      </c>
      <c r="H3741" t="s">
        <v>7333</v>
      </c>
      <c r="I3741" t="s">
        <v>2552</v>
      </c>
      <c r="J3741" s="1">
        <v>45292</v>
      </c>
      <c r="K3741">
        <v>-40610000</v>
      </c>
    </row>
    <row r="3742" spans="5:11" x14ac:dyDescent="0.25">
      <c r="E3742" t="s">
        <v>7334</v>
      </c>
      <c r="F3742">
        <v>1703073</v>
      </c>
      <c r="G3742" s="1">
        <v>45382</v>
      </c>
      <c r="H3742" t="s">
        <v>7335</v>
      </c>
      <c r="I3742" t="s">
        <v>142</v>
      </c>
      <c r="J3742" s="1">
        <v>45292</v>
      </c>
      <c r="K3742">
        <v>610165</v>
      </c>
    </row>
    <row r="3743" spans="5:11" x14ac:dyDescent="0.25">
      <c r="E3743" t="s">
        <v>7336</v>
      </c>
      <c r="F3743">
        <v>1703157</v>
      </c>
      <c r="G3743" s="1">
        <v>45382</v>
      </c>
      <c r="H3743" t="s">
        <v>7337</v>
      </c>
      <c r="I3743" t="s">
        <v>213</v>
      </c>
      <c r="J3743" s="1">
        <v>45292</v>
      </c>
      <c r="K3743">
        <v>-81481</v>
      </c>
    </row>
    <row r="3744" spans="5:11" x14ac:dyDescent="0.25">
      <c r="E3744" t="s">
        <v>7338</v>
      </c>
      <c r="F3744">
        <v>1703644</v>
      </c>
      <c r="G3744" s="1">
        <v>45382</v>
      </c>
      <c r="H3744" t="s">
        <v>7339</v>
      </c>
      <c r="I3744" t="s">
        <v>57</v>
      </c>
      <c r="J3744" s="1">
        <v>45292</v>
      </c>
      <c r="K3744">
        <v>-74123000</v>
      </c>
    </row>
    <row r="3745" spans="5:11" x14ac:dyDescent="0.25">
      <c r="E3745" t="s">
        <v>7340</v>
      </c>
      <c r="F3745">
        <v>1703647</v>
      </c>
      <c r="G3745" s="1">
        <v>45382</v>
      </c>
      <c r="H3745" t="s">
        <v>7341</v>
      </c>
      <c r="I3745" t="s">
        <v>24</v>
      </c>
      <c r="J3745" s="1">
        <v>45292</v>
      </c>
      <c r="K3745">
        <v>-19557000</v>
      </c>
    </row>
    <row r="3746" spans="5:11" x14ac:dyDescent="0.25">
      <c r="E3746" t="s">
        <v>7342</v>
      </c>
      <c r="F3746">
        <v>1703956</v>
      </c>
      <c r="G3746" s="1">
        <v>45412</v>
      </c>
      <c r="H3746" t="s">
        <v>7343</v>
      </c>
      <c r="I3746" t="s">
        <v>92</v>
      </c>
      <c r="J3746" s="1">
        <v>45323</v>
      </c>
      <c r="K3746">
        <v>3046000</v>
      </c>
    </row>
    <row r="3747" spans="5:11" x14ac:dyDescent="0.25">
      <c r="E3747" t="s">
        <v>7344</v>
      </c>
      <c r="F3747">
        <v>1704287</v>
      </c>
      <c r="G3747" s="1">
        <v>45382</v>
      </c>
      <c r="H3747" t="s">
        <v>7345</v>
      </c>
      <c r="I3747" t="s">
        <v>24</v>
      </c>
      <c r="J3747" s="1">
        <v>45292</v>
      </c>
      <c r="K3747">
        <v>-2328465</v>
      </c>
    </row>
    <row r="3748" spans="5:11" x14ac:dyDescent="0.25">
      <c r="E3748" t="s">
        <v>7346</v>
      </c>
      <c r="F3748">
        <v>1704292</v>
      </c>
      <c r="G3748" s="1">
        <v>45382</v>
      </c>
      <c r="H3748" t="s">
        <v>7347</v>
      </c>
      <c r="I3748" t="s">
        <v>1164</v>
      </c>
      <c r="J3748" s="1">
        <v>45292</v>
      </c>
      <c r="K3748">
        <v>-53471000</v>
      </c>
    </row>
    <row r="3749" spans="5:11" x14ac:dyDescent="0.25">
      <c r="E3749" t="s">
        <v>7348</v>
      </c>
      <c r="F3749">
        <v>1704711</v>
      </c>
      <c r="G3749" s="1">
        <v>45382</v>
      </c>
      <c r="H3749" t="s">
        <v>7349</v>
      </c>
      <c r="I3749" t="s">
        <v>504</v>
      </c>
      <c r="J3749" s="1">
        <v>45292</v>
      </c>
      <c r="K3749">
        <v>-22663000</v>
      </c>
    </row>
    <row r="3750" spans="5:11" x14ac:dyDescent="0.25">
      <c r="E3750" t="s">
        <v>10539</v>
      </c>
      <c r="F3750">
        <v>1704715</v>
      </c>
      <c r="G3750" s="1">
        <v>45382</v>
      </c>
      <c r="H3750" t="s">
        <v>7350</v>
      </c>
      <c r="I3750" t="s">
        <v>69</v>
      </c>
      <c r="J3750" s="1">
        <v>45292</v>
      </c>
      <c r="K3750">
        <v>126995000</v>
      </c>
    </row>
    <row r="3751" spans="5:11" x14ac:dyDescent="0.25">
      <c r="E3751" t="s">
        <v>7351</v>
      </c>
      <c r="F3751">
        <v>1704720</v>
      </c>
      <c r="G3751" s="1">
        <v>45382</v>
      </c>
      <c r="H3751" t="s">
        <v>7352</v>
      </c>
      <c r="I3751" t="s">
        <v>142</v>
      </c>
      <c r="J3751" s="1">
        <v>45292</v>
      </c>
      <c r="K3751">
        <v>-89900000</v>
      </c>
    </row>
    <row r="3752" spans="5:11" x14ac:dyDescent="0.25">
      <c r="E3752" t="s">
        <v>7353</v>
      </c>
      <c r="F3752">
        <v>1704795</v>
      </c>
      <c r="G3752" s="1">
        <v>45382</v>
      </c>
      <c r="H3752" t="s">
        <v>7354</v>
      </c>
      <c r="I3752" t="s">
        <v>46</v>
      </c>
      <c r="J3752" s="1">
        <v>45292</v>
      </c>
      <c r="K3752">
        <v>-946212</v>
      </c>
    </row>
    <row r="3753" spans="5:11" x14ac:dyDescent="0.25">
      <c r="E3753" t="s">
        <v>7355</v>
      </c>
      <c r="F3753">
        <v>1705012</v>
      </c>
      <c r="G3753" s="1">
        <v>45382</v>
      </c>
      <c r="H3753" t="s">
        <v>7356</v>
      </c>
      <c r="I3753" t="s">
        <v>36</v>
      </c>
      <c r="J3753" s="1">
        <v>45292</v>
      </c>
      <c r="K3753">
        <v>-38316000</v>
      </c>
    </row>
    <row r="3754" spans="5:11" x14ac:dyDescent="0.25">
      <c r="E3754" t="s">
        <v>7357</v>
      </c>
      <c r="F3754">
        <v>1705181</v>
      </c>
      <c r="G3754" s="1">
        <v>45382</v>
      </c>
      <c r="H3754" t="s">
        <v>7358</v>
      </c>
      <c r="I3754" t="s">
        <v>27</v>
      </c>
      <c r="J3754" s="1">
        <v>45292</v>
      </c>
      <c r="K3754">
        <v>137185000</v>
      </c>
    </row>
    <row r="3755" spans="5:11" x14ac:dyDescent="0.25">
      <c r="E3755" t="s">
        <v>7359</v>
      </c>
      <c r="F3755">
        <v>1705696</v>
      </c>
      <c r="G3755" s="1">
        <v>45382</v>
      </c>
      <c r="H3755" t="s">
        <v>7360</v>
      </c>
      <c r="I3755" t="s">
        <v>57</v>
      </c>
      <c r="J3755" s="1">
        <v>45292</v>
      </c>
      <c r="K3755">
        <v>590016000</v>
      </c>
    </row>
    <row r="3756" spans="5:11" x14ac:dyDescent="0.25">
      <c r="E3756" t="s">
        <v>7361</v>
      </c>
      <c r="F3756">
        <v>1705843</v>
      </c>
      <c r="G3756" s="1">
        <v>45382</v>
      </c>
      <c r="H3756" t="s">
        <v>7362</v>
      </c>
      <c r="I3756" t="s">
        <v>36</v>
      </c>
      <c r="J3756" s="1">
        <v>45292</v>
      </c>
      <c r="K3756">
        <v>-23435000</v>
      </c>
    </row>
    <row r="3757" spans="5:11" x14ac:dyDescent="0.25">
      <c r="E3757" t="s">
        <v>7363</v>
      </c>
      <c r="F3757">
        <v>1705873</v>
      </c>
      <c r="G3757" s="1">
        <v>45382</v>
      </c>
      <c r="H3757" t="s">
        <v>7364</v>
      </c>
      <c r="I3757" t="s">
        <v>30</v>
      </c>
      <c r="J3757" s="1">
        <v>45292</v>
      </c>
      <c r="K3757">
        <v>-40084000</v>
      </c>
    </row>
    <row r="3758" spans="5:11" x14ac:dyDescent="0.25">
      <c r="E3758" t="s">
        <v>7365</v>
      </c>
      <c r="F3758">
        <v>1706431</v>
      </c>
      <c r="G3758" s="1">
        <v>45382</v>
      </c>
      <c r="H3758" t="s">
        <v>7366</v>
      </c>
      <c r="I3758" t="s">
        <v>36</v>
      </c>
      <c r="J3758" s="1">
        <v>45292</v>
      </c>
      <c r="K3758">
        <v>-65276000</v>
      </c>
    </row>
    <row r="3759" spans="5:11" x14ac:dyDescent="0.25">
      <c r="E3759" t="s">
        <v>7367</v>
      </c>
      <c r="F3759">
        <v>1706509</v>
      </c>
      <c r="G3759" s="1">
        <v>45382</v>
      </c>
      <c r="H3759" t="s">
        <v>7368</v>
      </c>
      <c r="I3759" t="s">
        <v>1245</v>
      </c>
      <c r="J3759" s="1">
        <v>45292</v>
      </c>
      <c r="K3759">
        <v>-1040190</v>
      </c>
    </row>
    <row r="3760" spans="5:11" x14ac:dyDescent="0.25">
      <c r="E3760" t="s">
        <v>7369</v>
      </c>
      <c r="F3760">
        <v>1706524</v>
      </c>
      <c r="G3760" s="1">
        <v>45382</v>
      </c>
      <c r="H3760" t="s">
        <v>7370</v>
      </c>
      <c r="I3760" t="s">
        <v>92</v>
      </c>
      <c r="J3760" s="1">
        <v>45292</v>
      </c>
      <c r="K3760">
        <v>-2141503</v>
      </c>
    </row>
    <row r="3761" spans="5:11" x14ac:dyDescent="0.25">
      <c r="E3761" t="s">
        <v>7371</v>
      </c>
      <c r="F3761">
        <v>1706946</v>
      </c>
      <c r="G3761" s="1">
        <v>45382</v>
      </c>
      <c r="H3761" t="s">
        <v>7372</v>
      </c>
      <c r="I3761" t="s">
        <v>36</v>
      </c>
      <c r="J3761" s="1">
        <v>45292</v>
      </c>
      <c r="K3761">
        <v>-102012000</v>
      </c>
    </row>
    <row r="3762" spans="5:11" x14ac:dyDescent="0.25">
      <c r="E3762" t="s">
        <v>7373</v>
      </c>
      <c r="F3762">
        <v>1707910</v>
      </c>
      <c r="G3762" s="1">
        <v>45382</v>
      </c>
      <c r="H3762" t="s">
        <v>7374</v>
      </c>
      <c r="I3762" t="s">
        <v>1716</v>
      </c>
      <c r="J3762" s="1">
        <v>45292</v>
      </c>
      <c r="K3762">
        <v>-990544</v>
      </c>
    </row>
    <row r="3763" spans="5:11" x14ac:dyDescent="0.25">
      <c r="E3763" t="s">
        <v>7375</v>
      </c>
      <c r="F3763">
        <v>1707919</v>
      </c>
      <c r="G3763" s="1">
        <v>45382</v>
      </c>
      <c r="H3763" t="s">
        <v>7376</v>
      </c>
      <c r="I3763" t="s">
        <v>46</v>
      </c>
      <c r="J3763" s="1">
        <v>45292</v>
      </c>
      <c r="K3763">
        <v>-9230151</v>
      </c>
    </row>
    <row r="3764" spans="5:11" x14ac:dyDescent="0.25">
      <c r="E3764" t="s">
        <v>7377</v>
      </c>
      <c r="F3764">
        <v>1707925</v>
      </c>
      <c r="G3764" s="1">
        <v>45382</v>
      </c>
      <c r="H3764" t="s">
        <v>7378</v>
      </c>
      <c r="I3764" t="s">
        <v>27</v>
      </c>
      <c r="J3764" s="1">
        <v>45292</v>
      </c>
      <c r="K3764">
        <v>1627000000</v>
      </c>
    </row>
    <row r="3765" spans="5:11" x14ac:dyDescent="0.25">
      <c r="E3765" t="s">
        <v>7379</v>
      </c>
      <c r="F3765">
        <v>1708035</v>
      </c>
      <c r="G3765" s="1">
        <v>45382</v>
      </c>
      <c r="H3765" t="s">
        <v>7380</v>
      </c>
      <c r="I3765" t="s">
        <v>39</v>
      </c>
      <c r="J3765" s="1">
        <v>45292</v>
      </c>
      <c r="K3765">
        <v>1221000</v>
      </c>
    </row>
    <row r="3766" spans="5:11" x14ac:dyDescent="0.25">
      <c r="E3766" t="s">
        <v>7381</v>
      </c>
      <c r="F3766">
        <v>1708055</v>
      </c>
      <c r="G3766" s="1">
        <v>45382</v>
      </c>
      <c r="H3766" t="s">
        <v>7382</v>
      </c>
      <c r="I3766" t="s">
        <v>30</v>
      </c>
      <c r="J3766" s="1">
        <v>45292</v>
      </c>
      <c r="K3766">
        <v>-30361000</v>
      </c>
    </row>
    <row r="3767" spans="5:11" x14ac:dyDescent="0.25">
      <c r="E3767" t="s">
        <v>7383</v>
      </c>
      <c r="F3767">
        <v>1708331</v>
      </c>
      <c r="G3767" s="1">
        <v>45382</v>
      </c>
      <c r="H3767" t="s">
        <v>7384</v>
      </c>
      <c r="I3767" t="s">
        <v>39</v>
      </c>
      <c r="J3767" s="1">
        <v>45292</v>
      </c>
      <c r="K3767">
        <v>-3220424</v>
      </c>
    </row>
    <row r="3768" spans="5:11" x14ac:dyDescent="0.25">
      <c r="E3768" t="s">
        <v>7385</v>
      </c>
      <c r="F3768">
        <v>1708341</v>
      </c>
      <c r="G3768" s="1">
        <v>45382</v>
      </c>
      <c r="H3768" t="s">
        <v>7386</v>
      </c>
      <c r="I3768" t="s">
        <v>57</v>
      </c>
      <c r="J3768" s="1">
        <v>45292</v>
      </c>
      <c r="K3768">
        <v>-1699110</v>
      </c>
    </row>
    <row r="3769" spans="5:11" x14ac:dyDescent="0.25">
      <c r="E3769" t="s">
        <v>7387</v>
      </c>
      <c r="F3769">
        <v>1708527</v>
      </c>
      <c r="G3769" s="1">
        <v>45382</v>
      </c>
      <c r="H3769" t="s">
        <v>7388</v>
      </c>
      <c r="I3769" t="s">
        <v>299</v>
      </c>
      <c r="J3769" s="1">
        <v>45292</v>
      </c>
      <c r="K3769">
        <v>-17994000</v>
      </c>
    </row>
    <row r="3770" spans="5:11" x14ac:dyDescent="0.25">
      <c r="E3770" t="s">
        <v>7389</v>
      </c>
      <c r="F3770">
        <v>1708599</v>
      </c>
      <c r="G3770" s="1">
        <v>45382</v>
      </c>
      <c r="H3770" t="s">
        <v>7390</v>
      </c>
      <c r="I3770" t="s">
        <v>1123</v>
      </c>
      <c r="J3770" s="1">
        <v>45292</v>
      </c>
      <c r="K3770">
        <v>-9437000</v>
      </c>
    </row>
    <row r="3771" spans="5:11" x14ac:dyDescent="0.25">
      <c r="E3771" t="s">
        <v>7391</v>
      </c>
      <c r="F3771">
        <v>1708646</v>
      </c>
      <c r="G3771" s="1">
        <v>45382</v>
      </c>
      <c r="H3771" t="s">
        <v>7392</v>
      </c>
      <c r="I3771" t="s">
        <v>57</v>
      </c>
      <c r="J3771" s="1">
        <v>45292</v>
      </c>
      <c r="K3771">
        <v>42689494</v>
      </c>
    </row>
    <row r="3772" spans="5:11" x14ac:dyDescent="0.25">
      <c r="E3772" t="s">
        <v>10540</v>
      </c>
      <c r="F3772">
        <v>1709164</v>
      </c>
      <c r="G3772" s="1">
        <v>45382</v>
      </c>
      <c r="H3772" t="s">
        <v>7393</v>
      </c>
      <c r="I3772" t="s">
        <v>123</v>
      </c>
      <c r="J3772" s="1">
        <v>45292</v>
      </c>
      <c r="K3772">
        <v>-1162000</v>
      </c>
    </row>
    <row r="3773" spans="5:11" x14ac:dyDescent="0.25">
      <c r="E3773" t="s">
        <v>7394</v>
      </c>
      <c r="F3773">
        <v>1709442</v>
      </c>
      <c r="G3773" s="1">
        <v>45382</v>
      </c>
      <c r="H3773" t="s">
        <v>7395</v>
      </c>
      <c r="I3773" t="s">
        <v>92</v>
      </c>
      <c r="J3773" s="1">
        <v>45292</v>
      </c>
      <c r="K3773">
        <v>12296000</v>
      </c>
    </row>
    <row r="3774" spans="5:11" x14ac:dyDescent="0.25">
      <c r="E3774" t="s">
        <v>10541</v>
      </c>
      <c r="F3774">
        <v>1709682</v>
      </c>
      <c r="G3774" s="1">
        <v>45382</v>
      </c>
      <c r="H3774" t="s">
        <v>7396</v>
      </c>
      <c r="I3774" t="s">
        <v>137</v>
      </c>
      <c r="J3774" s="1">
        <v>45292</v>
      </c>
      <c r="K3774">
        <v>-14335000</v>
      </c>
    </row>
    <row r="3775" spans="5:11" x14ac:dyDescent="0.25">
      <c r="E3775" t="s">
        <v>7397</v>
      </c>
      <c r="F3775">
        <v>1710072</v>
      </c>
      <c r="G3775" s="1">
        <v>45382</v>
      </c>
      <c r="H3775" t="s">
        <v>7398</v>
      </c>
      <c r="I3775" t="s">
        <v>92</v>
      </c>
      <c r="J3775" s="1">
        <v>45292</v>
      </c>
      <c r="K3775">
        <v>-28525000</v>
      </c>
    </row>
    <row r="3776" spans="5:11" x14ac:dyDescent="0.25">
      <c r="E3776" t="s">
        <v>7399</v>
      </c>
      <c r="F3776">
        <v>1710155</v>
      </c>
      <c r="G3776" s="1">
        <v>45381</v>
      </c>
      <c r="H3776" t="s">
        <v>7400</v>
      </c>
      <c r="I3776" t="s">
        <v>64</v>
      </c>
      <c r="J3776" s="1">
        <v>45291</v>
      </c>
      <c r="K3776">
        <v>11685000</v>
      </c>
    </row>
    <row r="3777" spans="5:11" x14ac:dyDescent="0.25">
      <c r="E3777" t="s">
        <v>7401</v>
      </c>
      <c r="F3777">
        <v>1710340</v>
      </c>
      <c r="G3777" s="1">
        <v>45382</v>
      </c>
      <c r="H3777" t="s">
        <v>7402</v>
      </c>
      <c r="I3777" t="s">
        <v>19</v>
      </c>
      <c r="J3777" s="1">
        <v>45292</v>
      </c>
      <c r="K3777">
        <v>-811000</v>
      </c>
    </row>
    <row r="3778" spans="5:11" x14ac:dyDescent="0.25">
      <c r="E3778" t="s">
        <v>7403</v>
      </c>
      <c r="F3778">
        <v>1710366</v>
      </c>
      <c r="G3778" s="1">
        <v>45382</v>
      </c>
      <c r="H3778" t="s">
        <v>7404</v>
      </c>
      <c r="I3778" t="s">
        <v>39</v>
      </c>
      <c r="J3778" s="1">
        <v>45292</v>
      </c>
      <c r="K3778">
        <v>101891000</v>
      </c>
    </row>
    <row r="3779" spans="5:11" x14ac:dyDescent="0.25">
      <c r="E3779" t="s">
        <v>7405</v>
      </c>
      <c r="F3779">
        <v>1710482</v>
      </c>
      <c r="G3779" s="1">
        <v>45382</v>
      </c>
      <c r="H3779" t="s">
        <v>7406</v>
      </c>
      <c r="I3779" t="s">
        <v>123</v>
      </c>
      <c r="J3779" s="1">
        <v>45292</v>
      </c>
      <c r="K3779">
        <v>4204000</v>
      </c>
    </row>
    <row r="3780" spans="5:11" x14ac:dyDescent="0.25">
      <c r="E3780" t="s">
        <v>7407</v>
      </c>
      <c r="F3780">
        <v>1710495</v>
      </c>
      <c r="G3780" s="1">
        <v>45412</v>
      </c>
      <c r="H3780" t="s">
        <v>7408</v>
      </c>
      <c r="I3780" t="s">
        <v>36</v>
      </c>
      <c r="J3780" s="1">
        <v>45323</v>
      </c>
      <c r="K3780">
        <v>-3616</v>
      </c>
    </row>
    <row r="3781" spans="5:11" x14ac:dyDescent="0.25">
      <c r="E3781" t="s">
        <v>7409</v>
      </c>
      <c r="F3781">
        <v>1711269</v>
      </c>
      <c r="G3781" s="1">
        <v>45382</v>
      </c>
      <c r="H3781" t="s">
        <v>7410</v>
      </c>
      <c r="I3781" t="s">
        <v>137</v>
      </c>
      <c r="J3781" s="1">
        <v>45292</v>
      </c>
      <c r="K3781">
        <v>122700000</v>
      </c>
    </row>
    <row r="3782" spans="5:11" x14ac:dyDescent="0.25">
      <c r="E3782" t="s">
        <v>7411</v>
      </c>
      <c r="F3782">
        <v>1711279</v>
      </c>
      <c r="G3782" s="1">
        <v>45382</v>
      </c>
      <c r="H3782" t="s">
        <v>7412</v>
      </c>
      <c r="I3782" t="s">
        <v>39</v>
      </c>
      <c r="J3782" s="1">
        <v>45292</v>
      </c>
      <c r="K3782">
        <v>932000</v>
      </c>
    </row>
    <row r="3783" spans="5:11" x14ac:dyDescent="0.25">
      <c r="E3783" t="s">
        <v>10542</v>
      </c>
      <c r="F3783">
        <v>1711754</v>
      </c>
      <c r="G3783" s="1">
        <v>45382</v>
      </c>
      <c r="H3783" t="s">
        <v>7413</v>
      </c>
      <c r="I3783" t="s">
        <v>33</v>
      </c>
      <c r="J3783" s="1">
        <v>45292</v>
      </c>
      <c r="K3783">
        <v>-11025000</v>
      </c>
    </row>
    <row r="3784" spans="5:11" x14ac:dyDescent="0.25">
      <c r="E3784" t="s">
        <v>7414</v>
      </c>
      <c r="F3784">
        <v>1711786</v>
      </c>
      <c r="G3784" s="1">
        <v>45382</v>
      </c>
      <c r="H3784" t="s">
        <v>7415</v>
      </c>
      <c r="I3784" t="s">
        <v>57</v>
      </c>
      <c r="J3784" s="1">
        <v>45292</v>
      </c>
      <c r="K3784">
        <v>-2040783</v>
      </c>
    </row>
    <row r="3785" spans="5:11" x14ac:dyDescent="0.25">
      <c r="E3785" t="s">
        <v>7416</v>
      </c>
      <c r="F3785">
        <v>1711799</v>
      </c>
      <c r="G3785" s="1">
        <v>45382</v>
      </c>
      <c r="H3785" t="s">
        <v>7417</v>
      </c>
      <c r="I3785" t="s">
        <v>57</v>
      </c>
      <c r="J3785" s="1">
        <v>45292</v>
      </c>
      <c r="K3785">
        <v>-3805000</v>
      </c>
    </row>
    <row r="3786" spans="5:11" x14ac:dyDescent="0.25">
      <c r="E3786" t="s">
        <v>7418</v>
      </c>
      <c r="F3786">
        <v>1711929</v>
      </c>
      <c r="G3786" s="1">
        <v>45382</v>
      </c>
      <c r="H3786" t="s">
        <v>7419</v>
      </c>
      <c r="I3786" t="s">
        <v>33</v>
      </c>
      <c r="J3786" s="1">
        <v>45292</v>
      </c>
      <c r="K3786">
        <v>-81346000</v>
      </c>
    </row>
    <row r="3787" spans="5:11" x14ac:dyDescent="0.25">
      <c r="E3787" t="s">
        <v>7420</v>
      </c>
      <c r="F3787">
        <v>1711933</v>
      </c>
      <c r="G3787" s="1">
        <v>45382</v>
      </c>
      <c r="H3787" t="s">
        <v>7421</v>
      </c>
      <c r="I3787" t="s">
        <v>24</v>
      </c>
      <c r="J3787" s="1">
        <v>45292</v>
      </c>
      <c r="K3787">
        <v>-23484000</v>
      </c>
    </row>
    <row r="3788" spans="5:11" x14ac:dyDescent="0.25">
      <c r="E3788" t="s">
        <v>7422</v>
      </c>
      <c r="F3788">
        <v>1712184</v>
      </c>
      <c r="G3788" s="1">
        <v>45382</v>
      </c>
      <c r="H3788" t="s">
        <v>7423</v>
      </c>
      <c r="I3788" t="s">
        <v>919</v>
      </c>
      <c r="J3788" s="1">
        <v>45292</v>
      </c>
      <c r="K3788">
        <v>-500000</v>
      </c>
    </row>
    <row r="3789" spans="5:11" x14ac:dyDescent="0.25">
      <c r="E3789" t="s">
        <v>7424</v>
      </c>
      <c r="F3789">
        <v>1712189</v>
      </c>
      <c r="G3789" s="1">
        <v>45382</v>
      </c>
      <c r="H3789" t="s">
        <v>7425</v>
      </c>
      <c r="I3789" t="s">
        <v>30</v>
      </c>
      <c r="J3789" s="1">
        <v>45292</v>
      </c>
      <c r="K3789">
        <v>20383000</v>
      </c>
    </row>
    <row r="3790" spans="5:11" x14ac:dyDescent="0.25">
      <c r="E3790" t="s">
        <v>10543</v>
      </c>
      <c r="F3790">
        <v>1712463</v>
      </c>
      <c r="G3790" s="1">
        <v>45382</v>
      </c>
      <c r="H3790" t="s">
        <v>7426</v>
      </c>
      <c r="I3790" t="s">
        <v>60</v>
      </c>
      <c r="J3790" s="1">
        <v>45292</v>
      </c>
      <c r="K3790">
        <v>-8100000</v>
      </c>
    </row>
    <row r="3791" spans="5:11" x14ac:dyDescent="0.25">
      <c r="E3791" t="s">
        <v>7427</v>
      </c>
      <c r="F3791">
        <v>1712762</v>
      </c>
      <c r="G3791" s="1">
        <v>45382</v>
      </c>
      <c r="H3791" t="s">
        <v>7428</v>
      </c>
      <c r="I3791" t="s">
        <v>30</v>
      </c>
      <c r="J3791" s="1">
        <v>45292</v>
      </c>
      <c r="K3791">
        <v>-1961815</v>
      </c>
    </row>
    <row r="3792" spans="5:11" x14ac:dyDescent="0.25">
      <c r="E3792" t="s">
        <v>7429</v>
      </c>
      <c r="F3792">
        <v>1713210</v>
      </c>
      <c r="G3792" s="1">
        <v>45382</v>
      </c>
      <c r="H3792" t="s">
        <v>7430</v>
      </c>
      <c r="I3792" t="s">
        <v>4980</v>
      </c>
      <c r="J3792" s="1">
        <v>45292</v>
      </c>
      <c r="K3792">
        <v>-709707</v>
      </c>
    </row>
    <row r="3793" spans="5:11" x14ac:dyDescent="0.25">
      <c r="E3793" t="s">
        <v>7431</v>
      </c>
      <c r="F3793">
        <v>1713407</v>
      </c>
      <c r="G3793" s="1">
        <v>45382</v>
      </c>
      <c r="H3793" t="s">
        <v>7432</v>
      </c>
      <c r="I3793" t="s">
        <v>57</v>
      </c>
      <c r="J3793" s="1">
        <v>45292</v>
      </c>
      <c r="K3793">
        <v>-3308000</v>
      </c>
    </row>
    <row r="3794" spans="5:11" x14ac:dyDescent="0.25">
      <c r="E3794" t="s">
        <v>7433</v>
      </c>
      <c r="F3794">
        <v>1713445</v>
      </c>
      <c r="G3794" s="1">
        <v>45382</v>
      </c>
      <c r="H3794" t="s">
        <v>7434</v>
      </c>
      <c r="I3794" t="s">
        <v>36</v>
      </c>
      <c r="J3794" s="1">
        <v>45292</v>
      </c>
      <c r="K3794">
        <v>-575066000</v>
      </c>
    </row>
    <row r="3795" spans="5:11" x14ac:dyDescent="0.25">
      <c r="E3795" t="s">
        <v>7435</v>
      </c>
      <c r="F3795">
        <v>1713683</v>
      </c>
      <c r="G3795" s="1">
        <v>45412</v>
      </c>
      <c r="H3795" t="s">
        <v>7436</v>
      </c>
      <c r="I3795" t="s">
        <v>36</v>
      </c>
      <c r="J3795" s="1">
        <v>45323</v>
      </c>
      <c r="K3795">
        <v>19124000</v>
      </c>
    </row>
    <row r="3796" spans="5:11" x14ac:dyDescent="0.25">
      <c r="E3796" t="s">
        <v>7437</v>
      </c>
      <c r="F3796">
        <v>1713863</v>
      </c>
      <c r="G3796" s="1">
        <v>45412</v>
      </c>
      <c r="H3796" t="s">
        <v>7438</v>
      </c>
      <c r="I3796" t="s">
        <v>46</v>
      </c>
      <c r="J3796" s="1">
        <v>45323</v>
      </c>
      <c r="K3796">
        <v>-32351000</v>
      </c>
    </row>
    <row r="3797" spans="5:11" x14ac:dyDescent="0.25">
      <c r="E3797" t="s">
        <v>7439</v>
      </c>
      <c r="F3797">
        <v>1714899</v>
      </c>
      <c r="G3797" s="1">
        <v>45382</v>
      </c>
      <c r="H3797" t="s">
        <v>7440</v>
      </c>
      <c r="I3797" t="s">
        <v>36</v>
      </c>
      <c r="J3797" s="1">
        <v>45292</v>
      </c>
      <c r="K3797">
        <v>-101802000</v>
      </c>
    </row>
    <row r="3798" spans="5:11" x14ac:dyDescent="0.25">
      <c r="E3798" t="s">
        <v>7441</v>
      </c>
      <c r="F3798">
        <v>1715268</v>
      </c>
      <c r="G3798" s="1">
        <v>45382</v>
      </c>
      <c r="H3798" t="s">
        <v>7442</v>
      </c>
      <c r="I3798" t="s">
        <v>57</v>
      </c>
      <c r="J3798" s="1">
        <v>45292</v>
      </c>
      <c r="K3798">
        <v>52814000</v>
      </c>
    </row>
    <row r="3799" spans="5:11" x14ac:dyDescent="0.25">
      <c r="E3799" t="s">
        <v>7443</v>
      </c>
      <c r="F3799">
        <v>1715611</v>
      </c>
      <c r="G3799" s="1">
        <v>45412</v>
      </c>
      <c r="H3799" t="s">
        <v>7444</v>
      </c>
      <c r="I3799" t="s">
        <v>2552</v>
      </c>
      <c r="J3799" s="1">
        <v>45323</v>
      </c>
      <c r="K3799">
        <v>-2538190</v>
      </c>
    </row>
    <row r="3800" spans="5:11" x14ac:dyDescent="0.25">
      <c r="E3800" t="s">
        <v>7445</v>
      </c>
      <c r="F3800">
        <v>1715819</v>
      </c>
      <c r="G3800" s="1">
        <v>45382</v>
      </c>
      <c r="H3800" t="s">
        <v>7446</v>
      </c>
      <c r="I3800" t="s">
        <v>113</v>
      </c>
      <c r="J3800" s="1">
        <v>45292</v>
      </c>
      <c r="K3800">
        <v>-836274</v>
      </c>
    </row>
    <row r="3801" spans="5:11" x14ac:dyDescent="0.25">
      <c r="E3801" t="s">
        <v>7447</v>
      </c>
      <c r="F3801">
        <v>1715933</v>
      </c>
      <c r="G3801" s="1">
        <v>45382</v>
      </c>
      <c r="H3801" t="s">
        <v>7448</v>
      </c>
      <c r="I3801" t="s">
        <v>24</v>
      </c>
      <c r="J3801" s="1">
        <v>45292</v>
      </c>
      <c r="K3801">
        <v>11989000</v>
      </c>
    </row>
    <row r="3802" spans="5:11" x14ac:dyDescent="0.25">
      <c r="E3802" t="s">
        <v>7449</v>
      </c>
      <c r="F3802">
        <v>1716166</v>
      </c>
      <c r="G3802" s="1">
        <v>45382</v>
      </c>
      <c r="H3802" t="s">
        <v>7450</v>
      </c>
      <c r="I3802" t="s">
        <v>92</v>
      </c>
      <c r="J3802" s="1">
        <v>45292</v>
      </c>
      <c r="K3802">
        <v>-3763000</v>
      </c>
    </row>
    <row r="3803" spans="5:11" x14ac:dyDescent="0.25">
      <c r="E3803" t="s">
        <v>7451</v>
      </c>
      <c r="F3803">
        <v>1716583</v>
      </c>
      <c r="G3803" s="1">
        <v>45382</v>
      </c>
      <c r="H3803" t="s">
        <v>7452</v>
      </c>
      <c r="I3803" t="s">
        <v>19</v>
      </c>
      <c r="J3803" s="1">
        <v>45292</v>
      </c>
      <c r="K3803">
        <v>-34225000</v>
      </c>
    </row>
    <row r="3804" spans="5:11" x14ac:dyDescent="0.25">
      <c r="E3804" t="s">
        <v>7453</v>
      </c>
      <c r="F3804">
        <v>1716621</v>
      </c>
      <c r="G3804" s="1">
        <v>45382</v>
      </c>
      <c r="H3804" t="s">
        <v>7454</v>
      </c>
      <c r="I3804" t="s">
        <v>686</v>
      </c>
      <c r="J3804" s="1">
        <v>45292</v>
      </c>
      <c r="K3804">
        <v>-2675000</v>
      </c>
    </row>
    <row r="3805" spans="5:11" x14ac:dyDescent="0.25">
      <c r="E3805" t="s">
        <v>7455</v>
      </c>
      <c r="F3805">
        <v>1717307</v>
      </c>
      <c r="G3805" s="1">
        <v>45382</v>
      </c>
      <c r="H3805" t="s">
        <v>7456</v>
      </c>
      <c r="I3805" t="s">
        <v>24</v>
      </c>
      <c r="J3805" s="1">
        <v>45292</v>
      </c>
      <c r="K3805">
        <v>-23403000</v>
      </c>
    </row>
    <row r="3806" spans="5:11" x14ac:dyDescent="0.25">
      <c r="E3806" t="s">
        <v>7457</v>
      </c>
      <c r="F3806">
        <v>1717310</v>
      </c>
      <c r="G3806" s="1">
        <v>45382</v>
      </c>
      <c r="H3806" t="s">
        <v>7458</v>
      </c>
      <c r="I3806" t="s">
        <v>36</v>
      </c>
      <c r="J3806" s="1">
        <v>45292</v>
      </c>
      <c r="K3806">
        <v>2063035</v>
      </c>
    </row>
    <row r="3807" spans="5:11" x14ac:dyDescent="0.25">
      <c r="E3807" t="s">
        <v>7459</v>
      </c>
      <c r="F3807">
        <v>1717547</v>
      </c>
      <c r="G3807" s="1">
        <v>45382</v>
      </c>
      <c r="H3807" t="s">
        <v>7460</v>
      </c>
      <c r="I3807" t="s">
        <v>57</v>
      </c>
      <c r="J3807" s="1">
        <v>45292</v>
      </c>
      <c r="K3807">
        <v>-57103000</v>
      </c>
    </row>
    <row r="3808" spans="5:11" x14ac:dyDescent="0.25">
      <c r="E3808" t="s">
        <v>7461</v>
      </c>
      <c r="F3808">
        <v>1718224</v>
      </c>
      <c r="G3808" s="1">
        <v>45382</v>
      </c>
      <c r="H3808" t="s">
        <v>7462</v>
      </c>
      <c r="I3808" t="s">
        <v>518</v>
      </c>
      <c r="J3808" s="1">
        <v>45292</v>
      </c>
      <c r="K3808">
        <v>-445700</v>
      </c>
    </row>
    <row r="3809" spans="5:11" x14ac:dyDescent="0.25">
      <c r="E3809" t="s">
        <v>7463</v>
      </c>
      <c r="F3809">
        <v>1718227</v>
      </c>
      <c r="G3809" s="1">
        <v>45382</v>
      </c>
      <c r="H3809" t="s">
        <v>7464</v>
      </c>
      <c r="I3809" t="s">
        <v>1123</v>
      </c>
      <c r="J3809" s="1">
        <v>45292</v>
      </c>
      <c r="K3809">
        <v>-1124000</v>
      </c>
    </row>
    <row r="3810" spans="5:11" x14ac:dyDescent="0.25">
      <c r="E3810" t="s">
        <v>7465</v>
      </c>
      <c r="F3810">
        <v>1718405</v>
      </c>
      <c r="G3810" s="1">
        <v>45382</v>
      </c>
      <c r="H3810" t="s">
        <v>7466</v>
      </c>
      <c r="I3810" t="s">
        <v>142</v>
      </c>
      <c r="J3810" s="1">
        <v>45292</v>
      </c>
      <c r="K3810">
        <v>-20749000</v>
      </c>
    </row>
    <row r="3811" spans="5:11" x14ac:dyDescent="0.25">
      <c r="E3811" t="s">
        <v>7467</v>
      </c>
      <c r="F3811">
        <v>1718500</v>
      </c>
      <c r="G3811" s="1">
        <v>45351</v>
      </c>
      <c r="H3811" t="s">
        <v>7468</v>
      </c>
      <c r="I3811" t="s">
        <v>36</v>
      </c>
      <c r="J3811" s="1">
        <v>45261</v>
      </c>
      <c r="K3811">
        <v>781091</v>
      </c>
    </row>
    <row r="3812" spans="5:11" x14ac:dyDescent="0.25">
      <c r="E3812" t="s">
        <v>7469</v>
      </c>
      <c r="F3812">
        <v>1718512</v>
      </c>
      <c r="G3812" s="1">
        <v>45381</v>
      </c>
      <c r="H3812" t="s">
        <v>7470</v>
      </c>
      <c r="I3812" t="s">
        <v>92</v>
      </c>
      <c r="J3812" s="1">
        <v>45291</v>
      </c>
      <c r="K3812">
        <v>40000000</v>
      </c>
    </row>
    <row r="3813" spans="5:11" x14ac:dyDescent="0.25">
      <c r="E3813" t="s">
        <v>7471</v>
      </c>
      <c r="F3813">
        <v>1718939</v>
      </c>
      <c r="G3813" s="1">
        <v>45382</v>
      </c>
      <c r="H3813" t="s">
        <v>7472</v>
      </c>
      <c r="I3813" t="s">
        <v>64</v>
      </c>
      <c r="J3813" s="1">
        <v>45292</v>
      </c>
      <c r="K3813">
        <v>-2678569</v>
      </c>
    </row>
    <row r="3814" spans="5:11" x14ac:dyDescent="0.25">
      <c r="E3814" t="s">
        <v>7473</v>
      </c>
      <c r="F3814">
        <v>1719406</v>
      </c>
      <c r="G3814" s="1">
        <v>45382</v>
      </c>
      <c r="H3814" t="s">
        <v>7474</v>
      </c>
      <c r="I3814" t="s">
        <v>186</v>
      </c>
      <c r="J3814" s="1">
        <v>45292</v>
      </c>
      <c r="K3814">
        <v>-6528000</v>
      </c>
    </row>
    <row r="3815" spans="5:11" x14ac:dyDescent="0.25">
      <c r="E3815" t="s">
        <v>7475</v>
      </c>
      <c r="F3815">
        <v>1719714</v>
      </c>
      <c r="G3815" s="1">
        <v>45382</v>
      </c>
      <c r="H3815" t="s">
        <v>7476</v>
      </c>
      <c r="I3815" t="s">
        <v>594</v>
      </c>
      <c r="J3815" s="1">
        <v>45292</v>
      </c>
      <c r="K3815">
        <v>-8951000</v>
      </c>
    </row>
    <row r="3816" spans="5:11" x14ac:dyDescent="0.25">
      <c r="E3816" t="s">
        <v>7477</v>
      </c>
      <c r="F3816">
        <v>1720025</v>
      </c>
      <c r="G3816" s="1">
        <v>45382</v>
      </c>
      <c r="H3816" t="s">
        <v>7478</v>
      </c>
      <c r="I3816" t="s">
        <v>57</v>
      </c>
      <c r="J3816" s="1">
        <v>45292</v>
      </c>
      <c r="K3816">
        <v>-22210</v>
      </c>
    </row>
    <row r="3817" spans="5:11" x14ac:dyDescent="0.25">
      <c r="E3817" t="s">
        <v>7479</v>
      </c>
      <c r="F3817">
        <v>1720116</v>
      </c>
      <c r="G3817" s="1">
        <v>45382</v>
      </c>
      <c r="H3817" t="s">
        <v>7480</v>
      </c>
      <c r="I3817" t="s">
        <v>33</v>
      </c>
      <c r="J3817" s="1">
        <v>45292</v>
      </c>
      <c r="K3817">
        <v>1784000</v>
      </c>
    </row>
    <row r="3818" spans="5:11" x14ac:dyDescent="0.25">
      <c r="E3818" t="s">
        <v>7481</v>
      </c>
      <c r="F3818">
        <v>1720265</v>
      </c>
      <c r="G3818" s="1">
        <v>45382</v>
      </c>
      <c r="H3818" t="s">
        <v>7482</v>
      </c>
      <c r="I3818" t="s">
        <v>27</v>
      </c>
      <c r="J3818" s="1">
        <v>45292</v>
      </c>
      <c r="K3818">
        <v>847000</v>
      </c>
    </row>
    <row r="3819" spans="5:11" x14ac:dyDescent="0.25">
      <c r="E3819" t="s">
        <v>7483</v>
      </c>
      <c r="F3819">
        <v>1720286</v>
      </c>
      <c r="G3819" s="1">
        <v>45382</v>
      </c>
      <c r="H3819" t="s">
        <v>7484</v>
      </c>
      <c r="I3819" t="s">
        <v>57</v>
      </c>
      <c r="J3819" s="1">
        <v>45292</v>
      </c>
      <c r="K3819">
        <v>-16502</v>
      </c>
    </row>
    <row r="3820" spans="5:11" x14ac:dyDescent="0.25">
      <c r="E3820" t="s">
        <v>7485</v>
      </c>
      <c r="F3820">
        <v>1720420</v>
      </c>
      <c r="G3820" s="1">
        <v>45382</v>
      </c>
      <c r="H3820" t="s">
        <v>7486</v>
      </c>
      <c r="I3820" t="s">
        <v>899</v>
      </c>
      <c r="J3820" s="1">
        <v>45292</v>
      </c>
      <c r="K3820">
        <v>10310000</v>
      </c>
    </row>
    <row r="3821" spans="5:11" x14ac:dyDescent="0.25">
      <c r="E3821" t="s">
        <v>7487</v>
      </c>
      <c r="F3821">
        <v>1720580</v>
      </c>
      <c r="G3821" s="1">
        <v>45382</v>
      </c>
      <c r="H3821" t="s">
        <v>7488</v>
      </c>
      <c r="I3821" t="s">
        <v>24</v>
      </c>
      <c r="J3821" s="1">
        <v>45292</v>
      </c>
      <c r="K3821">
        <v>-28016000</v>
      </c>
    </row>
    <row r="3822" spans="5:11" x14ac:dyDescent="0.25">
      <c r="E3822" t="s">
        <v>7489</v>
      </c>
      <c r="F3822">
        <v>1720592</v>
      </c>
      <c r="G3822" s="1">
        <v>45382</v>
      </c>
      <c r="H3822" t="s">
        <v>7490</v>
      </c>
      <c r="I3822" t="s">
        <v>64</v>
      </c>
      <c r="J3822" s="1">
        <v>45292</v>
      </c>
      <c r="K3822">
        <v>-5212000</v>
      </c>
    </row>
    <row r="3823" spans="5:11" x14ac:dyDescent="0.25">
      <c r="E3823" t="s">
        <v>7491</v>
      </c>
      <c r="F3823">
        <v>1720635</v>
      </c>
      <c r="G3823" s="1">
        <v>45382</v>
      </c>
      <c r="H3823" t="s">
        <v>7492</v>
      </c>
      <c r="I3823" t="s">
        <v>594</v>
      </c>
      <c r="J3823" s="1">
        <v>45292</v>
      </c>
      <c r="K3823">
        <v>105100000</v>
      </c>
    </row>
    <row r="3824" spans="5:11" x14ac:dyDescent="0.25">
      <c r="E3824" t="s">
        <v>7493</v>
      </c>
      <c r="F3824">
        <v>1720671</v>
      </c>
      <c r="G3824" s="1">
        <v>45412</v>
      </c>
      <c r="H3824" t="s">
        <v>7494</v>
      </c>
      <c r="I3824" t="s">
        <v>36</v>
      </c>
      <c r="J3824" s="1">
        <v>45323</v>
      </c>
      <c r="K3824">
        <v>-51128000</v>
      </c>
    </row>
    <row r="3825" spans="5:11" x14ac:dyDescent="0.25">
      <c r="E3825" t="s">
        <v>7495</v>
      </c>
      <c r="F3825">
        <v>1720893</v>
      </c>
      <c r="G3825" s="1">
        <v>45382</v>
      </c>
      <c r="H3825" t="s">
        <v>7496</v>
      </c>
      <c r="I3825" t="s">
        <v>27</v>
      </c>
      <c r="J3825" s="1">
        <v>45292</v>
      </c>
      <c r="K3825">
        <v>-26791000</v>
      </c>
    </row>
    <row r="3826" spans="5:11" x14ac:dyDescent="0.25">
      <c r="E3826" t="s">
        <v>7497</v>
      </c>
      <c r="F3826">
        <v>1721056</v>
      </c>
      <c r="G3826" s="1">
        <v>45382</v>
      </c>
      <c r="H3826" t="s">
        <v>7498</v>
      </c>
      <c r="I3826" t="s">
        <v>36</v>
      </c>
      <c r="J3826" s="1">
        <v>45292</v>
      </c>
      <c r="K3826">
        <v>-18819</v>
      </c>
    </row>
    <row r="3827" spans="5:11" x14ac:dyDescent="0.25">
      <c r="E3827" t="s">
        <v>7499</v>
      </c>
      <c r="F3827">
        <v>1721386</v>
      </c>
      <c r="G3827" s="1">
        <v>45382</v>
      </c>
      <c r="H3827" t="s">
        <v>7500</v>
      </c>
      <c r="I3827" t="s">
        <v>30</v>
      </c>
      <c r="J3827" s="1">
        <v>45292</v>
      </c>
      <c r="K3827">
        <v>190000</v>
      </c>
    </row>
    <row r="3828" spans="5:11" x14ac:dyDescent="0.25">
      <c r="E3828" t="s">
        <v>7501</v>
      </c>
      <c r="F3828">
        <v>1721484</v>
      </c>
      <c r="G3828" s="1">
        <v>45382</v>
      </c>
      <c r="H3828" t="s">
        <v>7502</v>
      </c>
      <c r="I3828" t="s">
        <v>33</v>
      </c>
      <c r="J3828" s="1">
        <v>45292</v>
      </c>
      <c r="K3828">
        <v>-4058000</v>
      </c>
    </row>
    <row r="3829" spans="5:11" x14ac:dyDescent="0.25">
      <c r="E3829" t="s">
        <v>7503</v>
      </c>
      <c r="F3829">
        <v>1721741</v>
      </c>
      <c r="G3829" s="1">
        <v>45382</v>
      </c>
      <c r="H3829" t="s">
        <v>7504</v>
      </c>
      <c r="I3829" t="s">
        <v>33</v>
      </c>
      <c r="J3829" s="1">
        <v>45292</v>
      </c>
      <c r="K3829">
        <v>-21980000</v>
      </c>
    </row>
    <row r="3830" spans="5:11" x14ac:dyDescent="0.25">
      <c r="E3830" t="s">
        <v>7505</v>
      </c>
      <c r="F3830">
        <v>1721947</v>
      </c>
      <c r="G3830" s="1">
        <v>45382</v>
      </c>
      <c r="H3830" t="s">
        <v>7506</v>
      </c>
      <c r="I3830" t="s">
        <v>213</v>
      </c>
      <c r="J3830" s="1">
        <v>45292</v>
      </c>
      <c r="K3830">
        <v>-20524000</v>
      </c>
    </row>
    <row r="3831" spans="5:11" x14ac:dyDescent="0.25">
      <c r="E3831" t="s">
        <v>7507</v>
      </c>
      <c r="F3831">
        <v>1722010</v>
      </c>
      <c r="G3831" s="1">
        <v>45382</v>
      </c>
      <c r="H3831" t="s">
        <v>7508</v>
      </c>
      <c r="I3831" t="s">
        <v>36</v>
      </c>
      <c r="J3831" s="1">
        <v>45292</v>
      </c>
      <c r="K3831">
        <v>5226000</v>
      </c>
    </row>
    <row r="3832" spans="5:11" x14ac:dyDescent="0.25">
      <c r="E3832" t="s">
        <v>7509</v>
      </c>
      <c r="F3832">
        <v>1722438</v>
      </c>
      <c r="G3832" s="1">
        <v>45382</v>
      </c>
      <c r="H3832" t="s">
        <v>7510</v>
      </c>
      <c r="I3832" t="s">
        <v>36</v>
      </c>
      <c r="J3832" s="1">
        <v>45292</v>
      </c>
      <c r="K3832">
        <v>-20551000</v>
      </c>
    </row>
    <row r="3833" spans="5:11" x14ac:dyDescent="0.25">
      <c r="E3833" t="s">
        <v>7511</v>
      </c>
      <c r="F3833">
        <v>1722482</v>
      </c>
      <c r="G3833" s="1">
        <v>45382</v>
      </c>
      <c r="H3833" t="s">
        <v>7512</v>
      </c>
      <c r="I3833" t="s">
        <v>39</v>
      </c>
      <c r="J3833" s="1">
        <v>45292</v>
      </c>
      <c r="K3833">
        <v>60400000</v>
      </c>
    </row>
    <row r="3834" spans="5:11" x14ac:dyDescent="0.25">
      <c r="E3834" t="s">
        <v>7513</v>
      </c>
      <c r="F3834">
        <v>1722556</v>
      </c>
      <c r="G3834" s="1">
        <v>45351</v>
      </c>
      <c r="H3834" t="s">
        <v>7514</v>
      </c>
      <c r="I3834" t="s">
        <v>1511</v>
      </c>
      <c r="J3834" s="1">
        <v>45261</v>
      </c>
      <c r="K3834">
        <v>-9517</v>
      </c>
    </row>
    <row r="3835" spans="5:11" x14ac:dyDescent="0.25">
      <c r="E3835" t="s">
        <v>10544</v>
      </c>
      <c r="F3835">
        <v>1722684</v>
      </c>
      <c r="G3835" s="1">
        <v>45382</v>
      </c>
      <c r="H3835" t="s">
        <v>7515</v>
      </c>
      <c r="I3835" t="s">
        <v>46</v>
      </c>
      <c r="J3835" s="1">
        <v>45292</v>
      </c>
      <c r="K3835">
        <v>16000000</v>
      </c>
    </row>
    <row r="3836" spans="5:11" x14ac:dyDescent="0.25">
      <c r="E3836" t="s">
        <v>7516</v>
      </c>
      <c r="F3836">
        <v>1722964</v>
      </c>
      <c r="G3836" s="1">
        <v>45382</v>
      </c>
      <c r="H3836" t="s">
        <v>7517</v>
      </c>
      <c r="I3836" t="s">
        <v>57</v>
      </c>
      <c r="J3836" s="1">
        <v>45292</v>
      </c>
      <c r="K3836">
        <v>-6629000</v>
      </c>
    </row>
    <row r="3837" spans="5:11" x14ac:dyDescent="0.25">
      <c r="E3837" t="s">
        <v>7518</v>
      </c>
      <c r="F3837">
        <v>1722969</v>
      </c>
      <c r="G3837" s="1">
        <v>45382</v>
      </c>
      <c r="H3837" t="s">
        <v>7519</v>
      </c>
      <c r="I3837" t="s">
        <v>113</v>
      </c>
      <c r="J3837" s="1">
        <v>45292</v>
      </c>
      <c r="K3837">
        <v>-6541000</v>
      </c>
    </row>
    <row r="3838" spans="5:11" x14ac:dyDescent="0.25">
      <c r="E3838" t="s">
        <v>10545</v>
      </c>
      <c r="F3838">
        <v>1723059</v>
      </c>
      <c r="G3838" s="1">
        <v>45382</v>
      </c>
      <c r="H3838" t="s">
        <v>7520</v>
      </c>
      <c r="I3838" t="s">
        <v>36</v>
      </c>
      <c r="J3838" s="1">
        <v>45292</v>
      </c>
      <c r="K3838">
        <v>133938</v>
      </c>
    </row>
    <row r="3839" spans="5:11" x14ac:dyDescent="0.25">
      <c r="E3839" t="s">
        <v>7521</v>
      </c>
      <c r="F3839">
        <v>1723089</v>
      </c>
      <c r="G3839" s="1">
        <v>45382</v>
      </c>
      <c r="H3839" t="s">
        <v>7522</v>
      </c>
      <c r="I3839" t="s">
        <v>30</v>
      </c>
      <c r="J3839" s="1">
        <v>45292</v>
      </c>
      <c r="K3839">
        <v>112923000</v>
      </c>
    </row>
    <row r="3840" spans="5:11" x14ac:dyDescent="0.25">
      <c r="E3840" t="s">
        <v>7523</v>
      </c>
      <c r="F3840">
        <v>1723128</v>
      </c>
      <c r="G3840" s="1">
        <v>45382</v>
      </c>
      <c r="H3840" t="s">
        <v>7524</v>
      </c>
      <c r="I3840" t="s">
        <v>46</v>
      </c>
      <c r="J3840" s="1">
        <v>45292</v>
      </c>
      <c r="K3840">
        <v>-91643000</v>
      </c>
    </row>
    <row r="3841" spans="5:11" x14ac:dyDescent="0.25">
      <c r="E3841" t="s">
        <v>7525</v>
      </c>
      <c r="F3841">
        <v>1723580</v>
      </c>
      <c r="G3841" s="1">
        <v>45383</v>
      </c>
      <c r="H3841" t="s">
        <v>7526</v>
      </c>
      <c r="I3841" t="s">
        <v>33</v>
      </c>
      <c r="J3841" s="1">
        <v>45293</v>
      </c>
      <c r="K3841">
        <v>-6538000</v>
      </c>
    </row>
    <row r="3842" spans="5:11" x14ac:dyDescent="0.25">
      <c r="E3842" t="s">
        <v>7527</v>
      </c>
      <c r="F3842">
        <v>1723596</v>
      </c>
      <c r="G3842" s="1">
        <v>45382</v>
      </c>
      <c r="H3842" t="s">
        <v>7528</v>
      </c>
      <c r="I3842" t="s">
        <v>46</v>
      </c>
      <c r="J3842" s="1">
        <v>45292</v>
      </c>
      <c r="K3842">
        <v>-1155000</v>
      </c>
    </row>
    <row r="3843" spans="5:11" x14ac:dyDescent="0.25">
      <c r="E3843" t="s">
        <v>7529</v>
      </c>
      <c r="F3843">
        <v>1723788</v>
      </c>
      <c r="G3843" s="1">
        <v>45382</v>
      </c>
      <c r="H3843" t="s">
        <v>7530</v>
      </c>
      <c r="I3843" t="s">
        <v>36</v>
      </c>
      <c r="J3843" s="1">
        <v>45292</v>
      </c>
      <c r="K3843">
        <v>421884128</v>
      </c>
    </row>
    <row r="3844" spans="5:11" x14ac:dyDescent="0.25">
      <c r="E3844" t="s">
        <v>7531</v>
      </c>
      <c r="F3844">
        <v>1724521</v>
      </c>
      <c r="G3844" s="1">
        <v>45382</v>
      </c>
      <c r="H3844" t="s">
        <v>7532</v>
      </c>
      <c r="I3844" t="s">
        <v>36</v>
      </c>
      <c r="J3844" s="1">
        <v>45292</v>
      </c>
      <c r="K3844">
        <v>-4000000</v>
      </c>
    </row>
    <row r="3845" spans="5:11" x14ac:dyDescent="0.25">
      <c r="E3845" t="s">
        <v>7533</v>
      </c>
      <c r="F3845">
        <v>1724965</v>
      </c>
      <c r="G3845" s="1">
        <v>45382</v>
      </c>
      <c r="H3845" t="s">
        <v>7534</v>
      </c>
      <c r="I3845" t="s">
        <v>30</v>
      </c>
      <c r="J3845" s="1">
        <v>45292</v>
      </c>
      <c r="K3845">
        <v>-112439000</v>
      </c>
    </row>
    <row r="3846" spans="5:11" x14ac:dyDescent="0.25">
      <c r="E3846" t="s">
        <v>10546</v>
      </c>
      <c r="F3846">
        <v>1725057</v>
      </c>
      <c r="G3846" s="1">
        <v>45382</v>
      </c>
      <c r="H3846" t="s">
        <v>7535</v>
      </c>
      <c r="I3846" t="s">
        <v>213</v>
      </c>
      <c r="J3846" s="1">
        <v>45292</v>
      </c>
      <c r="K3846">
        <v>7100000</v>
      </c>
    </row>
    <row r="3847" spans="5:11" x14ac:dyDescent="0.25">
      <c r="E3847" t="s">
        <v>7536</v>
      </c>
      <c r="F3847">
        <v>1725134</v>
      </c>
      <c r="G3847" s="1">
        <v>45382</v>
      </c>
      <c r="H3847" t="s">
        <v>7537</v>
      </c>
      <c r="I3847" t="s">
        <v>33</v>
      </c>
      <c r="J3847" s="1">
        <v>45292</v>
      </c>
      <c r="K3847">
        <v>-25387000</v>
      </c>
    </row>
    <row r="3848" spans="5:11" x14ac:dyDescent="0.25">
      <c r="E3848" t="s">
        <v>7538</v>
      </c>
      <c r="F3848">
        <v>1725160</v>
      </c>
      <c r="G3848" s="1">
        <v>45382</v>
      </c>
      <c r="H3848" t="s">
        <v>7539</v>
      </c>
      <c r="I3848" t="s">
        <v>57</v>
      </c>
      <c r="J3848" s="1">
        <v>45292</v>
      </c>
      <c r="K3848">
        <v>10068000</v>
      </c>
    </row>
    <row r="3849" spans="5:11" x14ac:dyDescent="0.25">
      <c r="E3849" t="s">
        <v>7540</v>
      </c>
      <c r="F3849">
        <v>1725255</v>
      </c>
      <c r="G3849" s="1">
        <v>45382</v>
      </c>
      <c r="H3849" t="s">
        <v>7541</v>
      </c>
      <c r="I3849" t="s">
        <v>39</v>
      </c>
      <c r="J3849" s="1">
        <v>45292</v>
      </c>
      <c r="K3849">
        <v>-2134000</v>
      </c>
    </row>
    <row r="3850" spans="5:11" x14ac:dyDescent="0.25">
      <c r="E3850" t="s">
        <v>7542</v>
      </c>
      <c r="F3850">
        <v>1725430</v>
      </c>
      <c r="G3850" s="1">
        <v>45382</v>
      </c>
      <c r="H3850" t="s">
        <v>7543</v>
      </c>
      <c r="I3850" t="s">
        <v>57</v>
      </c>
      <c r="J3850" s="1">
        <v>45292</v>
      </c>
      <c r="K3850">
        <v>-2977667</v>
      </c>
    </row>
    <row r="3851" spans="5:11" x14ac:dyDescent="0.25">
      <c r="E3851" t="s">
        <v>7544</v>
      </c>
      <c r="F3851">
        <v>1725872</v>
      </c>
      <c r="G3851" s="1">
        <v>45382</v>
      </c>
      <c r="H3851" t="s">
        <v>7545</v>
      </c>
      <c r="I3851" t="s">
        <v>39</v>
      </c>
      <c r="J3851" s="1">
        <v>45292</v>
      </c>
      <c r="K3851">
        <v>748000</v>
      </c>
    </row>
    <row r="3852" spans="5:11" x14ac:dyDescent="0.25">
      <c r="E3852" t="s">
        <v>7546</v>
      </c>
      <c r="F3852">
        <v>1725911</v>
      </c>
      <c r="G3852" s="1">
        <v>45382</v>
      </c>
      <c r="H3852" t="s">
        <v>7547</v>
      </c>
      <c r="I3852" t="s">
        <v>57</v>
      </c>
      <c r="J3852" s="1">
        <v>45292</v>
      </c>
      <c r="K3852">
        <v>-439559</v>
      </c>
    </row>
    <row r="3853" spans="5:11" x14ac:dyDescent="0.25">
      <c r="E3853" t="s">
        <v>7548</v>
      </c>
      <c r="F3853">
        <v>1726079</v>
      </c>
      <c r="G3853" s="1">
        <v>45382</v>
      </c>
      <c r="H3853" t="s">
        <v>7549</v>
      </c>
      <c r="I3853" t="s">
        <v>1511</v>
      </c>
      <c r="J3853" s="1">
        <v>45292</v>
      </c>
      <c r="K3853">
        <v>-7216</v>
      </c>
    </row>
    <row r="3854" spans="5:11" x14ac:dyDescent="0.25">
      <c r="E3854" t="s">
        <v>7550</v>
      </c>
      <c r="F3854">
        <v>1726126</v>
      </c>
      <c r="G3854" s="1">
        <v>45382</v>
      </c>
      <c r="H3854" t="s">
        <v>7551</v>
      </c>
      <c r="I3854" t="s">
        <v>30</v>
      </c>
      <c r="J3854" s="1">
        <v>45292</v>
      </c>
      <c r="K3854">
        <v>1506896</v>
      </c>
    </row>
    <row r="3855" spans="5:11" x14ac:dyDescent="0.25">
      <c r="E3855" t="s">
        <v>7552</v>
      </c>
      <c r="F3855">
        <v>1726173</v>
      </c>
      <c r="G3855" s="1">
        <v>45382</v>
      </c>
      <c r="H3855" t="s">
        <v>7553</v>
      </c>
      <c r="I3855" t="s">
        <v>30</v>
      </c>
      <c r="J3855" s="1">
        <v>45292</v>
      </c>
      <c r="K3855">
        <v>22579000</v>
      </c>
    </row>
    <row r="3856" spans="5:11" x14ac:dyDescent="0.25">
      <c r="E3856" t="s">
        <v>7554</v>
      </c>
      <c r="F3856">
        <v>1726445</v>
      </c>
      <c r="G3856" s="1">
        <v>45382</v>
      </c>
      <c r="H3856" t="s">
        <v>7555</v>
      </c>
      <c r="I3856" t="s">
        <v>36</v>
      </c>
      <c r="J3856" s="1">
        <v>45292</v>
      </c>
      <c r="K3856">
        <v>-20679000</v>
      </c>
    </row>
    <row r="3857" spans="5:11" x14ac:dyDescent="0.25">
      <c r="E3857" t="s">
        <v>7556</v>
      </c>
      <c r="F3857">
        <v>1726548</v>
      </c>
      <c r="G3857" s="1">
        <v>45382</v>
      </c>
      <c r="H3857" t="s">
        <v>7557</v>
      </c>
      <c r="I3857" t="s">
        <v>57</v>
      </c>
      <c r="J3857" s="1">
        <v>45292</v>
      </c>
      <c r="K3857">
        <v>1665000</v>
      </c>
    </row>
    <row r="3858" spans="5:11" x14ac:dyDescent="0.25">
      <c r="E3858" t="s">
        <v>7558</v>
      </c>
      <c r="F3858">
        <v>1726711</v>
      </c>
      <c r="G3858" s="1">
        <v>45382</v>
      </c>
      <c r="H3858" t="s">
        <v>7559</v>
      </c>
      <c r="I3858" t="s">
        <v>123</v>
      </c>
      <c r="J3858" s="1">
        <v>45292</v>
      </c>
      <c r="K3858">
        <v>-14729727</v>
      </c>
    </row>
    <row r="3859" spans="5:11" x14ac:dyDescent="0.25">
      <c r="E3859" t="s">
        <v>7560</v>
      </c>
      <c r="F3859">
        <v>1726978</v>
      </c>
      <c r="G3859" s="1">
        <v>45382</v>
      </c>
      <c r="H3859" t="s">
        <v>7561</v>
      </c>
      <c r="I3859" t="s">
        <v>30</v>
      </c>
      <c r="J3859" s="1">
        <v>45292</v>
      </c>
      <c r="K3859">
        <v>1814000</v>
      </c>
    </row>
    <row r="3860" spans="5:11" x14ac:dyDescent="0.25">
      <c r="E3860" t="s">
        <v>7562</v>
      </c>
      <c r="F3860">
        <v>1727196</v>
      </c>
      <c r="G3860" s="1">
        <v>45382</v>
      </c>
      <c r="H3860" t="s">
        <v>7563</v>
      </c>
      <c r="I3860" t="s">
        <v>24</v>
      </c>
      <c r="J3860" s="1">
        <v>45292</v>
      </c>
      <c r="K3860">
        <v>-56853000</v>
      </c>
    </row>
    <row r="3861" spans="5:11" x14ac:dyDescent="0.25">
      <c r="E3861" t="s">
        <v>7564</v>
      </c>
      <c r="F3861">
        <v>1727255</v>
      </c>
      <c r="G3861" s="1">
        <v>45382</v>
      </c>
      <c r="H3861" t="s">
        <v>7565</v>
      </c>
      <c r="I3861" t="s">
        <v>39</v>
      </c>
      <c r="J3861" s="1">
        <v>45292</v>
      </c>
      <c r="K3861">
        <v>-263176</v>
      </c>
    </row>
    <row r="3862" spans="5:11" x14ac:dyDescent="0.25">
      <c r="E3862" t="s">
        <v>7566</v>
      </c>
      <c r="F3862">
        <v>1727263</v>
      </c>
      <c r="G3862" s="1">
        <v>45382</v>
      </c>
      <c r="H3862" t="s">
        <v>7567</v>
      </c>
      <c r="I3862" t="s">
        <v>69</v>
      </c>
      <c r="J3862" s="1">
        <v>45292</v>
      </c>
      <c r="K3862">
        <v>34000000</v>
      </c>
    </row>
    <row r="3863" spans="5:11" x14ac:dyDescent="0.25">
      <c r="E3863" t="s">
        <v>7568</v>
      </c>
      <c r="F3863">
        <v>1728117</v>
      </c>
      <c r="G3863" s="1">
        <v>45382</v>
      </c>
      <c r="H3863" t="s">
        <v>7569</v>
      </c>
      <c r="I3863" t="s">
        <v>36</v>
      </c>
      <c r="J3863" s="1">
        <v>45292</v>
      </c>
      <c r="K3863">
        <v>-41928000</v>
      </c>
    </row>
    <row r="3864" spans="5:11" x14ac:dyDescent="0.25">
      <c r="E3864" t="s">
        <v>7570</v>
      </c>
      <c r="F3864">
        <v>1728205</v>
      </c>
      <c r="G3864" s="1">
        <v>45382</v>
      </c>
      <c r="H3864" t="s">
        <v>7571</v>
      </c>
      <c r="I3864" t="s">
        <v>172</v>
      </c>
      <c r="J3864" s="1">
        <v>45292</v>
      </c>
      <c r="K3864">
        <v>-23611000</v>
      </c>
    </row>
    <row r="3865" spans="5:11" x14ac:dyDescent="0.25">
      <c r="E3865" t="s">
        <v>7572</v>
      </c>
      <c r="F3865">
        <v>1728688</v>
      </c>
      <c r="G3865" s="1">
        <v>45382</v>
      </c>
      <c r="H3865" t="s">
        <v>7573</v>
      </c>
      <c r="I3865" t="s">
        <v>69</v>
      </c>
      <c r="J3865" s="1">
        <v>45292</v>
      </c>
      <c r="K3865">
        <v>1878000</v>
      </c>
    </row>
    <row r="3866" spans="5:11" x14ac:dyDescent="0.25">
      <c r="E3866" t="s">
        <v>7574</v>
      </c>
      <c r="F3866">
        <v>1728951</v>
      </c>
      <c r="G3866" s="1">
        <v>45382</v>
      </c>
      <c r="H3866" t="s">
        <v>7575</v>
      </c>
      <c r="I3866" t="s">
        <v>46</v>
      </c>
      <c r="J3866" s="1">
        <v>45292</v>
      </c>
      <c r="K3866">
        <v>46975000</v>
      </c>
    </row>
    <row r="3867" spans="5:11" x14ac:dyDescent="0.25">
      <c r="E3867" t="s">
        <v>7576</v>
      </c>
      <c r="F3867">
        <v>1729149</v>
      </c>
      <c r="G3867" s="1">
        <v>45382</v>
      </c>
      <c r="H3867" t="s">
        <v>7577</v>
      </c>
      <c r="I3867" t="s">
        <v>179</v>
      </c>
      <c r="J3867" s="1">
        <v>45292</v>
      </c>
      <c r="K3867">
        <v>1603000</v>
      </c>
    </row>
    <row r="3868" spans="5:11" x14ac:dyDescent="0.25">
      <c r="E3868" t="s">
        <v>7578</v>
      </c>
      <c r="F3868">
        <v>1729427</v>
      </c>
      <c r="G3868" s="1">
        <v>45382</v>
      </c>
      <c r="H3868" t="s">
        <v>7579</v>
      </c>
      <c r="I3868" t="s">
        <v>30</v>
      </c>
      <c r="J3868" s="1">
        <v>45292</v>
      </c>
      <c r="K3868">
        <v>-3544748</v>
      </c>
    </row>
    <row r="3869" spans="5:11" x14ac:dyDescent="0.25">
      <c r="E3869" t="s">
        <v>7580</v>
      </c>
      <c r="F3869">
        <v>1729637</v>
      </c>
      <c r="G3869" s="1">
        <v>45351</v>
      </c>
      <c r="H3869" t="s">
        <v>7581</v>
      </c>
      <c r="I3869" t="s">
        <v>1716</v>
      </c>
      <c r="J3869" s="1">
        <v>45261</v>
      </c>
      <c r="K3869">
        <v>-471271</v>
      </c>
    </row>
    <row r="3870" spans="5:11" x14ac:dyDescent="0.25">
      <c r="E3870" t="s">
        <v>7582</v>
      </c>
      <c r="F3870">
        <v>1729944</v>
      </c>
      <c r="G3870" s="1">
        <v>45382</v>
      </c>
      <c r="H3870" t="s">
        <v>7583</v>
      </c>
      <c r="I3870" t="s">
        <v>69</v>
      </c>
      <c r="J3870" s="1">
        <v>45292</v>
      </c>
      <c r="K3870">
        <v>-407219</v>
      </c>
    </row>
    <row r="3871" spans="5:11" x14ac:dyDescent="0.25">
      <c r="E3871" t="s">
        <v>10547</v>
      </c>
      <c r="F3871">
        <v>1730430</v>
      </c>
      <c r="G3871" s="1">
        <v>45382</v>
      </c>
      <c r="H3871" t="s">
        <v>7584</v>
      </c>
      <c r="I3871" t="s">
        <v>594</v>
      </c>
      <c r="J3871" s="1">
        <v>45292</v>
      </c>
      <c r="K3871">
        <v>-17704000</v>
      </c>
    </row>
    <row r="3872" spans="5:11" x14ac:dyDescent="0.25">
      <c r="E3872" t="s">
        <v>7585</v>
      </c>
      <c r="F3872">
        <v>1730463</v>
      </c>
      <c r="G3872" s="1">
        <v>45382</v>
      </c>
      <c r="H3872" t="s">
        <v>7586</v>
      </c>
      <c r="I3872" t="s">
        <v>594</v>
      </c>
      <c r="J3872" s="1">
        <v>45292</v>
      </c>
      <c r="K3872">
        <v>-52690000</v>
      </c>
    </row>
    <row r="3873" spans="5:11" x14ac:dyDescent="0.25">
      <c r="E3873" t="s">
        <v>7587</v>
      </c>
      <c r="F3873">
        <v>1730773</v>
      </c>
      <c r="G3873" s="1">
        <v>45382</v>
      </c>
      <c r="H3873" t="s">
        <v>7588</v>
      </c>
      <c r="I3873" t="s">
        <v>33</v>
      </c>
      <c r="J3873" s="1">
        <v>45292</v>
      </c>
      <c r="K3873">
        <v>-1093095</v>
      </c>
    </row>
    <row r="3874" spans="5:11" x14ac:dyDescent="0.25">
      <c r="E3874" t="s">
        <v>7589</v>
      </c>
      <c r="F3874">
        <v>1730869</v>
      </c>
      <c r="G3874" s="1">
        <v>45412</v>
      </c>
      <c r="H3874" t="s">
        <v>7590</v>
      </c>
      <c r="I3874" t="s">
        <v>33</v>
      </c>
      <c r="J3874" s="1">
        <v>45323</v>
      </c>
      <c r="K3874">
        <v>-1384000</v>
      </c>
    </row>
    <row r="3875" spans="5:11" x14ac:dyDescent="0.25">
      <c r="E3875" t="s">
        <v>7591</v>
      </c>
      <c r="F3875">
        <v>1730984</v>
      </c>
      <c r="G3875" s="1">
        <v>45382</v>
      </c>
      <c r="H3875" t="s">
        <v>7592</v>
      </c>
      <c r="I3875" t="s">
        <v>36</v>
      </c>
      <c r="J3875" s="1">
        <v>45292</v>
      </c>
      <c r="K3875">
        <v>5877000</v>
      </c>
    </row>
    <row r="3876" spans="5:11" x14ac:dyDescent="0.25">
      <c r="E3876" t="s">
        <v>7593</v>
      </c>
      <c r="F3876">
        <v>1731289</v>
      </c>
      <c r="G3876" s="1">
        <v>45382</v>
      </c>
      <c r="H3876" t="s">
        <v>7594</v>
      </c>
      <c r="I3876" t="s">
        <v>113</v>
      </c>
      <c r="J3876" s="1">
        <v>45292</v>
      </c>
      <c r="K3876">
        <v>-147722000</v>
      </c>
    </row>
    <row r="3877" spans="5:11" x14ac:dyDescent="0.25">
      <c r="E3877" t="s">
        <v>7595</v>
      </c>
      <c r="F3877">
        <v>1731348</v>
      </c>
      <c r="G3877" s="1">
        <v>45351</v>
      </c>
      <c r="H3877" t="s">
        <v>7596</v>
      </c>
      <c r="I3877" t="s">
        <v>912</v>
      </c>
      <c r="J3877" s="1">
        <v>45261</v>
      </c>
      <c r="K3877">
        <v>-92701000</v>
      </c>
    </row>
    <row r="3878" spans="5:11" x14ac:dyDescent="0.25">
      <c r="E3878" t="s">
        <v>7597</v>
      </c>
      <c r="F3878">
        <v>1732406</v>
      </c>
      <c r="G3878" s="1">
        <v>45382</v>
      </c>
      <c r="H3878" t="s">
        <v>7598</v>
      </c>
      <c r="I3878" t="s">
        <v>27</v>
      </c>
      <c r="J3878" s="1">
        <v>45292</v>
      </c>
      <c r="K3878">
        <v>47067000</v>
      </c>
    </row>
    <row r="3879" spans="5:11" x14ac:dyDescent="0.25">
      <c r="E3879" t="s">
        <v>7599</v>
      </c>
      <c r="F3879">
        <v>1732409</v>
      </c>
      <c r="G3879" s="1">
        <v>45382</v>
      </c>
      <c r="H3879" t="s">
        <v>7600</v>
      </c>
      <c r="I3879" t="s">
        <v>27</v>
      </c>
      <c r="J3879" s="1">
        <v>45292</v>
      </c>
      <c r="K3879">
        <v>119991000</v>
      </c>
    </row>
    <row r="3880" spans="5:11" x14ac:dyDescent="0.25">
      <c r="E3880" t="s">
        <v>7601</v>
      </c>
      <c r="F3880">
        <v>1732845</v>
      </c>
      <c r="G3880" s="1">
        <v>45382</v>
      </c>
      <c r="H3880" t="s">
        <v>7602</v>
      </c>
      <c r="I3880" t="s">
        <v>64</v>
      </c>
      <c r="J3880" s="1">
        <v>45292</v>
      </c>
      <c r="K3880">
        <v>15500000</v>
      </c>
    </row>
    <row r="3881" spans="5:11" x14ac:dyDescent="0.25">
      <c r="E3881" t="s">
        <v>7603</v>
      </c>
      <c r="F3881">
        <v>1733257</v>
      </c>
      <c r="G3881" s="1">
        <v>45382</v>
      </c>
      <c r="H3881" t="s">
        <v>7604</v>
      </c>
      <c r="I3881" t="s">
        <v>24</v>
      </c>
      <c r="J3881" s="1">
        <v>45292</v>
      </c>
      <c r="K3881">
        <v>-3876000</v>
      </c>
    </row>
    <row r="3882" spans="5:11" x14ac:dyDescent="0.25">
      <c r="E3882" t="s">
        <v>7605</v>
      </c>
      <c r="F3882">
        <v>1733294</v>
      </c>
      <c r="G3882" s="1">
        <v>45382</v>
      </c>
      <c r="H3882" t="s">
        <v>7606</v>
      </c>
      <c r="I3882" t="s">
        <v>24</v>
      </c>
      <c r="J3882" s="1">
        <v>45292</v>
      </c>
      <c r="K3882">
        <v>-74541000</v>
      </c>
    </row>
    <row r="3883" spans="5:11" x14ac:dyDescent="0.25">
      <c r="E3883" t="s">
        <v>7607</v>
      </c>
      <c r="F3883">
        <v>1733413</v>
      </c>
      <c r="G3883" s="1">
        <v>45382</v>
      </c>
      <c r="H3883" t="s">
        <v>7608</v>
      </c>
      <c r="I3883" t="s">
        <v>30</v>
      </c>
      <c r="J3883" s="1">
        <v>45292</v>
      </c>
      <c r="K3883">
        <v>-5735144</v>
      </c>
    </row>
    <row r="3884" spans="5:11" x14ac:dyDescent="0.25">
      <c r="E3884" t="s">
        <v>7609</v>
      </c>
      <c r="F3884">
        <v>1733443</v>
      </c>
      <c r="G3884" s="1">
        <v>45382</v>
      </c>
      <c r="H3884" t="s">
        <v>7610</v>
      </c>
      <c r="I3884" t="s">
        <v>406</v>
      </c>
      <c r="J3884" s="1">
        <v>45292</v>
      </c>
      <c r="K3884">
        <v>-20245000</v>
      </c>
    </row>
    <row r="3885" spans="5:11" x14ac:dyDescent="0.25">
      <c r="E3885" t="s">
        <v>7611</v>
      </c>
      <c r="F3885">
        <v>1733998</v>
      </c>
      <c r="G3885" s="1">
        <v>45382</v>
      </c>
      <c r="H3885" t="s">
        <v>7612</v>
      </c>
      <c r="I3885" t="s">
        <v>963</v>
      </c>
      <c r="J3885" s="1">
        <v>45292</v>
      </c>
      <c r="K3885">
        <v>63823000</v>
      </c>
    </row>
    <row r="3886" spans="5:11" x14ac:dyDescent="0.25">
      <c r="E3886" t="s">
        <v>7613</v>
      </c>
      <c r="F3886">
        <v>1734342</v>
      </c>
      <c r="G3886" s="1">
        <v>45382</v>
      </c>
      <c r="H3886" t="s">
        <v>7614</v>
      </c>
      <c r="I3886" t="s">
        <v>33</v>
      </c>
      <c r="J3886" s="1">
        <v>45292</v>
      </c>
      <c r="K3886">
        <v>10568000</v>
      </c>
    </row>
    <row r="3887" spans="5:11" x14ac:dyDescent="0.25">
      <c r="E3887" t="s">
        <v>7615</v>
      </c>
      <c r="F3887">
        <v>1734713</v>
      </c>
      <c r="G3887" s="1">
        <v>45382</v>
      </c>
      <c r="H3887" t="s">
        <v>7616</v>
      </c>
      <c r="I3887" t="s">
        <v>39</v>
      </c>
      <c r="J3887" s="1">
        <v>45292</v>
      </c>
      <c r="K3887">
        <v>33700000</v>
      </c>
    </row>
    <row r="3888" spans="5:11" x14ac:dyDescent="0.25">
      <c r="E3888" t="s">
        <v>7617</v>
      </c>
      <c r="F3888">
        <v>1734722</v>
      </c>
      <c r="G3888" s="1">
        <v>45412</v>
      </c>
      <c r="H3888" t="s">
        <v>7618</v>
      </c>
      <c r="I3888" t="s">
        <v>57</v>
      </c>
      <c r="J3888" s="1">
        <v>45323</v>
      </c>
      <c r="K3888">
        <v>-28736000</v>
      </c>
    </row>
    <row r="3889" spans="5:11" x14ac:dyDescent="0.25">
      <c r="E3889" t="s">
        <v>7619</v>
      </c>
      <c r="F3889">
        <v>1734750</v>
      </c>
      <c r="G3889" s="1">
        <v>45382</v>
      </c>
      <c r="H3889" t="s">
        <v>7620</v>
      </c>
      <c r="I3889" t="s">
        <v>36</v>
      </c>
      <c r="J3889" s="1">
        <v>45292</v>
      </c>
      <c r="K3889">
        <v>-5720000</v>
      </c>
    </row>
    <row r="3890" spans="5:11" x14ac:dyDescent="0.25">
      <c r="E3890" t="s">
        <v>7621</v>
      </c>
      <c r="F3890">
        <v>1735041</v>
      </c>
      <c r="G3890" s="1">
        <v>45382</v>
      </c>
      <c r="H3890" t="s">
        <v>7622</v>
      </c>
      <c r="I3890" t="s">
        <v>46</v>
      </c>
      <c r="J3890" s="1">
        <v>45292</v>
      </c>
      <c r="K3890">
        <v>2502203</v>
      </c>
    </row>
    <row r="3891" spans="5:11" x14ac:dyDescent="0.25">
      <c r="E3891" t="s">
        <v>7623</v>
      </c>
      <c r="F3891">
        <v>1735092</v>
      </c>
      <c r="G3891" s="1">
        <v>45382</v>
      </c>
      <c r="H3891" t="s">
        <v>7624</v>
      </c>
      <c r="I3891" t="s">
        <v>36</v>
      </c>
      <c r="J3891" s="1">
        <v>45292</v>
      </c>
      <c r="K3891">
        <v>-524000</v>
      </c>
    </row>
    <row r="3892" spans="5:11" x14ac:dyDescent="0.25">
      <c r="E3892" t="s">
        <v>7625</v>
      </c>
      <c r="F3892">
        <v>1735438</v>
      </c>
      <c r="G3892" s="1">
        <v>45382</v>
      </c>
      <c r="H3892" t="s">
        <v>7626</v>
      </c>
      <c r="I3892" t="s">
        <v>57</v>
      </c>
      <c r="J3892" s="1">
        <v>45292</v>
      </c>
      <c r="K3892">
        <v>-20442000</v>
      </c>
    </row>
    <row r="3893" spans="5:11" x14ac:dyDescent="0.25">
      <c r="E3893" t="s">
        <v>10548</v>
      </c>
      <c r="F3893">
        <v>1735707</v>
      </c>
      <c r="G3893" s="1">
        <v>45382</v>
      </c>
      <c r="H3893" t="s">
        <v>7627</v>
      </c>
      <c r="I3893" t="s">
        <v>329</v>
      </c>
      <c r="J3893" s="1">
        <v>45292</v>
      </c>
      <c r="K3893">
        <v>66000000</v>
      </c>
    </row>
    <row r="3894" spans="5:11" x14ac:dyDescent="0.25">
      <c r="E3894" t="s">
        <v>7628</v>
      </c>
      <c r="F3894">
        <v>1735948</v>
      </c>
      <c r="G3894" s="1">
        <v>45382</v>
      </c>
      <c r="H3894" t="s">
        <v>7629</v>
      </c>
      <c r="I3894" t="s">
        <v>1716</v>
      </c>
      <c r="J3894" s="1">
        <v>45292</v>
      </c>
      <c r="K3894">
        <v>-14218296</v>
      </c>
    </row>
    <row r="3895" spans="5:11" x14ac:dyDescent="0.25">
      <c r="E3895" t="s">
        <v>7630</v>
      </c>
      <c r="F3895">
        <v>1736035</v>
      </c>
      <c r="G3895" s="1">
        <v>45382</v>
      </c>
      <c r="H3895" t="s">
        <v>7631</v>
      </c>
      <c r="I3895" t="s">
        <v>57</v>
      </c>
      <c r="J3895" s="1">
        <v>45292</v>
      </c>
      <c r="K3895">
        <v>183755000</v>
      </c>
    </row>
    <row r="3896" spans="5:11" x14ac:dyDescent="0.25">
      <c r="E3896" t="s">
        <v>7632</v>
      </c>
      <c r="F3896">
        <v>1736243</v>
      </c>
      <c r="G3896" s="1">
        <v>45382</v>
      </c>
      <c r="H3896" t="s">
        <v>7633</v>
      </c>
      <c r="I3896" t="s">
        <v>57</v>
      </c>
      <c r="J3896" s="1">
        <v>45292</v>
      </c>
      <c r="K3896">
        <v>-4377889</v>
      </c>
    </row>
    <row r="3897" spans="5:11" x14ac:dyDescent="0.25">
      <c r="E3897" t="s">
        <v>7634</v>
      </c>
      <c r="F3897">
        <v>1736297</v>
      </c>
      <c r="G3897" s="1">
        <v>45382</v>
      </c>
      <c r="H3897" t="s">
        <v>7635</v>
      </c>
      <c r="I3897" t="s">
        <v>36</v>
      </c>
      <c r="J3897" s="1">
        <v>45292</v>
      </c>
      <c r="K3897">
        <v>-92995000</v>
      </c>
    </row>
    <row r="3898" spans="5:11" x14ac:dyDescent="0.25">
      <c r="E3898" t="s">
        <v>7636</v>
      </c>
      <c r="F3898">
        <v>1736946</v>
      </c>
      <c r="G3898" s="1">
        <v>45382</v>
      </c>
      <c r="H3898" t="s">
        <v>7637</v>
      </c>
      <c r="I3898" t="s">
        <v>36</v>
      </c>
      <c r="J3898" s="1">
        <v>45292</v>
      </c>
      <c r="K3898">
        <v>-9644000</v>
      </c>
    </row>
    <row r="3899" spans="5:11" x14ac:dyDescent="0.25">
      <c r="E3899" t="s">
        <v>7638</v>
      </c>
      <c r="F3899">
        <v>1737193</v>
      </c>
      <c r="G3899" s="1">
        <v>45382</v>
      </c>
      <c r="H3899" t="s">
        <v>7639</v>
      </c>
      <c r="I3899" t="s">
        <v>2273</v>
      </c>
      <c r="J3899" s="1">
        <v>45292</v>
      </c>
      <c r="K3899">
        <v>1463422</v>
      </c>
    </row>
    <row r="3900" spans="5:11" x14ac:dyDescent="0.25">
      <c r="E3900" t="s">
        <v>7640</v>
      </c>
      <c r="F3900">
        <v>1737287</v>
      </c>
      <c r="G3900" s="1">
        <v>45382</v>
      </c>
      <c r="H3900" t="s">
        <v>7641</v>
      </c>
      <c r="I3900" t="s">
        <v>36</v>
      </c>
      <c r="J3900" s="1">
        <v>45292</v>
      </c>
      <c r="K3900">
        <v>-65000000</v>
      </c>
    </row>
    <row r="3901" spans="5:11" x14ac:dyDescent="0.25">
      <c r="E3901" t="s">
        <v>7642</v>
      </c>
      <c r="F3901">
        <v>1737523</v>
      </c>
      <c r="G3901" s="1">
        <v>45382</v>
      </c>
      <c r="H3901" t="s">
        <v>7643</v>
      </c>
      <c r="I3901" t="s">
        <v>3015</v>
      </c>
      <c r="J3901" s="1">
        <v>45292</v>
      </c>
      <c r="K3901">
        <v>-103757</v>
      </c>
    </row>
    <row r="3902" spans="5:11" x14ac:dyDescent="0.25">
      <c r="E3902" t="s">
        <v>7644</v>
      </c>
      <c r="F3902">
        <v>1737924</v>
      </c>
      <c r="G3902" s="1">
        <v>45382</v>
      </c>
      <c r="H3902" t="s">
        <v>7645</v>
      </c>
      <c r="I3902" t="s">
        <v>57</v>
      </c>
      <c r="J3902" s="1">
        <v>45292</v>
      </c>
      <c r="K3902">
        <v>30024000</v>
      </c>
    </row>
    <row r="3903" spans="5:11" x14ac:dyDescent="0.25">
      <c r="E3903" t="s">
        <v>7646</v>
      </c>
      <c r="F3903">
        <v>1737995</v>
      </c>
      <c r="G3903" s="1">
        <v>45382</v>
      </c>
      <c r="H3903" t="s">
        <v>7647</v>
      </c>
      <c r="I3903" t="s">
        <v>57</v>
      </c>
      <c r="J3903" s="1">
        <v>45292</v>
      </c>
      <c r="K3903">
        <v>-982386</v>
      </c>
    </row>
    <row r="3904" spans="5:11" x14ac:dyDescent="0.25">
      <c r="E3904" t="s">
        <v>7648</v>
      </c>
      <c r="F3904">
        <v>1738021</v>
      </c>
      <c r="G3904" s="1">
        <v>45382</v>
      </c>
      <c r="H3904" t="s">
        <v>7649</v>
      </c>
      <c r="I3904" t="s">
        <v>24</v>
      </c>
      <c r="J3904" s="1">
        <v>45292</v>
      </c>
      <c r="K3904">
        <v>-10787000</v>
      </c>
    </row>
    <row r="3905" spans="5:11" x14ac:dyDescent="0.25">
      <c r="E3905" t="s">
        <v>7650</v>
      </c>
      <c r="F3905">
        <v>1738177</v>
      </c>
      <c r="G3905" s="1">
        <v>45382</v>
      </c>
      <c r="H3905" t="s">
        <v>7651</v>
      </c>
      <c r="I3905" t="s">
        <v>19</v>
      </c>
      <c r="J3905" s="1">
        <v>45292</v>
      </c>
      <c r="K3905">
        <v>-26447000</v>
      </c>
    </row>
    <row r="3906" spans="5:11" x14ac:dyDescent="0.25">
      <c r="E3906" t="s">
        <v>10549</v>
      </c>
      <c r="F3906">
        <v>1738827</v>
      </c>
      <c r="G3906" s="1">
        <v>45382</v>
      </c>
      <c r="H3906" t="s">
        <v>7652</v>
      </c>
      <c r="I3906" t="s">
        <v>30</v>
      </c>
      <c r="J3906" s="1">
        <v>45292</v>
      </c>
      <c r="K3906">
        <v>-22200000</v>
      </c>
    </row>
    <row r="3907" spans="5:11" x14ac:dyDescent="0.25">
      <c r="E3907" t="s">
        <v>7653</v>
      </c>
      <c r="F3907">
        <v>1739104</v>
      </c>
      <c r="G3907" s="1">
        <v>45382</v>
      </c>
      <c r="H3907" t="s">
        <v>7654</v>
      </c>
      <c r="I3907" t="s">
        <v>288</v>
      </c>
      <c r="J3907" s="1">
        <v>45292</v>
      </c>
      <c r="K3907">
        <v>32000000</v>
      </c>
    </row>
    <row r="3908" spans="5:11" x14ac:dyDescent="0.25">
      <c r="E3908" t="s">
        <v>7655</v>
      </c>
      <c r="F3908">
        <v>1739174</v>
      </c>
      <c r="G3908" s="1">
        <v>45382</v>
      </c>
      <c r="H3908" t="s">
        <v>7656</v>
      </c>
      <c r="I3908" t="s">
        <v>299</v>
      </c>
      <c r="J3908" s="1">
        <v>45292</v>
      </c>
      <c r="K3908">
        <v>-17327000</v>
      </c>
    </row>
    <row r="3909" spans="5:11" x14ac:dyDescent="0.25">
      <c r="E3909" t="s">
        <v>7657</v>
      </c>
      <c r="F3909">
        <v>1739410</v>
      </c>
      <c r="G3909" s="1">
        <v>45382</v>
      </c>
      <c r="H3909" t="s">
        <v>7658</v>
      </c>
      <c r="I3909" t="s">
        <v>27</v>
      </c>
      <c r="J3909" s="1">
        <v>45292</v>
      </c>
      <c r="K3909">
        <v>-19029000</v>
      </c>
    </row>
    <row r="3910" spans="5:11" x14ac:dyDescent="0.25">
      <c r="E3910" t="s">
        <v>7659</v>
      </c>
      <c r="F3910">
        <v>1739445</v>
      </c>
      <c r="G3910" s="1">
        <v>45382</v>
      </c>
      <c r="H3910" t="s">
        <v>7660</v>
      </c>
      <c r="I3910" t="s">
        <v>30</v>
      </c>
      <c r="J3910" s="1">
        <v>45292</v>
      </c>
      <c r="K3910">
        <v>39200000</v>
      </c>
    </row>
    <row r="3911" spans="5:11" x14ac:dyDescent="0.25">
      <c r="E3911" t="s">
        <v>7661</v>
      </c>
      <c r="F3911">
        <v>1739566</v>
      </c>
      <c r="G3911" s="1">
        <v>45382</v>
      </c>
      <c r="H3911" t="s">
        <v>7662</v>
      </c>
      <c r="I3911" t="s">
        <v>39</v>
      </c>
      <c r="J3911" s="1">
        <v>45292</v>
      </c>
      <c r="K3911">
        <v>-3990000</v>
      </c>
    </row>
    <row r="3912" spans="5:11" x14ac:dyDescent="0.25">
      <c r="E3912" t="s">
        <v>7663</v>
      </c>
      <c r="F3912">
        <v>1739614</v>
      </c>
      <c r="G3912" s="1">
        <v>45382</v>
      </c>
      <c r="H3912" t="s">
        <v>7664</v>
      </c>
      <c r="I3912" t="s">
        <v>36</v>
      </c>
      <c r="J3912" s="1">
        <v>45292</v>
      </c>
      <c r="K3912">
        <v>-78710000</v>
      </c>
    </row>
    <row r="3913" spans="5:11" x14ac:dyDescent="0.25">
      <c r="E3913" t="s">
        <v>7665</v>
      </c>
      <c r="F3913">
        <v>1739942</v>
      </c>
      <c r="G3913" s="1">
        <v>45382</v>
      </c>
      <c r="H3913" t="s">
        <v>7666</v>
      </c>
      <c r="I3913" t="s">
        <v>30</v>
      </c>
      <c r="J3913" s="1">
        <v>45292</v>
      </c>
      <c r="K3913">
        <v>15559000</v>
      </c>
    </row>
    <row r="3914" spans="5:11" x14ac:dyDescent="0.25">
      <c r="E3914" t="s">
        <v>7667</v>
      </c>
      <c r="F3914">
        <v>1740279</v>
      </c>
      <c r="G3914" s="1">
        <v>45382</v>
      </c>
      <c r="H3914" t="s">
        <v>7668</v>
      </c>
      <c r="I3914" t="s">
        <v>57</v>
      </c>
      <c r="J3914" s="1">
        <v>45292</v>
      </c>
      <c r="K3914">
        <v>-8562000</v>
      </c>
    </row>
    <row r="3915" spans="5:11" x14ac:dyDescent="0.25">
      <c r="E3915" t="s">
        <v>7669</v>
      </c>
      <c r="F3915">
        <v>1740332</v>
      </c>
      <c r="G3915" s="1">
        <v>45381</v>
      </c>
      <c r="H3915" t="s">
        <v>7670</v>
      </c>
      <c r="I3915" t="s">
        <v>113</v>
      </c>
      <c r="J3915" s="1">
        <v>45292</v>
      </c>
      <c r="K3915">
        <v>43000000</v>
      </c>
    </row>
    <row r="3916" spans="5:11" x14ac:dyDescent="0.25">
      <c r="E3916" t="s">
        <v>7671</v>
      </c>
      <c r="F3916">
        <v>1740742</v>
      </c>
      <c r="G3916" s="1">
        <v>45382</v>
      </c>
      <c r="H3916" t="s">
        <v>7672</v>
      </c>
      <c r="I3916" t="s">
        <v>57</v>
      </c>
      <c r="J3916" s="1">
        <v>45292</v>
      </c>
      <c r="K3916">
        <v>-3818470</v>
      </c>
    </row>
    <row r="3917" spans="5:11" x14ac:dyDescent="0.25">
      <c r="E3917" t="s">
        <v>7673</v>
      </c>
      <c r="F3917">
        <v>1741489</v>
      </c>
      <c r="G3917" s="1">
        <v>45382</v>
      </c>
      <c r="H3917" t="s">
        <v>7674</v>
      </c>
      <c r="I3917" t="s">
        <v>5269</v>
      </c>
      <c r="J3917" s="1">
        <v>45292</v>
      </c>
      <c r="K3917">
        <v>77113</v>
      </c>
    </row>
    <row r="3918" spans="5:11" x14ac:dyDescent="0.25">
      <c r="E3918" t="s">
        <v>7675</v>
      </c>
      <c r="F3918">
        <v>1741830</v>
      </c>
      <c r="G3918" s="1">
        <v>45382</v>
      </c>
      <c r="H3918" t="s">
        <v>7676</v>
      </c>
      <c r="I3918" t="s">
        <v>36</v>
      </c>
      <c r="J3918" s="1">
        <v>45292</v>
      </c>
      <c r="K3918">
        <v>-29958000</v>
      </c>
    </row>
    <row r="3919" spans="5:11" x14ac:dyDescent="0.25">
      <c r="E3919" t="s">
        <v>7677</v>
      </c>
      <c r="F3919">
        <v>1742313</v>
      </c>
      <c r="G3919" s="1">
        <v>45382</v>
      </c>
      <c r="H3919" t="s">
        <v>7678</v>
      </c>
      <c r="I3919" t="s">
        <v>19</v>
      </c>
      <c r="J3919" s="1">
        <v>45292</v>
      </c>
      <c r="K3919">
        <v>49307000</v>
      </c>
    </row>
    <row r="3920" spans="5:11" x14ac:dyDescent="0.25">
      <c r="E3920" t="s">
        <v>7679</v>
      </c>
      <c r="F3920">
        <v>1742927</v>
      </c>
      <c r="G3920" s="1">
        <v>45382</v>
      </c>
      <c r="H3920" t="s">
        <v>7680</v>
      </c>
      <c r="I3920" t="s">
        <v>36</v>
      </c>
      <c r="J3920" s="1">
        <v>45292</v>
      </c>
      <c r="K3920">
        <v>-7433608</v>
      </c>
    </row>
    <row r="3921" spans="5:11" x14ac:dyDescent="0.25">
      <c r="E3921" t="s">
        <v>7681</v>
      </c>
      <c r="F3921">
        <v>1743415</v>
      </c>
      <c r="G3921" s="1">
        <v>45382</v>
      </c>
      <c r="H3921" t="s">
        <v>7682</v>
      </c>
      <c r="I3921" t="s">
        <v>57</v>
      </c>
      <c r="J3921" s="1">
        <v>45292</v>
      </c>
      <c r="K3921">
        <v>7276000</v>
      </c>
    </row>
    <row r="3922" spans="5:11" x14ac:dyDescent="0.25">
      <c r="E3922" t="s">
        <v>10550</v>
      </c>
      <c r="F3922">
        <v>1743725</v>
      </c>
      <c r="G3922" s="1">
        <v>45382</v>
      </c>
      <c r="H3922" t="s">
        <v>7683</v>
      </c>
      <c r="I3922" t="s">
        <v>36</v>
      </c>
      <c r="J3922" s="1">
        <v>45292</v>
      </c>
      <c r="K3922">
        <v>-3948000</v>
      </c>
    </row>
    <row r="3923" spans="5:11" x14ac:dyDescent="0.25">
      <c r="E3923" t="s">
        <v>7684</v>
      </c>
      <c r="F3923">
        <v>1743745</v>
      </c>
      <c r="G3923" s="1">
        <v>45382</v>
      </c>
      <c r="H3923" t="s">
        <v>7685</v>
      </c>
      <c r="I3923" t="s">
        <v>33</v>
      </c>
      <c r="J3923" s="1">
        <v>45292</v>
      </c>
      <c r="K3923">
        <v>-4491000</v>
      </c>
    </row>
    <row r="3924" spans="5:11" x14ac:dyDescent="0.25">
      <c r="E3924" t="s">
        <v>7686</v>
      </c>
      <c r="F3924">
        <v>1743759</v>
      </c>
      <c r="G3924" s="1">
        <v>45382</v>
      </c>
      <c r="H3924" t="s">
        <v>7687</v>
      </c>
      <c r="I3924" t="s">
        <v>36</v>
      </c>
      <c r="J3924" s="1">
        <v>45292</v>
      </c>
      <c r="K3924">
        <v>-11565000</v>
      </c>
    </row>
    <row r="3925" spans="5:11" x14ac:dyDescent="0.25">
      <c r="E3925" t="s">
        <v>10551</v>
      </c>
      <c r="F3925">
        <v>1743907</v>
      </c>
      <c r="G3925" s="1">
        <v>45382</v>
      </c>
      <c r="H3925" t="s">
        <v>7688</v>
      </c>
      <c r="I3925" t="s">
        <v>213</v>
      </c>
      <c r="J3925" s="1">
        <v>45292</v>
      </c>
      <c r="K3925">
        <v>35313000</v>
      </c>
    </row>
    <row r="3926" spans="5:11" x14ac:dyDescent="0.25">
      <c r="E3926" t="s">
        <v>7689</v>
      </c>
      <c r="F3926">
        <v>1744489</v>
      </c>
      <c r="G3926" s="1">
        <v>45381</v>
      </c>
      <c r="H3926" t="s">
        <v>7690</v>
      </c>
      <c r="I3926" t="s">
        <v>36</v>
      </c>
      <c r="J3926" s="1">
        <v>45291</v>
      </c>
      <c r="K3926">
        <v>-20000000</v>
      </c>
    </row>
    <row r="3927" spans="5:11" x14ac:dyDescent="0.25">
      <c r="E3927" t="s">
        <v>7691</v>
      </c>
      <c r="F3927">
        <v>1744494</v>
      </c>
      <c r="G3927" s="1">
        <v>45382</v>
      </c>
      <c r="H3927" t="s">
        <v>7692</v>
      </c>
      <c r="I3927" t="s">
        <v>36</v>
      </c>
      <c r="J3927" s="1">
        <v>45292</v>
      </c>
      <c r="K3927">
        <v>-9356000</v>
      </c>
    </row>
    <row r="3928" spans="5:11" x14ac:dyDescent="0.25">
      <c r="E3928" t="s">
        <v>7693</v>
      </c>
      <c r="F3928">
        <v>1744659</v>
      </c>
      <c r="G3928" s="1">
        <v>45382</v>
      </c>
      <c r="H3928" t="s">
        <v>7694</v>
      </c>
      <c r="I3928" t="s">
        <v>36</v>
      </c>
      <c r="J3928" s="1">
        <v>45292</v>
      </c>
      <c r="K3928">
        <v>-53344000</v>
      </c>
    </row>
    <row r="3929" spans="5:11" x14ac:dyDescent="0.25">
      <c r="E3929" t="s">
        <v>7695</v>
      </c>
      <c r="F3929">
        <v>1745078</v>
      </c>
      <c r="G3929" s="1">
        <v>45382</v>
      </c>
      <c r="H3929" t="s">
        <v>7696</v>
      </c>
      <c r="I3929" t="s">
        <v>686</v>
      </c>
      <c r="J3929" s="1">
        <v>45292</v>
      </c>
      <c r="K3929">
        <v>-80616</v>
      </c>
    </row>
    <row r="3930" spans="5:11" x14ac:dyDescent="0.25">
      <c r="E3930" t="s">
        <v>7697</v>
      </c>
      <c r="F3930">
        <v>1745916</v>
      </c>
      <c r="G3930" s="1">
        <v>45382</v>
      </c>
      <c r="H3930" t="s">
        <v>7698</v>
      </c>
      <c r="I3930" t="s">
        <v>36</v>
      </c>
      <c r="J3930" s="1">
        <v>45292</v>
      </c>
      <c r="K3930">
        <v>39308000</v>
      </c>
    </row>
    <row r="3931" spans="5:11" x14ac:dyDescent="0.25">
      <c r="E3931" t="s">
        <v>7699</v>
      </c>
      <c r="F3931">
        <v>1745999</v>
      </c>
      <c r="G3931" s="1">
        <v>45382</v>
      </c>
      <c r="H3931" t="s">
        <v>7700</v>
      </c>
      <c r="I3931" t="s">
        <v>24</v>
      </c>
      <c r="J3931" s="1">
        <v>45292</v>
      </c>
      <c r="K3931">
        <v>-98669000</v>
      </c>
    </row>
    <row r="3932" spans="5:11" x14ac:dyDescent="0.25">
      <c r="E3932" t="s">
        <v>7701</v>
      </c>
      <c r="F3932">
        <v>1746109</v>
      </c>
      <c r="G3932" s="1">
        <v>45382</v>
      </c>
      <c r="H3932" t="s">
        <v>7702</v>
      </c>
      <c r="I3932" t="s">
        <v>83</v>
      </c>
      <c r="J3932" s="1">
        <v>45292</v>
      </c>
      <c r="K3932">
        <v>15412000</v>
      </c>
    </row>
    <row r="3933" spans="5:11" x14ac:dyDescent="0.25">
      <c r="E3933" t="s">
        <v>7703</v>
      </c>
      <c r="F3933">
        <v>1746119</v>
      </c>
      <c r="G3933" s="1">
        <v>45412</v>
      </c>
      <c r="H3933" t="s">
        <v>7704</v>
      </c>
      <c r="I3933" t="s">
        <v>4227</v>
      </c>
      <c r="J3933" s="1">
        <v>45323</v>
      </c>
      <c r="K3933">
        <v>-30835</v>
      </c>
    </row>
    <row r="3934" spans="5:11" x14ac:dyDescent="0.25">
      <c r="E3934" t="s">
        <v>7705</v>
      </c>
      <c r="F3934">
        <v>1746129</v>
      </c>
      <c r="G3934" s="1">
        <v>45382</v>
      </c>
      <c r="H3934" t="s">
        <v>7706</v>
      </c>
      <c r="I3934" t="s">
        <v>277</v>
      </c>
      <c r="J3934" s="1">
        <v>45292</v>
      </c>
      <c r="K3934">
        <v>11288000</v>
      </c>
    </row>
    <row r="3935" spans="5:11" x14ac:dyDescent="0.25">
      <c r="E3935" t="s">
        <v>7707</v>
      </c>
      <c r="F3935">
        <v>1746466</v>
      </c>
      <c r="G3935" s="1">
        <v>45382</v>
      </c>
      <c r="H3935" t="s">
        <v>7708</v>
      </c>
      <c r="I3935" t="s">
        <v>36</v>
      </c>
      <c r="J3935" s="1">
        <v>45292</v>
      </c>
      <c r="K3935">
        <v>-2734000</v>
      </c>
    </row>
    <row r="3936" spans="5:11" x14ac:dyDescent="0.25">
      <c r="E3936" t="s">
        <v>7709</v>
      </c>
      <c r="F3936">
        <v>1746473</v>
      </c>
      <c r="G3936" s="1">
        <v>45382</v>
      </c>
      <c r="H3936" t="s">
        <v>7710</v>
      </c>
      <c r="I3936" t="s">
        <v>36</v>
      </c>
      <c r="J3936" s="1">
        <v>45292</v>
      </c>
      <c r="K3936">
        <v>-46955000</v>
      </c>
    </row>
    <row r="3937" spans="5:11" x14ac:dyDescent="0.25">
      <c r="E3937" t="s">
        <v>7711</v>
      </c>
      <c r="F3937">
        <v>1746618</v>
      </c>
      <c r="G3937" s="1">
        <v>45382</v>
      </c>
      <c r="H3937" t="s">
        <v>7712</v>
      </c>
      <c r="I3937" t="s">
        <v>36</v>
      </c>
      <c r="J3937" s="1">
        <v>45292</v>
      </c>
      <c r="K3937">
        <v>10873000</v>
      </c>
    </row>
    <row r="3938" spans="5:11" x14ac:dyDescent="0.25">
      <c r="E3938" t="s">
        <v>7713</v>
      </c>
      <c r="F3938">
        <v>1747009</v>
      </c>
      <c r="G3938" s="1">
        <v>45382</v>
      </c>
      <c r="H3938" t="s">
        <v>7714</v>
      </c>
      <c r="I3938" t="s">
        <v>39</v>
      </c>
      <c r="J3938" s="1">
        <v>45292</v>
      </c>
      <c r="K3938">
        <v>108999000</v>
      </c>
    </row>
    <row r="3939" spans="5:11" x14ac:dyDescent="0.25">
      <c r="E3939" t="s">
        <v>7715</v>
      </c>
      <c r="F3939">
        <v>1747068</v>
      </c>
      <c r="G3939" s="1">
        <v>45382</v>
      </c>
      <c r="H3939" t="s">
        <v>7716</v>
      </c>
      <c r="I3939" t="s">
        <v>64</v>
      </c>
      <c r="J3939" s="1">
        <v>45292</v>
      </c>
      <c r="K3939">
        <v>14631000</v>
      </c>
    </row>
    <row r="3940" spans="5:11" x14ac:dyDescent="0.25">
      <c r="E3940" t="s">
        <v>7717</v>
      </c>
      <c r="F3940">
        <v>1747079</v>
      </c>
      <c r="G3940" s="1">
        <v>45382</v>
      </c>
      <c r="H3940" t="s">
        <v>7718</v>
      </c>
      <c r="I3940" t="s">
        <v>101</v>
      </c>
      <c r="J3940" s="1">
        <v>45292</v>
      </c>
      <c r="K3940">
        <v>-173914000</v>
      </c>
    </row>
    <row r="3941" spans="5:11" x14ac:dyDescent="0.25">
      <c r="E3941" t="s">
        <v>7719</v>
      </c>
      <c r="F3941">
        <v>1747172</v>
      </c>
      <c r="G3941" s="1">
        <v>45382</v>
      </c>
      <c r="H3941" t="s">
        <v>7720</v>
      </c>
      <c r="I3941" t="s">
        <v>30</v>
      </c>
      <c r="J3941" s="1">
        <v>45292</v>
      </c>
      <c r="K3941">
        <v>27755000</v>
      </c>
    </row>
    <row r="3942" spans="5:11" x14ac:dyDescent="0.25">
      <c r="E3942" t="s">
        <v>7721</v>
      </c>
      <c r="F3942">
        <v>1747777</v>
      </c>
      <c r="G3942" s="1">
        <v>45382</v>
      </c>
      <c r="H3942" t="s">
        <v>7722</v>
      </c>
      <c r="I3942" t="s">
        <v>57</v>
      </c>
      <c r="J3942" s="1">
        <v>45292</v>
      </c>
      <c r="K3942">
        <v>90874000</v>
      </c>
    </row>
    <row r="3943" spans="5:11" x14ac:dyDescent="0.25">
      <c r="E3943" t="s">
        <v>7723</v>
      </c>
      <c r="F3943">
        <v>1748137</v>
      </c>
      <c r="G3943" s="1">
        <v>45382</v>
      </c>
      <c r="H3943" t="s">
        <v>7724</v>
      </c>
      <c r="I3943" t="s">
        <v>36</v>
      </c>
      <c r="J3943" s="1">
        <v>45292</v>
      </c>
      <c r="K3943">
        <v>-589473</v>
      </c>
    </row>
    <row r="3944" spans="5:11" x14ac:dyDescent="0.25">
      <c r="E3944" t="s">
        <v>7725</v>
      </c>
      <c r="F3944">
        <v>1748790</v>
      </c>
      <c r="G3944" s="1">
        <v>45382</v>
      </c>
      <c r="H3944" t="s">
        <v>7726</v>
      </c>
      <c r="I3944" t="s">
        <v>594</v>
      </c>
      <c r="J3944" s="1">
        <v>45292</v>
      </c>
      <c r="K3944">
        <v>187000000</v>
      </c>
    </row>
    <row r="3945" spans="5:11" x14ac:dyDescent="0.25">
      <c r="E3945" t="s">
        <v>7727</v>
      </c>
      <c r="F3945">
        <v>1748824</v>
      </c>
      <c r="G3945" s="1">
        <v>45382</v>
      </c>
      <c r="H3945" t="s">
        <v>7728</v>
      </c>
      <c r="I3945" t="s">
        <v>24</v>
      </c>
      <c r="J3945" s="1">
        <v>45292</v>
      </c>
      <c r="K3945">
        <v>14600000</v>
      </c>
    </row>
    <row r="3946" spans="5:11" x14ac:dyDescent="0.25">
      <c r="E3946" t="s">
        <v>7729</v>
      </c>
      <c r="F3946">
        <v>1748945</v>
      </c>
      <c r="G3946" s="1">
        <v>45382</v>
      </c>
      <c r="H3946" t="s">
        <v>7730</v>
      </c>
      <c r="I3946" t="s">
        <v>27</v>
      </c>
      <c r="J3946" s="1">
        <v>45292</v>
      </c>
      <c r="K3946">
        <v>3344000</v>
      </c>
    </row>
    <row r="3947" spans="5:11" x14ac:dyDescent="0.25">
      <c r="E3947" t="s">
        <v>7731</v>
      </c>
      <c r="F3947">
        <v>1749704</v>
      </c>
      <c r="G3947" s="1">
        <v>45382</v>
      </c>
      <c r="H3947" t="s">
        <v>7732</v>
      </c>
      <c r="I3947" t="s">
        <v>213</v>
      </c>
      <c r="J3947" s="1">
        <v>45292</v>
      </c>
      <c r="K3947">
        <v>-6607000</v>
      </c>
    </row>
    <row r="3948" spans="5:11" x14ac:dyDescent="0.25">
      <c r="E3948" t="s">
        <v>7733</v>
      </c>
      <c r="F3948">
        <v>1749723</v>
      </c>
      <c r="G3948" s="1">
        <v>45382</v>
      </c>
      <c r="H3948" t="s">
        <v>7734</v>
      </c>
      <c r="I3948" t="s">
        <v>57</v>
      </c>
      <c r="J3948" s="1">
        <v>45292</v>
      </c>
      <c r="K3948">
        <v>54081000</v>
      </c>
    </row>
    <row r="3949" spans="5:11" x14ac:dyDescent="0.25">
      <c r="E3949" t="s">
        <v>7735</v>
      </c>
      <c r="F3949">
        <v>1750106</v>
      </c>
      <c r="G3949" s="1">
        <v>45382</v>
      </c>
      <c r="H3949" t="s">
        <v>7736</v>
      </c>
      <c r="I3949" t="s">
        <v>299</v>
      </c>
      <c r="J3949" s="1">
        <v>45292</v>
      </c>
      <c r="K3949">
        <v>-6769658</v>
      </c>
    </row>
    <row r="3950" spans="5:11" x14ac:dyDescent="0.25">
      <c r="E3950" t="s">
        <v>7737</v>
      </c>
      <c r="F3950">
        <v>1750149</v>
      </c>
      <c r="G3950" s="1">
        <v>45382</v>
      </c>
      <c r="H3950" t="s">
        <v>7738</v>
      </c>
      <c r="I3950" t="s">
        <v>64</v>
      </c>
      <c r="J3950" s="1">
        <v>45292</v>
      </c>
      <c r="K3950">
        <v>-4649635</v>
      </c>
    </row>
    <row r="3951" spans="5:11" x14ac:dyDescent="0.25">
      <c r="E3951" t="s">
        <v>7739</v>
      </c>
      <c r="F3951">
        <v>1750153</v>
      </c>
      <c r="G3951" s="1">
        <v>45382</v>
      </c>
      <c r="H3951" t="s">
        <v>7740</v>
      </c>
      <c r="I3951" t="s">
        <v>36</v>
      </c>
      <c r="J3951" s="1">
        <v>45292</v>
      </c>
      <c r="K3951">
        <v>-110687000</v>
      </c>
    </row>
    <row r="3952" spans="5:11" x14ac:dyDescent="0.25">
      <c r="E3952" t="s">
        <v>7741</v>
      </c>
      <c r="F3952">
        <v>1750155</v>
      </c>
      <c r="G3952" s="1">
        <v>45382</v>
      </c>
      <c r="H3952" t="s">
        <v>7742</v>
      </c>
      <c r="I3952" t="s">
        <v>92</v>
      </c>
      <c r="J3952" s="1">
        <v>45292</v>
      </c>
      <c r="K3952">
        <v>-9634000</v>
      </c>
    </row>
    <row r="3953" spans="5:11" x14ac:dyDescent="0.25">
      <c r="E3953" t="s">
        <v>7743</v>
      </c>
      <c r="F3953">
        <v>1750284</v>
      </c>
      <c r="G3953" s="1">
        <v>45382</v>
      </c>
      <c r="H3953" t="s">
        <v>7744</v>
      </c>
      <c r="I3953" t="s">
        <v>1716</v>
      </c>
      <c r="J3953" s="1">
        <v>45292</v>
      </c>
      <c r="K3953">
        <v>-30970000</v>
      </c>
    </row>
    <row r="3954" spans="5:11" x14ac:dyDescent="0.25">
      <c r="E3954" t="s">
        <v>7745</v>
      </c>
      <c r="F3954">
        <v>1750735</v>
      </c>
      <c r="G3954" s="1">
        <v>45382</v>
      </c>
      <c r="H3954" t="s">
        <v>7746</v>
      </c>
      <c r="I3954" t="s">
        <v>39</v>
      </c>
      <c r="J3954" s="1">
        <v>45292</v>
      </c>
      <c r="K3954">
        <v>2676000</v>
      </c>
    </row>
    <row r="3955" spans="5:11" x14ac:dyDescent="0.25">
      <c r="E3955" t="s">
        <v>7747</v>
      </c>
      <c r="F3955">
        <v>1750777</v>
      </c>
      <c r="G3955" s="1">
        <v>45382</v>
      </c>
      <c r="H3955" t="s">
        <v>7748</v>
      </c>
      <c r="I3955" t="s">
        <v>64</v>
      </c>
      <c r="J3955" s="1">
        <v>45292</v>
      </c>
      <c r="K3955">
        <v>-99470</v>
      </c>
    </row>
    <row r="3956" spans="5:11" x14ac:dyDescent="0.25">
      <c r="E3956" t="s">
        <v>7749</v>
      </c>
      <c r="F3956">
        <v>1751008</v>
      </c>
      <c r="G3956" s="1">
        <v>45382</v>
      </c>
      <c r="H3956" t="s">
        <v>7750</v>
      </c>
      <c r="I3956" t="s">
        <v>36</v>
      </c>
      <c r="J3956" s="1">
        <v>45292</v>
      </c>
      <c r="K3956">
        <v>236183000</v>
      </c>
    </row>
    <row r="3957" spans="5:11" x14ac:dyDescent="0.25">
      <c r="E3957" t="s">
        <v>7751</v>
      </c>
      <c r="F3957">
        <v>1751707</v>
      </c>
      <c r="G3957" s="1">
        <v>45382</v>
      </c>
      <c r="H3957" t="s">
        <v>7752</v>
      </c>
      <c r="I3957" t="s">
        <v>142</v>
      </c>
      <c r="J3957" s="1">
        <v>45292</v>
      </c>
      <c r="K3957">
        <v>-1387</v>
      </c>
    </row>
    <row r="3958" spans="5:11" x14ac:dyDescent="0.25">
      <c r="E3958" t="s">
        <v>7753</v>
      </c>
      <c r="F3958">
        <v>1751783</v>
      </c>
      <c r="G3958" s="1">
        <v>45382</v>
      </c>
      <c r="H3958" t="s">
        <v>7754</v>
      </c>
      <c r="I3958" t="s">
        <v>57</v>
      </c>
      <c r="J3958" s="1">
        <v>45292</v>
      </c>
      <c r="K3958">
        <v>1121000</v>
      </c>
    </row>
    <row r="3959" spans="5:11" x14ac:dyDescent="0.25">
      <c r="E3959" t="s">
        <v>7755</v>
      </c>
      <c r="F3959">
        <v>1751788</v>
      </c>
      <c r="G3959" s="1">
        <v>45382</v>
      </c>
      <c r="H3959" t="s">
        <v>7756</v>
      </c>
      <c r="I3959" t="s">
        <v>329</v>
      </c>
      <c r="J3959" s="1">
        <v>45292</v>
      </c>
      <c r="K3959">
        <v>516000000</v>
      </c>
    </row>
    <row r="3960" spans="5:11" x14ac:dyDescent="0.25">
      <c r="E3960" t="s">
        <v>7757</v>
      </c>
      <c r="F3960">
        <v>1752036</v>
      </c>
      <c r="G3960" s="1">
        <v>45382</v>
      </c>
      <c r="H3960" t="s">
        <v>7758</v>
      </c>
      <c r="I3960" t="s">
        <v>1716</v>
      </c>
      <c r="J3960" s="1">
        <v>45292</v>
      </c>
      <c r="K3960">
        <v>3817000</v>
      </c>
    </row>
    <row r="3961" spans="5:11" x14ac:dyDescent="0.25">
      <c r="E3961" t="s">
        <v>7759</v>
      </c>
      <c r="F3961">
        <v>1752372</v>
      </c>
      <c r="G3961" s="1">
        <v>45382</v>
      </c>
      <c r="H3961" t="s">
        <v>7760</v>
      </c>
      <c r="I3961" t="s">
        <v>1164</v>
      </c>
      <c r="J3961" s="1">
        <v>45292</v>
      </c>
      <c r="K3961">
        <v>-94665</v>
      </c>
    </row>
    <row r="3962" spans="5:11" x14ac:dyDescent="0.25">
      <c r="E3962" t="s">
        <v>7761</v>
      </c>
      <c r="F3962">
        <v>1752474</v>
      </c>
      <c r="G3962" s="1">
        <v>45382</v>
      </c>
      <c r="H3962" t="s">
        <v>7762</v>
      </c>
      <c r="I3962" t="s">
        <v>213</v>
      </c>
      <c r="J3962" s="1">
        <v>45292</v>
      </c>
      <c r="K3962">
        <v>-16879000</v>
      </c>
    </row>
    <row r="3963" spans="5:11" x14ac:dyDescent="0.25">
      <c r="E3963" t="s">
        <v>7763</v>
      </c>
      <c r="F3963">
        <v>1752828</v>
      </c>
      <c r="G3963" s="1">
        <v>45382</v>
      </c>
      <c r="H3963" t="s">
        <v>7764</v>
      </c>
      <c r="I3963" t="s">
        <v>46</v>
      </c>
      <c r="J3963" s="1">
        <v>45292</v>
      </c>
      <c r="K3963">
        <v>-22013000</v>
      </c>
    </row>
    <row r="3964" spans="5:11" x14ac:dyDescent="0.25">
      <c r="E3964" t="s">
        <v>7765</v>
      </c>
      <c r="F3964">
        <v>1753162</v>
      </c>
      <c r="G3964" s="1">
        <v>45382</v>
      </c>
      <c r="H3964" t="s">
        <v>7766</v>
      </c>
      <c r="I3964" t="s">
        <v>172</v>
      </c>
      <c r="J3964" s="1">
        <v>45292</v>
      </c>
      <c r="K3964">
        <v>-5927000</v>
      </c>
    </row>
    <row r="3965" spans="5:11" x14ac:dyDescent="0.25">
      <c r="E3965" t="s">
        <v>7767</v>
      </c>
      <c r="F3965">
        <v>1753373</v>
      </c>
      <c r="G3965" s="1">
        <v>45351</v>
      </c>
      <c r="H3965" t="s">
        <v>7768</v>
      </c>
      <c r="I3965" t="s">
        <v>142</v>
      </c>
      <c r="J3965" s="1">
        <v>45261</v>
      </c>
      <c r="K3965">
        <v>-699100</v>
      </c>
    </row>
    <row r="3966" spans="5:11" x14ac:dyDescent="0.25">
      <c r="E3966" t="s">
        <v>7769</v>
      </c>
      <c r="F3966">
        <v>1753391</v>
      </c>
      <c r="G3966" s="1">
        <v>45382</v>
      </c>
      <c r="H3966" t="s">
        <v>7770</v>
      </c>
      <c r="I3966" t="s">
        <v>1164</v>
      </c>
      <c r="J3966" s="1">
        <v>45292</v>
      </c>
      <c r="K3966">
        <v>-107792</v>
      </c>
    </row>
    <row r="3967" spans="5:11" x14ac:dyDescent="0.25">
      <c r="E3967" t="s">
        <v>7771</v>
      </c>
      <c r="F3967">
        <v>1753539</v>
      </c>
      <c r="G3967" s="1">
        <v>45382</v>
      </c>
      <c r="H3967" t="s">
        <v>7772</v>
      </c>
      <c r="I3967" t="s">
        <v>123</v>
      </c>
      <c r="J3967" s="1">
        <v>45292</v>
      </c>
      <c r="K3967">
        <v>-15810000</v>
      </c>
    </row>
    <row r="3968" spans="5:11" x14ac:dyDescent="0.25">
      <c r="E3968" t="s">
        <v>7773</v>
      </c>
      <c r="F3968">
        <v>1753681</v>
      </c>
      <c r="G3968" s="1">
        <v>45382</v>
      </c>
      <c r="H3968" t="s">
        <v>7774</v>
      </c>
      <c r="I3968" t="s">
        <v>33</v>
      </c>
      <c r="J3968" s="1">
        <v>45292</v>
      </c>
      <c r="K3968">
        <v>-496619</v>
      </c>
    </row>
    <row r="3969" spans="5:11" x14ac:dyDescent="0.25">
      <c r="E3969" t="s">
        <v>7775</v>
      </c>
      <c r="F3969">
        <v>1753706</v>
      </c>
      <c r="G3969" s="1">
        <v>45382</v>
      </c>
      <c r="H3969" t="s">
        <v>7776</v>
      </c>
      <c r="I3969" t="s">
        <v>19</v>
      </c>
      <c r="J3969" s="1">
        <v>45292</v>
      </c>
      <c r="K3969">
        <v>-9396000</v>
      </c>
    </row>
    <row r="3970" spans="5:11" x14ac:dyDescent="0.25">
      <c r="E3970" t="s">
        <v>7777</v>
      </c>
      <c r="F3970">
        <v>1754068</v>
      </c>
      <c r="G3970" s="1">
        <v>45382</v>
      </c>
      <c r="H3970" t="s">
        <v>7778</v>
      </c>
      <c r="I3970" t="s">
        <v>24</v>
      </c>
      <c r="J3970" s="1">
        <v>45292</v>
      </c>
      <c r="K3970">
        <v>-30299000</v>
      </c>
    </row>
    <row r="3971" spans="5:11" x14ac:dyDescent="0.25">
      <c r="E3971" t="s">
        <v>7779</v>
      </c>
      <c r="F3971">
        <v>1754170</v>
      </c>
      <c r="G3971" s="1">
        <v>45382</v>
      </c>
      <c r="H3971" t="s">
        <v>7780</v>
      </c>
      <c r="I3971" t="s">
        <v>33</v>
      </c>
      <c r="J3971" s="1">
        <v>45292</v>
      </c>
      <c r="K3971">
        <v>6277000</v>
      </c>
    </row>
    <row r="3972" spans="5:11" x14ac:dyDescent="0.25">
      <c r="E3972" t="s">
        <v>7781</v>
      </c>
      <c r="F3972">
        <v>1754195</v>
      </c>
      <c r="G3972" s="1">
        <v>45382</v>
      </c>
      <c r="H3972" t="s">
        <v>7782</v>
      </c>
      <c r="I3972" t="s">
        <v>33</v>
      </c>
      <c r="J3972" s="1">
        <v>45292</v>
      </c>
      <c r="K3972">
        <v>-24518000</v>
      </c>
    </row>
    <row r="3973" spans="5:11" x14ac:dyDescent="0.25">
      <c r="E3973" t="s">
        <v>7783</v>
      </c>
      <c r="F3973">
        <v>1754226</v>
      </c>
      <c r="G3973" s="1">
        <v>45382</v>
      </c>
      <c r="H3973" t="s">
        <v>7784</v>
      </c>
      <c r="I3973" t="s">
        <v>57</v>
      </c>
      <c r="J3973" s="1">
        <v>45292</v>
      </c>
      <c r="K3973">
        <v>9290000</v>
      </c>
    </row>
    <row r="3974" spans="5:11" x14ac:dyDescent="0.25">
      <c r="E3974" t="s">
        <v>7785</v>
      </c>
      <c r="F3974">
        <v>1754820</v>
      </c>
      <c r="G3974" s="1">
        <v>45382</v>
      </c>
      <c r="H3974" t="s">
        <v>7786</v>
      </c>
      <c r="I3974" t="s">
        <v>24</v>
      </c>
      <c r="J3974" s="1">
        <v>45292</v>
      </c>
      <c r="K3974">
        <v>-52098000</v>
      </c>
    </row>
    <row r="3975" spans="5:11" x14ac:dyDescent="0.25">
      <c r="E3975" t="s">
        <v>7787</v>
      </c>
      <c r="F3975">
        <v>1755058</v>
      </c>
      <c r="G3975" s="1">
        <v>45412</v>
      </c>
      <c r="H3975" t="s">
        <v>7788</v>
      </c>
      <c r="I3975" t="s">
        <v>1716</v>
      </c>
      <c r="J3975" s="1">
        <v>45323</v>
      </c>
      <c r="K3975">
        <v>-807588</v>
      </c>
    </row>
    <row r="3976" spans="5:11" x14ac:dyDescent="0.25">
      <c r="E3976" t="s">
        <v>7789</v>
      </c>
      <c r="F3976">
        <v>1755101</v>
      </c>
      <c r="G3976" s="1">
        <v>45382</v>
      </c>
      <c r="H3976" t="s">
        <v>7790</v>
      </c>
      <c r="I3976" t="s">
        <v>36</v>
      </c>
      <c r="J3976" s="1">
        <v>45292</v>
      </c>
      <c r="K3976">
        <v>-638494</v>
      </c>
    </row>
    <row r="3977" spans="5:11" x14ac:dyDescent="0.25">
      <c r="E3977" t="s">
        <v>7791</v>
      </c>
      <c r="F3977">
        <v>1755237</v>
      </c>
      <c r="G3977" s="1">
        <v>45382</v>
      </c>
      <c r="H3977" t="s">
        <v>7792</v>
      </c>
      <c r="I3977" t="s">
        <v>24</v>
      </c>
      <c r="J3977" s="1">
        <v>45292</v>
      </c>
      <c r="K3977">
        <v>-1542000</v>
      </c>
    </row>
    <row r="3978" spans="5:11" x14ac:dyDescent="0.25">
      <c r="E3978" t="s">
        <v>7793</v>
      </c>
      <c r="F3978">
        <v>1755347</v>
      </c>
      <c r="G3978" s="1">
        <v>45382</v>
      </c>
      <c r="H3978" t="s">
        <v>7794</v>
      </c>
      <c r="I3978" t="s">
        <v>36</v>
      </c>
      <c r="J3978" s="1">
        <v>45292</v>
      </c>
      <c r="K3978">
        <v>1893</v>
      </c>
    </row>
    <row r="3979" spans="5:11" x14ac:dyDescent="0.25">
      <c r="E3979" t="s">
        <v>7795</v>
      </c>
      <c r="F3979">
        <v>1755672</v>
      </c>
      <c r="G3979" s="1">
        <v>45382</v>
      </c>
      <c r="H3979" t="s">
        <v>7796</v>
      </c>
      <c r="I3979" t="s">
        <v>288</v>
      </c>
      <c r="J3979" s="1">
        <v>45292</v>
      </c>
      <c r="K3979">
        <v>419000000</v>
      </c>
    </row>
    <row r="3980" spans="5:11" x14ac:dyDescent="0.25">
      <c r="E3980" t="s">
        <v>7797</v>
      </c>
      <c r="F3980">
        <v>1755755</v>
      </c>
      <c r="G3980" s="1">
        <v>45382</v>
      </c>
      <c r="H3980" t="s">
        <v>7798</v>
      </c>
      <c r="I3980" t="s">
        <v>30</v>
      </c>
      <c r="J3980" s="1">
        <v>45292</v>
      </c>
      <c r="K3980">
        <v>-44071000</v>
      </c>
    </row>
    <row r="3981" spans="5:11" x14ac:dyDescent="0.25">
      <c r="E3981" t="s">
        <v>7799</v>
      </c>
      <c r="F3981">
        <v>1755953</v>
      </c>
      <c r="G3981" s="1">
        <v>45382</v>
      </c>
      <c r="H3981" t="s">
        <v>7800</v>
      </c>
      <c r="I3981" t="s">
        <v>142</v>
      </c>
      <c r="J3981" s="1">
        <v>45292</v>
      </c>
      <c r="K3981">
        <v>-11744000</v>
      </c>
    </row>
    <row r="3982" spans="5:11" x14ac:dyDescent="0.25">
      <c r="E3982" t="s">
        <v>7801</v>
      </c>
      <c r="F3982">
        <v>1756180</v>
      </c>
      <c r="G3982" s="1">
        <v>45382</v>
      </c>
      <c r="H3982" t="s">
        <v>7802</v>
      </c>
      <c r="I3982" t="s">
        <v>4227</v>
      </c>
      <c r="J3982" s="1">
        <v>45292</v>
      </c>
      <c r="K3982">
        <v>-486420</v>
      </c>
    </row>
    <row r="3983" spans="5:11" x14ac:dyDescent="0.25">
      <c r="E3983" t="s">
        <v>10552</v>
      </c>
      <c r="F3983">
        <v>1756262</v>
      </c>
      <c r="G3983" s="1">
        <v>45382</v>
      </c>
      <c r="H3983" t="s">
        <v>7803</v>
      </c>
      <c r="I3983" t="s">
        <v>24</v>
      </c>
      <c r="J3983" s="1">
        <v>45292</v>
      </c>
      <c r="K3983">
        <v>12197000</v>
      </c>
    </row>
    <row r="3984" spans="5:11" x14ac:dyDescent="0.25">
      <c r="E3984" t="s">
        <v>7804</v>
      </c>
      <c r="F3984">
        <v>1756655</v>
      </c>
      <c r="G3984" s="1">
        <v>45382</v>
      </c>
      <c r="H3984" t="s">
        <v>7805</v>
      </c>
      <c r="I3984" t="s">
        <v>69</v>
      </c>
      <c r="J3984" s="1">
        <v>45292</v>
      </c>
      <c r="K3984">
        <v>27047000</v>
      </c>
    </row>
    <row r="3985" spans="5:11" x14ac:dyDescent="0.25">
      <c r="E3985" t="s">
        <v>7806</v>
      </c>
      <c r="F3985">
        <v>1756701</v>
      </c>
      <c r="G3985" s="1">
        <v>45382</v>
      </c>
      <c r="H3985" t="s">
        <v>7807</v>
      </c>
      <c r="I3985" t="s">
        <v>39</v>
      </c>
      <c r="J3985" s="1">
        <v>45292</v>
      </c>
      <c r="K3985">
        <v>5726000</v>
      </c>
    </row>
    <row r="3986" spans="5:11" x14ac:dyDescent="0.25">
      <c r="E3986" t="s">
        <v>10553</v>
      </c>
      <c r="F3986">
        <v>1757073</v>
      </c>
      <c r="G3986" s="1">
        <v>45380</v>
      </c>
      <c r="H3986" t="s">
        <v>7808</v>
      </c>
      <c r="I3986" t="s">
        <v>36</v>
      </c>
      <c r="J3986" s="1">
        <v>45292</v>
      </c>
      <c r="K3986">
        <v>23600000</v>
      </c>
    </row>
    <row r="3987" spans="5:11" x14ac:dyDescent="0.25">
      <c r="E3987" t="s">
        <v>7809</v>
      </c>
      <c r="F3987">
        <v>1757499</v>
      </c>
      <c r="G3987" s="1">
        <v>45382</v>
      </c>
      <c r="H3987" t="s">
        <v>7810</v>
      </c>
      <c r="I3987" t="s">
        <v>299</v>
      </c>
      <c r="J3987" s="1">
        <v>45292</v>
      </c>
      <c r="K3987">
        <v>-1731031</v>
      </c>
    </row>
    <row r="3988" spans="5:11" x14ac:dyDescent="0.25">
      <c r="E3988" t="s">
        <v>7811</v>
      </c>
      <c r="F3988">
        <v>1757715</v>
      </c>
      <c r="G3988" s="1">
        <v>45382</v>
      </c>
      <c r="H3988" t="s">
        <v>7812</v>
      </c>
      <c r="I3988" t="s">
        <v>46</v>
      </c>
      <c r="J3988" s="1">
        <v>45292</v>
      </c>
      <c r="K3988">
        <v>-5162000</v>
      </c>
    </row>
    <row r="3989" spans="5:11" x14ac:dyDescent="0.25">
      <c r="E3989" t="s">
        <v>7813</v>
      </c>
      <c r="F3989">
        <v>1757898</v>
      </c>
      <c r="G3989" s="1">
        <v>45382</v>
      </c>
      <c r="H3989" t="s">
        <v>7814</v>
      </c>
      <c r="I3989" t="s">
        <v>927</v>
      </c>
      <c r="J3989" s="1">
        <v>45292</v>
      </c>
      <c r="K3989">
        <v>-1377000</v>
      </c>
    </row>
    <row r="3990" spans="5:11" x14ac:dyDescent="0.25">
      <c r="E3990" t="s">
        <v>7815</v>
      </c>
      <c r="F3990">
        <v>1758009</v>
      </c>
      <c r="G3990" s="1">
        <v>45382</v>
      </c>
      <c r="H3990" t="s">
        <v>7816</v>
      </c>
      <c r="I3990" t="s">
        <v>46</v>
      </c>
      <c r="J3990" s="1">
        <v>45292</v>
      </c>
      <c r="K3990">
        <v>-6436000</v>
      </c>
    </row>
    <row r="3991" spans="5:11" x14ac:dyDescent="0.25">
      <c r="E3991" t="s">
        <v>7817</v>
      </c>
      <c r="F3991">
        <v>1758021</v>
      </c>
      <c r="G3991" s="1">
        <v>45382</v>
      </c>
      <c r="H3991" t="s">
        <v>7818</v>
      </c>
      <c r="I3991" t="s">
        <v>36</v>
      </c>
      <c r="J3991" s="1">
        <v>45292</v>
      </c>
      <c r="K3991">
        <v>6166000</v>
      </c>
    </row>
    <row r="3992" spans="5:11" x14ac:dyDescent="0.25">
      <c r="E3992" t="s">
        <v>7819</v>
      </c>
      <c r="F3992">
        <v>1758057</v>
      </c>
      <c r="G3992" s="1">
        <v>45382</v>
      </c>
      <c r="H3992" t="s">
        <v>7820</v>
      </c>
      <c r="I3992" t="s">
        <v>33</v>
      </c>
      <c r="J3992" s="1">
        <v>45292</v>
      </c>
      <c r="K3992">
        <v>-125714000</v>
      </c>
    </row>
    <row r="3993" spans="5:11" x14ac:dyDescent="0.25">
      <c r="E3993" t="s">
        <v>7821</v>
      </c>
      <c r="F3993">
        <v>1758488</v>
      </c>
      <c r="G3993" s="1">
        <v>45382</v>
      </c>
      <c r="H3993" t="s">
        <v>7822</v>
      </c>
      <c r="I3993" t="s">
        <v>7823</v>
      </c>
      <c r="J3993" s="1">
        <v>45292</v>
      </c>
      <c r="K3993">
        <v>21166000</v>
      </c>
    </row>
    <row r="3994" spans="5:11" x14ac:dyDescent="0.25">
      <c r="E3994" t="s">
        <v>7824</v>
      </c>
      <c r="F3994">
        <v>1758699</v>
      </c>
      <c r="G3994" s="1">
        <v>45351</v>
      </c>
      <c r="H3994" t="s">
        <v>7825</v>
      </c>
      <c r="I3994" t="s">
        <v>7826</v>
      </c>
      <c r="J3994" s="1">
        <v>45261</v>
      </c>
      <c r="K3994">
        <v>-50026</v>
      </c>
    </row>
    <row r="3995" spans="5:11" x14ac:dyDescent="0.25">
      <c r="E3995" t="s">
        <v>7827</v>
      </c>
      <c r="F3995">
        <v>1758730</v>
      </c>
      <c r="G3995" s="1">
        <v>45382</v>
      </c>
      <c r="H3995" t="s">
        <v>7828</v>
      </c>
      <c r="I3995" t="s">
        <v>57</v>
      </c>
      <c r="J3995" s="1">
        <v>45292</v>
      </c>
      <c r="K3995">
        <v>126142000</v>
      </c>
    </row>
    <row r="3996" spans="5:11" x14ac:dyDescent="0.25">
      <c r="E3996" t="s">
        <v>7829</v>
      </c>
      <c r="F3996">
        <v>1759124</v>
      </c>
      <c r="G3996" s="1">
        <v>45382</v>
      </c>
      <c r="H3996" t="s">
        <v>7830</v>
      </c>
      <c r="I3996" t="s">
        <v>36</v>
      </c>
      <c r="J3996" s="1">
        <v>45292</v>
      </c>
      <c r="K3996">
        <v>74813722</v>
      </c>
    </row>
    <row r="3997" spans="5:11" x14ac:dyDescent="0.25">
      <c r="E3997" t="s">
        <v>7831</v>
      </c>
      <c r="F3997">
        <v>1759138</v>
      </c>
      <c r="G3997" s="1">
        <v>45382</v>
      </c>
      <c r="H3997" t="s">
        <v>7832</v>
      </c>
      <c r="I3997" t="s">
        <v>39</v>
      </c>
      <c r="J3997" s="1">
        <v>45292</v>
      </c>
      <c r="K3997">
        <v>-25047000</v>
      </c>
    </row>
    <row r="3998" spans="5:11" x14ac:dyDescent="0.25">
      <c r="E3998" t="s">
        <v>7833</v>
      </c>
      <c r="F3998">
        <v>1759186</v>
      </c>
      <c r="G3998" s="1">
        <v>45382</v>
      </c>
      <c r="H3998" t="s">
        <v>7834</v>
      </c>
      <c r="I3998" t="s">
        <v>39</v>
      </c>
      <c r="J3998" s="1">
        <v>45292</v>
      </c>
      <c r="K3998">
        <v>-3001388</v>
      </c>
    </row>
    <row r="3999" spans="5:11" x14ac:dyDescent="0.25">
      <c r="E3999" t="s">
        <v>7835</v>
      </c>
      <c r="F3999">
        <v>1759425</v>
      </c>
      <c r="G3999" s="1">
        <v>45382</v>
      </c>
      <c r="H3999" t="s">
        <v>7836</v>
      </c>
      <c r="I3999" t="s">
        <v>36</v>
      </c>
      <c r="J3999" s="1">
        <v>45292</v>
      </c>
      <c r="K3999">
        <v>-25279000</v>
      </c>
    </row>
    <row r="4000" spans="5:11" x14ac:dyDescent="0.25">
      <c r="E4000" t="s">
        <v>7837</v>
      </c>
      <c r="F4000">
        <v>1759509</v>
      </c>
      <c r="G4000" s="1">
        <v>45382</v>
      </c>
      <c r="H4000" t="s">
        <v>7838</v>
      </c>
      <c r="I4000" t="s">
        <v>36</v>
      </c>
      <c r="J4000" s="1">
        <v>45292</v>
      </c>
      <c r="K4000">
        <v>-31535000</v>
      </c>
    </row>
    <row r="4001" spans="5:11" x14ac:dyDescent="0.25">
      <c r="E4001" t="s">
        <v>7839</v>
      </c>
      <c r="F4001">
        <v>1759546</v>
      </c>
      <c r="G4001" s="1">
        <v>45382</v>
      </c>
      <c r="H4001" t="s">
        <v>7840</v>
      </c>
      <c r="I4001" t="s">
        <v>57</v>
      </c>
      <c r="J4001" s="1">
        <v>45292</v>
      </c>
      <c r="K4001">
        <v>-8473000</v>
      </c>
    </row>
    <row r="4002" spans="5:11" x14ac:dyDescent="0.25">
      <c r="E4002" t="s">
        <v>7841</v>
      </c>
      <c r="F4002">
        <v>1759631</v>
      </c>
      <c r="G4002" s="1">
        <v>45382</v>
      </c>
      <c r="H4002" t="s">
        <v>7842</v>
      </c>
      <c r="I4002" t="s">
        <v>30</v>
      </c>
      <c r="J4002" s="1">
        <v>45292</v>
      </c>
      <c r="K4002">
        <v>-15592000</v>
      </c>
    </row>
    <row r="4003" spans="5:11" x14ac:dyDescent="0.25">
      <c r="E4003" t="s">
        <v>7843</v>
      </c>
      <c r="F4003">
        <v>1759655</v>
      </c>
      <c r="G4003" s="1">
        <v>45382</v>
      </c>
      <c r="H4003" t="s">
        <v>7844</v>
      </c>
      <c r="I4003" t="s">
        <v>123</v>
      </c>
      <c r="J4003" s="1">
        <v>45292</v>
      </c>
      <c r="K4003">
        <v>2984000</v>
      </c>
    </row>
    <row r="4004" spans="5:11" x14ac:dyDescent="0.25">
      <c r="E4004" t="s">
        <v>7845</v>
      </c>
      <c r="F4004">
        <v>1759774</v>
      </c>
      <c r="G4004" s="1">
        <v>45382</v>
      </c>
      <c r="H4004" t="s">
        <v>7846</v>
      </c>
      <c r="I4004" t="s">
        <v>57</v>
      </c>
      <c r="J4004" s="1">
        <v>45292</v>
      </c>
      <c r="K4004">
        <v>206000</v>
      </c>
    </row>
    <row r="4005" spans="5:11" x14ac:dyDescent="0.25">
      <c r="E4005" t="s">
        <v>7847</v>
      </c>
      <c r="F4005">
        <v>1759824</v>
      </c>
      <c r="G4005" s="1">
        <v>45382</v>
      </c>
      <c r="H4005" t="s">
        <v>7848</v>
      </c>
      <c r="I4005" t="s">
        <v>329</v>
      </c>
      <c r="J4005" s="1">
        <v>45292</v>
      </c>
      <c r="K4005">
        <v>-11900000</v>
      </c>
    </row>
    <row r="4006" spans="5:11" x14ac:dyDescent="0.25">
      <c r="E4006" t="s">
        <v>7849</v>
      </c>
      <c r="F4006">
        <v>1760026</v>
      </c>
      <c r="G4006" s="1">
        <v>45382</v>
      </c>
      <c r="H4006" t="s">
        <v>7850</v>
      </c>
      <c r="I4006" t="s">
        <v>33</v>
      </c>
      <c r="J4006" s="1">
        <v>45292</v>
      </c>
      <c r="K4006">
        <v>-1961020</v>
      </c>
    </row>
    <row r="4007" spans="5:11" x14ac:dyDescent="0.25">
      <c r="E4007" t="s">
        <v>7851</v>
      </c>
      <c r="F4007">
        <v>1760233</v>
      </c>
      <c r="G4007" s="1">
        <v>45382</v>
      </c>
      <c r="H4007" t="s">
        <v>7852</v>
      </c>
      <c r="I4007" t="s">
        <v>19</v>
      </c>
      <c r="J4007" s="1">
        <v>45292</v>
      </c>
      <c r="K4007">
        <v>-3190720</v>
      </c>
    </row>
    <row r="4008" spans="5:11" x14ac:dyDescent="0.25">
      <c r="E4008" t="s">
        <v>7853</v>
      </c>
      <c r="F4008">
        <v>1760542</v>
      </c>
      <c r="G4008" s="1">
        <v>45382</v>
      </c>
      <c r="H4008" t="s">
        <v>7854</v>
      </c>
      <c r="I4008" t="s">
        <v>57</v>
      </c>
      <c r="J4008" s="1">
        <v>45292</v>
      </c>
      <c r="K4008">
        <v>14383000</v>
      </c>
    </row>
    <row r="4009" spans="5:11" x14ac:dyDescent="0.25">
      <c r="E4009" t="s">
        <v>7855</v>
      </c>
      <c r="F4009">
        <v>1760689</v>
      </c>
      <c r="G4009" s="1">
        <v>45382</v>
      </c>
      <c r="H4009" t="s">
        <v>7856</v>
      </c>
      <c r="I4009" t="s">
        <v>30</v>
      </c>
      <c r="J4009" s="1">
        <v>45292</v>
      </c>
      <c r="K4009">
        <v>-24825000</v>
      </c>
    </row>
    <row r="4010" spans="5:11" x14ac:dyDescent="0.25">
      <c r="E4010" t="s">
        <v>7857</v>
      </c>
      <c r="F4010">
        <v>1760903</v>
      </c>
      <c r="G4010" s="1">
        <v>45382</v>
      </c>
      <c r="H4010" t="s">
        <v>7858</v>
      </c>
      <c r="I4010" t="s">
        <v>33</v>
      </c>
      <c r="J4010" s="1">
        <v>45292</v>
      </c>
      <c r="K4010">
        <v>-15674671</v>
      </c>
    </row>
    <row r="4011" spans="5:11" x14ac:dyDescent="0.25">
      <c r="E4011" t="s">
        <v>10554</v>
      </c>
      <c r="F4011">
        <v>1760965</v>
      </c>
      <c r="G4011" s="1">
        <v>45381</v>
      </c>
      <c r="H4011" t="s">
        <v>7859</v>
      </c>
      <c r="I4011" t="s">
        <v>172</v>
      </c>
      <c r="J4011" s="1">
        <v>45291</v>
      </c>
      <c r="K4011">
        <v>59507000</v>
      </c>
    </row>
    <row r="4012" spans="5:11" x14ac:dyDescent="0.25">
      <c r="E4012" t="s">
        <v>7860</v>
      </c>
      <c r="F4012">
        <v>1761312</v>
      </c>
      <c r="G4012" s="1">
        <v>45382</v>
      </c>
      <c r="H4012" t="s">
        <v>7861</v>
      </c>
      <c r="I4012" t="s">
        <v>36</v>
      </c>
      <c r="J4012" s="1">
        <v>45292</v>
      </c>
      <c r="K4012">
        <v>26382000</v>
      </c>
    </row>
    <row r="4013" spans="5:11" x14ac:dyDescent="0.25">
      <c r="E4013" t="s">
        <v>7862</v>
      </c>
      <c r="F4013">
        <v>1761325</v>
      </c>
      <c r="G4013" s="1">
        <v>45382</v>
      </c>
      <c r="H4013" t="s">
        <v>7863</v>
      </c>
      <c r="I4013" t="s">
        <v>27</v>
      </c>
      <c r="J4013" s="1">
        <v>45292</v>
      </c>
      <c r="K4013">
        <v>895000</v>
      </c>
    </row>
    <row r="4014" spans="5:11" x14ac:dyDescent="0.25">
      <c r="E4014" t="s">
        <v>7864</v>
      </c>
      <c r="F4014">
        <v>1761510</v>
      </c>
      <c r="G4014" s="1">
        <v>45382</v>
      </c>
      <c r="H4014" t="s">
        <v>7865</v>
      </c>
      <c r="I4014" t="s">
        <v>113</v>
      </c>
      <c r="J4014" s="1">
        <v>45292</v>
      </c>
      <c r="K4014">
        <v>-9651000</v>
      </c>
    </row>
    <row r="4015" spans="5:11" x14ac:dyDescent="0.25">
      <c r="E4015" t="s">
        <v>7866</v>
      </c>
      <c r="F4015">
        <v>1761534</v>
      </c>
      <c r="G4015" s="1">
        <v>45382</v>
      </c>
      <c r="H4015" t="s">
        <v>7867</v>
      </c>
      <c r="I4015" t="s">
        <v>57</v>
      </c>
      <c r="J4015" s="1">
        <v>45292</v>
      </c>
      <c r="K4015">
        <v>-18806</v>
      </c>
    </row>
    <row r="4016" spans="5:11" x14ac:dyDescent="0.25">
      <c r="E4016" t="s">
        <v>10555</v>
      </c>
      <c r="F4016">
        <v>1761612</v>
      </c>
      <c r="G4016" s="1">
        <v>45382</v>
      </c>
      <c r="H4016" t="s">
        <v>7868</v>
      </c>
      <c r="I4016" t="s">
        <v>594</v>
      </c>
      <c r="J4016" s="1">
        <v>45292</v>
      </c>
      <c r="K4016">
        <v>-26563000</v>
      </c>
    </row>
    <row r="4017" spans="5:11" x14ac:dyDescent="0.25">
      <c r="E4017" t="s">
        <v>7869</v>
      </c>
      <c r="F4017">
        <v>1761696</v>
      </c>
      <c r="G4017" s="1">
        <v>45382</v>
      </c>
      <c r="H4017" t="s">
        <v>7870</v>
      </c>
      <c r="I4017" t="s">
        <v>963</v>
      </c>
      <c r="J4017" s="1">
        <v>45292</v>
      </c>
      <c r="K4017">
        <v>-4612000</v>
      </c>
    </row>
    <row r="4018" spans="5:11" x14ac:dyDescent="0.25">
      <c r="E4018" t="s">
        <v>7871</v>
      </c>
      <c r="F4018">
        <v>1761918</v>
      </c>
      <c r="G4018" s="1">
        <v>45382</v>
      </c>
      <c r="H4018" t="s">
        <v>7872</v>
      </c>
      <c r="I4018" t="s">
        <v>36</v>
      </c>
      <c r="J4018" s="1">
        <v>45292</v>
      </c>
      <c r="K4018">
        <v>-35017000</v>
      </c>
    </row>
    <row r="4019" spans="5:11" x14ac:dyDescent="0.25">
      <c r="E4019" t="s">
        <v>7873</v>
      </c>
      <c r="F4019">
        <v>1762239</v>
      </c>
      <c r="G4019" s="1">
        <v>45412</v>
      </c>
      <c r="H4019" t="s">
        <v>7874</v>
      </c>
      <c r="I4019" t="s">
        <v>33</v>
      </c>
      <c r="J4019" s="1">
        <v>45323</v>
      </c>
      <c r="K4019">
        <v>-1527178</v>
      </c>
    </row>
    <row r="4020" spans="5:11" x14ac:dyDescent="0.25">
      <c r="E4020" t="s">
        <v>7875</v>
      </c>
      <c r="F4020">
        <v>1762303</v>
      </c>
      <c r="G4020" s="1">
        <v>45382</v>
      </c>
      <c r="H4020" t="s">
        <v>7876</v>
      </c>
      <c r="I4020" t="s">
        <v>36</v>
      </c>
      <c r="J4020" s="1">
        <v>45292</v>
      </c>
      <c r="K4020">
        <v>-18658000</v>
      </c>
    </row>
    <row r="4021" spans="5:11" x14ac:dyDescent="0.25">
      <c r="E4021" t="s">
        <v>7877</v>
      </c>
      <c r="F4021">
        <v>1762359</v>
      </c>
      <c r="G4021" s="1">
        <v>45382</v>
      </c>
      <c r="H4021" t="s">
        <v>7878</v>
      </c>
      <c r="I4021" t="s">
        <v>57</v>
      </c>
      <c r="J4021" s="1">
        <v>45292</v>
      </c>
      <c r="K4021">
        <v>-27978000</v>
      </c>
    </row>
    <row r="4022" spans="5:11" x14ac:dyDescent="0.25">
      <c r="E4022" t="s">
        <v>7879</v>
      </c>
      <c r="F4022">
        <v>1763329</v>
      </c>
      <c r="G4022" s="1">
        <v>45382</v>
      </c>
      <c r="H4022" t="s">
        <v>7880</v>
      </c>
      <c r="I4022" t="s">
        <v>33</v>
      </c>
      <c r="J4022" s="1">
        <v>45292</v>
      </c>
      <c r="K4022">
        <v>-425942</v>
      </c>
    </row>
    <row r="4023" spans="5:11" x14ac:dyDescent="0.25">
      <c r="E4023" t="s">
        <v>7881</v>
      </c>
      <c r="F4023">
        <v>1763415</v>
      </c>
      <c r="G4023" s="1">
        <v>45382</v>
      </c>
      <c r="H4023" t="s">
        <v>7882</v>
      </c>
      <c r="I4023" t="s">
        <v>36</v>
      </c>
      <c r="J4023" s="1">
        <v>45301</v>
      </c>
      <c r="K4023">
        <v>624811000</v>
      </c>
    </row>
    <row r="4024" spans="5:11" x14ac:dyDescent="0.25">
      <c r="E4024" t="s">
        <v>7883</v>
      </c>
      <c r="F4024">
        <v>1763925</v>
      </c>
      <c r="G4024" s="1">
        <v>45382</v>
      </c>
      <c r="H4024" t="s">
        <v>7884</v>
      </c>
      <c r="I4024" t="s">
        <v>179</v>
      </c>
      <c r="J4024" s="1">
        <v>45292</v>
      </c>
      <c r="K4024">
        <v>-303486</v>
      </c>
    </row>
    <row r="4025" spans="5:11" x14ac:dyDescent="0.25">
      <c r="E4025" t="s">
        <v>7885</v>
      </c>
      <c r="F4025">
        <v>1763950</v>
      </c>
      <c r="G4025" s="1">
        <v>45382</v>
      </c>
      <c r="H4025" t="s">
        <v>7886</v>
      </c>
      <c r="I4025" t="s">
        <v>30</v>
      </c>
      <c r="J4025" s="1">
        <v>45292</v>
      </c>
      <c r="K4025">
        <v>-5440810</v>
      </c>
    </row>
    <row r="4026" spans="5:11" x14ac:dyDescent="0.25">
      <c r="E4026" t="s">
        <v>7887</v>
      </c>
      <c r="F4026">
        <v>1764046</v>
      </c>
      <c r="G4026" s="1">
        <v>45382</v>
      </c>
      <c r="H4026" t="s">
        <v>7888</v>
      </c>
      <c r="I4026" t="s">
        <v>594</v>
      </c>
      <c r="J4026" s="1">
        <v>45292</v>
      </c>
      <c r="K4026">
        <v>-75000000</v>
      </c>
    </row>
    <row r="4027" spans="5:11" x14ac:dyDescent="0.25">
      <c r="E4027" t="s">
        <v>7889</v>
      </c>
      <c r="F4027">
        <v>1764974</v>
      </c>
      <c r="G4027" s="1">
        <v>45382</v>
      </c>
      <c r="H4027" t="s">
        <v>7890</v>
      </c>
      <c r="I4027" t="s">
        <v>36</v>
      </c>
      <c r="J4027" s="1">
        <v>45292</v>
      </c>
      <c r="K4027">
        <v>-19629000</v>
      </c>
    </row>
    <row r="4028" spans="5:11" x14ac:dyDescent="0.25">
      <c r="E4028" t="s">
        <v>7891</v>
      </c>
      <c r="F4028">
        <v>1765048</v>
      </c>
      <c r="G4028" s="1">
        <v>45382</v>
      </c>
      <c r="H4028" t="s">
        <v>7892</v>
      </c>
      <c r="I4028" t="s">
        <v>33</v>
      </c>
      <c r="J4028" s="1">
        <v>45292</v>
      </c>
      <c r="K4028">
        <v>-11494</v>
      </c>
    </row>
    <row r="4029" spans="5:11" x14ac:dyDescent="0.25">
      <c r="E4029" t="s">
        <v>7893</v>
      </c>
      <c r="F4029">
        <v>1765651</v>
      </c>
      <c r="G4029" s="1">
        <v>45351</v>
      </c>
      <c r="H4029" t="s">
        <v>7894</v>
      </c>
      <c r="I4029" t="s">
        <v>33</v>
      </c>
      <c r="J4029" s="1">
        <v>45261</v>
      </c>
      <c r="K4029">
        <v>-6055</v>
      </c>
    </row>
    <row r="4030" spans="5:11" x14ac:dyDescent="0.25">
      <c r="E4030" t="s">
        <v>7895</v>
      </c>
      <c r="F4030">
        <v>1766037</v>
      </c>
      <c r="G4030" s="1">
        <v>45382</v>
      </c>
      <c r="H4030" t="s">
        <v>7896</v>
      </c>
      <c r="I4030" t="s">
        <v>57</v>
      </c>
      <c r="J4030" s="1">
        <v>45292</v>
      </c>
      <c r="K4030">
        <v>31630000</v>
      </c>
    </row>
    <row r="4031" spans="5:11" x14ac:dyDescent="0.25">
      <c r="E4031" t="s">
        <v>7897</v>
      </c>
      <c r="F4031">
        <v>1766140</v>
      </c>
      <c r="G4031" s="1">
        <v>45382</v>
      </c>
      <c r="H4031" t="s">
        <v>7898</v>
      </c>
      <c r="I4031" t="s">
        <v>36</v>
      </c>
      <c r="J4031" s="1">
        <v>45292</v>
      </c>
      <c r="K4031">
        <v>-20963000</v>
      </c>
    </row>
    <row r="4032" spans="5:11" x14ac:dyDescent="0.25">
      <c r="E4032" t="s">
        <v>7899</v>
      </c>
      <c r="F4032">
        <v>1766363</v>
      </c>
      <c r="G4032" s="1">
        <v>45382</v>
      </c>
      <c r="H4032" t="s">
        <v>7900</v>
      </c>
      <c r="I4032" t="s">
        <v>36</v>
      </c>
      <c r="J4032" s="1">
        <v>45292</v>
      </c>
      <c r="K4032">
        <v>-137340000</v>
      </c>
    </row>
    <row r="4033" spans="5:11" x14ac:dyDescent="0.25">
      <c r="E4033" t="s">
        <v>7901</v>
      </c>
      <c r="F4033">
        <v>1766368</v>
      </c>
      <c r="G4033" s="1">
        <v>45382</v>
      </c>
      <c r="H4033" t="s">
        <v>7902</v>
      </c>
      <c r="I4033" t="s">
        <v>83</v>
      </c>
      <c r="J4033" s="1">
        <v>45292</v>
      </c>
      <c r="K4033">
        <v>3241000</v>
      </c>
    </row>
    <row r="4034" spans="5:11" x14ac:dyDescent="0.25">
      <c r="E4034" t="s">
        <v>7903</v>
      </c>
      <c r="F4034">
        <v>1766400</v>
      </c>
      <c r="G4034" s="1">
        <v>45382</v>
      </c>
      <c r="H4034" t="s">
        <v>7904</v>
      </c>
      <c r="I4034" t="s">
        <v>1071</v>
      </c>
      <c r="J4034" s="1">
        <v>45292</v>
      </c>
      <c r="K4034">
        <v>4906000</v>
      </c>
    </row>
    <row r="4035" spans="5:11" x14ac:dyDescent="0.25">
      <c r="E4035" t="s">
        <v>7905</v>
      </c>
      <c r="F4035">
        <v>1766478</v>
      </c>
      <c r="G4035" s="1">
        <v>45382</v>
      </c>
      <c r="H4035" t="s">
        <v>7906</v>
      </c>
      <c r="I4035" t="s">
        <v>64</v>
      </c>
      <c r="J4035" s="1">
        <v>45292</v>
      </c>
      <c r="K4035">
        <v>12874000</v>
      </c>
    </row>
    <row r="4036" spans="5:11" x14ac:dyDescent="0.25">
      <c r="E4036" t="s">
        <v>7907</v>
      </c>
      <c r="F4036">
        <v>1766502</v>
      </c>
      <c r="G4036" s="1">
        <v>45410</v>
      </c>
      <c r="H4036" t="s">
        <v>7908</v>
      </c>
      <c r="I4036" t="s">
        <v>33</v>
      </c>
      <c r="J4036" s="1">
        <v>45320</v>
      </c>
      <c r="K4036">
        <v>66897000</v>
      </c>
    </row>
    <row r="4037" spans="5:11" x14ac:dyDescent="0.25">
      <c r="E4037" t="s">
        <v>7909</v>
      </c>
      <c r="F4037">
        <v>1766526</v>
      </c>
      <c r="G4037" s="1">
        <v>45382</v>
      </c>
      <c r="H4037" t="s">
        <v>7910</v>
      </c>
      <c r="I4037" t="s">
        <v>30</v>
      </c>
      <c r="J4037" s="1">
        <v>45292</v>
      </c>
      <c r="K4037">
        <v>3061000</v>
      </c>
    </row>
    <row r="4038" spans="5:11" x14ac:dyDescent="0.25">
      <c r="E4038" t="s">
        <v>7911</v>
      </c>
      <c r="F4038">
        <v>1767042</v>
      </c>
      <c r="G4038" s="1">
        <v>45382</v>
      </c>
      <c r="H4038" t="s">
        <v>7912</v>
      </c>
      <c r="I4038" t="s">
        <v>30</v>
      </c>
      <c r="J4038" s="1">
        <v>45292</v>
      </c>
      <c r="K4038">
        <v>30232000</v>
      </c>
    </row>
    <row r="4039" spans="5:11" x14ac:dyDescent="0.25">
      <c r="E4039" t="s">
        <v>7913</v>
      </c>
      <c r="F4039">
        <v>1767258</v>
      </c>
      <c r="G4039" s="1">
        <v>45382</v>
      </c>
      <c r="H4039" t="s">
        <v>7914</v>
      </c>
      <c r="I4039" t="s">
        <v>30</v>
      </c>
      <c r="J4039" s="1">
        <v>45292</v>
      </c>
      <c r="K4039">
        <v>6666000</v>
      </c>
    </row>
    <row r="4040" spans="5:11" x14ac:dyDescent="0.25">
      <c r="E4040" t="s">
        <v>7915</v>
      </c>
      <c r="F4040">
        <v>1767837</v>
      </c>
      <c r="G4040" s="1">
        <v>45382</v>
      </c>
      <c r="H4040" t="s">
        <v>7916</v>
      </c>
      <c r="I4040" t="s">
        <v>288</v>
      </c>
      <c r="J4040" s="1">
        <v>45292</v>
      </c>
      <c r="K4040">
        <v>2368916</v>
      </c>
    </row>
    <row r="4041" spans="5:11" x14ac:dyDescent="0.25">
      <c r="E4041" t="s">
        <v>7917</v>
      </c>
      <c r="F4041">
        <v>1768224</v>
      </c>
      <c r="G4041" s="1">
        <v>45382</v>
      </c>
      <c r="H4041" t="s">
        <v>7918</v>
      </c>
      <c r="I4041" t="s">
        <v>36</v>
      </c>
      <c r="J4041" s="1">
        <v>45292</v>
      </c>
      <c r="K4041">
        <v>-26817000</v>
      </c>
    </row>
    <row r="4042" spans="5:11" x14ac:dyDescent="0.25">
      <c r="E4042" t="s">
        <v>7919</v>
      </c>
      <c r="F4042">
        <v>1768267</v>
      </c>
      <c r="G4042" s="1">
        <v>45382</v>
      </c>
      <c r="H4042" t="s">
        <v>7920</v>
      </c>
      <c r="I4042" t="s">
        <v>24</v>
      </c>
      <c r="J4042" s="1">
        <v>45292</v>
      </c>
      <c r="K4042">
        <v>-277976000</v>
      </c>
    </row>
    <row r="4043" spans="5:11" x14ac:dyDescent="0.25">
      <c r="E4043" t="s">
        <v>7921</v>
      </c>
      <c r="F4043">
        <v>1768446</v>
      </c>
      <c r="G4043" s="1">
        <v>45382</v>
      </c>
      <c r="H4043" t="s">
        <v>7922</v>
      </c>
      <c r="I4043" t="s">
        <v>186</v>
      </c>
      <c r="J4043" s="1">
        <v>45292</v>
      </c>
      <c r="K4043">
        <v>-1697000</v>
      </c>
    </row>
    <row r="4044" spans="5:11" x14ac:dyDescent="0.25">
      <c r="E4044" t="s">
        <v>7923</v>
      </c>
      <c r="F4044">
        <v>1769617</v>
      </c>
      <c r="G4044" s="1">
        <v>45382</v>
      </c>
      <c r="H4044" t="s">
        <v>7924</v>
      </c>
      <c r="I4044" t="s">
        <v>24</v>
      </c>
      <c r="J4044" s="1">
        <v>45292</v>
      </c>
      <c r="K4044">
        <v>7300000</v>
      </c>
    </row>
    <row r="4045" spans="5:11" x14ac:dyDescent="0.25">
      <c r="E4045" t="s">
        <v>7925</v>
      </c>
      <c r="F4045">
        <v>1769624</v>
      </c>
      <c r="G4045" s="1">
        <v>45382</v>
      </c>
      <c r="H4045" t="s">
        <v>7926</v>
      </c>
      <c r="I4045" t="s">
        <v>2273</v>
      </c>
      <c r="J4045" s="1">
        <v>45292</v>
      </c>
      <c r="K4045">
        <v>-8060234</v>
      </c>
    </row>
    <row r="4046" spans="5:11" x14ac:dyDescent="0.25">
      <c r="E4046" t="s">
        <v>7927</v>
      </c>
      <c r="F4046">
        <v>1769663</v>
      </c>
      <c r="G4046" s="1">
        <v>45382</v>
      </c>
      <c r="H4046" t="s">
        <v>7928</v>
      </c>
      <c r="I4046" t="s">
        <v>57</v>
      </c>
      <c r="J4046" s="1">
        <v>45292</v>
      </c>
      <c r="K4046">
        <v>4719000</v>
      </c>
    </row>
    <row r="4047" spans="5:11" x14ac:dyDescent="0.25">
      <c r="E4047" t="s">
        <v>7929</v>
      </c>
      <c r="F4047">
        <v>1769759</v>
      </c>
      <c r="G4047" s="1">
        <v>45382</v>
      </c>
      <c r="H4047" t="s">
        <v>7930</v>
      </c>
      <c r="I4047" t="s">
        <v>30</v>
      </c>
      <c r="J4047" s="1">
        <v>45292</v>
      </c>
      <c r="K4047">
        <v>-3506704</v>
      </c>
    </row>
    <row r="4048" spans="5:11" x14ac:dyDescent="0.25">
      <c r="E4048" t="s">
        <v>7931</v>
      </c>
      <c r="F4048">
        <v>1769804</v>
      </c>
      <c r="G4048" s="1">
        <v>45382</v>
      </c>
      <c r="H4048" t="s">
        <v>7932</v>
      </c>
      <c r="I4048" t="s">
        <v>36</v>
      </c>
      <c r="J4048" s="1">
        <v>45292</v>
      </c>
      <c r="K4048">
        <v>-6499000</v>
      </c>
    </row>
    <row r="4049" spans="5:11" x14ac:dyDescent="0.25">
      <c r="E4049" t="s">
        <v>7933</v>
      </c>
      <c r="F4049">
        <v>1770121</v>
      </c>
      <c r="G4049" s="1">
        <v>45382</v>
      </c>
      <c r="H4049" t="s">
        <v>7934</v>
      </c>
      <c r="I4049" t="s">
        <v>504</v>
      </c>
      <c r="J4049" s="1">
        <v>45292</v>
      </c>
      <c r="K4049">
        <v>-107475000</v>
      </c>
    </row>
    <row r="4050" spans="5:11" x14ac:dyDescent="0.25">
      <c r="E4050" t="s">
        <v>7935</v>
      </c>
      <c r="F4050">
        <v>1770141</v>
      </c>
      <c r="G4050" s="1">
        <v>45382</v>
      </c>
      <c r="H4050" t="s">
        <v>7936</v>
      </c>
      <c r="I4050" t="s">
        <v>33</v>
      </c>
      <c r="J4050" s="1">
        <v>45292</v>
      </c>
      <c r="K4050">
        <v>25421000</v>
      </c>
    </row>
    <row r="4051" spans="5:11" x14ac:dyDescent="0.25">
      <c r="E4051" t="s">
        <v>7937</v>
      </c>
      <c r="F4051">
        <v>1770236</v>
      </c>
      <c r="G4051" s="1">
        <v>45382</v>
      </c>
      <c r="H4051" t="s">
        <v>7938</v>
      </c>
      <c r="I4051" t="s">
        <v>36</v>
      </c>
      <c r="J4051" s="1">
        <v>45292</v>
      </c>
      <c r="K4051">
        <v>-601000</v>
      </c>
    </row>
    <row r="4052" spans="5:11" x14ac:dyDescent="0.25">
      <c r="E4052" t="s">
        <v>7939</v>
      </c>
      <c r="F4052">
        <v>1770450</v>
      </c>
      <c r="G4052" s="1">
        <v>45382</v>
      </c>
      <c r="H4052" t="s">
        <v>7940</v>
      </c>
      <c r="I4052" t="s">
        <v>27</v>
      </c>
      <c r="J4052" s="1">
        <v>45292</v>
      </c>
      <c r="K4052">
        <v>-113000000</v>
      </c>
    </row>
    <row r="4053" spans="5:11" x14ac:dyDescent="0.25">
      <c r="E4053" t="s">
        <v>10556</v>
      </c>
      <c r="F4053">
        <v>1770787</v>
      </c>
      <c r="G4053" s="1">
        <v>45382</v>
      </c>
      <c r="H4053" t="s">
        <v>7941</v>
      </c>
      <c r="I4053" t="s">
        <v>36</v>
      </c>
      <c r="J4053" s="1">
        <v>45292</v>
      </c>
      <c r="K4053">
        <v>-59949000</v>
      </c>
    </row>
    <row r="4054" spans="5:11" x14ac:dyDescent="0.25">
      <c r="E4054" t="s">
        <v>7942</v>
      </c>
      <c r="F4054">
        <v>1771514</v>
      </c>
      <c r="G4054" s="1">
        <v>45382</v>
      </c>
      <c r="H4054" t="s">
        <v>7943</v>
      </c>
      <c r="I4054" t="s">
        <v>36</v>
      </c>
      <c r="J4054" s="1">
        <v>45292</v>
      </c>
      <c r="K4054">
        <v>-390000</v>
      </c>
    </row>
    <row r="4055" spans="5:11" x14ac:dyDescent="0.25">
      <c r="E4055" t="s">
        <v>7944</v>
      </c>
      <c r="F4055">
        <v>1771515</v>
      </c>
      <c r="G4055" s="1">
        <v>45381</v>
      </c>
      <c r="H4055" t="s">
        <v>7945</v>
      </c>
      <c r="I4055" t="s">
        <v>36</v>
      </c>
      <c r="J4055" s="1">
        <v>45291</v>
      </c>
      <c r="K4055">
        <v>-1025000</v>
      </c>
    </row>
    <row r="4056" spans="5:11" x14ac:dyDescent="0.25">
      <c r="E4056" t="s">
        <v>7946</v>
      </c>
      <c r="F4056">
        <v>1771706</v>
      </c>
      <c r="G4056" s="1">
        <v>45382</v>
      </c>
      <c r="H4056" t="s">
        <v>7947</v>
      </c>
      <c r="I4056" t="s">
        <v>213</v>
      </c>
      <c r="J4056" s="1">
        <v>45292</v>
      </c>
      <c r="K4056">
        <v>-6711460</v>
      </c>
    </row>
    <row r="4057" spans="5:11" x14ac:dyDescent="0.25">
      <c r="E4057" t="s">
        <v>7948</v>
      </c>
      <c r="F4057">
        <v>1771910</v>
      </c>
      <c r="G4057" s="1">
        <v>45382</v>
      </c>
      <c r="H4057" t="s">
        <v>7949</v>
      </c>
      <c r="I4057" t="s">
        <v>2162</v>
      </c>
      <c r="J4057" s="1">
        <v>45292</v>
      </c>
      <c r="K4057">
        <v>-46606000</v>
      </c>
    </row>
    <row r="4058" spans="5:11" x14ac:dyDescent="0.25">
      <c r="E4058" t="s">
        <v>7950</v>
      </c>
      <c r="F4058">
        <v>1771951</v>
      </c>
      <c r="G4058" s="1">
        <v>45382</v>
      </c>
      <c r="H4058" t="s">
        <v>7951</v>
      </c>
      <c r="I4058" t="s">
        <v>19</v>
      </c>
      <c r="J4058" s="1">
        <v>45292</v>
      </c>
      <c r="K4058">
        <v>385893</v>
      </c>
    </row>
    <row r="4059" spans="5:11" x14ac:dyDescent="0.25">
      <c r="E4059" t="s">
        <v>7952</v>
      </c>
      <c r="F4059">
        <v>1771995</v>
      </c>
      <c r="G4059" s="1">
        <v>45382</v>
      </c>
      <c r="H4059" t="s">
        <v>7953</v>
      </c>
      <c r="I4059" t="s">
        <v>57</v>
      </c>
      <c r="J4059" s="1">
        <v>45292</v>
      </c>
      <c r="K4059">
        <v>-1495987</v>
      </c>
    </row>
    <row r="4060" spans="5:11" x14ac:dyDescent="0.25">
      <c r="E4060" t="s">
        <v>7954</v>
      </c>
      <c r="F4060">
        <v>1772016</v>
      </c>
      <c r="G4060" s="1">
        <v>45382</v>
      </c>
      <c r="H4060" t="s">
        <v>7955</v>
      </c>
      <c r="I4060" t="s">
        <v>137</v>
      </c>
      <c r="J4060" s="1">
        <v>45292</v>
      </c>
      <c r="K4060">
        <v>57200000</v>
      </c>
    </row>
    <row r="4061" spans="5:11" x14ac:dyDescent="0.25">
      <c r="E4061" t="s">
        <v>7956</v>
      </c>
      <c r="F4061">
        <v>1772177</v>
      </c>
      <c r="G4061" s="1">
        <v>45351</v>
      </c>
      <c r="H4061" t="s">
        <v>7957</v>
      </c>
      <c r="I4061" t="s">
        <v>36</v>
      </c>
      <c r="J4061" s="1">
        <v>45261</v>
      </c>
      <c r="K4061">
        <v>-998000</v>
      </c>
    </row>
    <row r="4062" spans="5:11" x14ac:dyDescent="0.25">
      <c r="E4062" t="s">
        <v>7958</v>
      </c>
      <c r="F4062">
        <v>1772695</v>
      </c>
      <c r="G4062" s="1">
        <v>45382</v>
      </c>
      <c r="H4062" t="s">
        <v>7959</v>
      </c>
      <c r="I4062" t="s">
        <v>30</v>
      </c>
      <c r="J4062" s="1">
        <v>45292</v>
      </c>
      <c r="K4062">
        <v>-69960000</v>
      </c>
    </row>
    <row r="4063" spans="5:11" x14ac:dyDescent="0.25">
      <c r="E4063" t="s">
        <v>7960</v>
      </c>
      <c r="F4063">
        <v>1772704</v>
      </c>
      <c r="G4063" s="1">
        <v>45382</v>
      </c>
      <c r="H4063" t="s">
        <v>7961</v>
      </c>
      <c r="I4063" t="s">
        <v>57</v>
      </c>
      <c r="J4063" s="1">
        <v>45292</v>
      </c>
      <c r="K4063">
        <v>29384000</v>
      </c>
    </row>
    <row r="4064" spans="5:11" x14ac:dyDescent="0.25">
      <c r="E4064" t="s">
        <v>7962</v>
      </c>
      <c r="F4064">
        <v>1772720</v>
      </c>
      <c r="G4064" s="1">
        <v>45382</v>
      </c>
      <c r="H4064" t="s">
        <v>7963</v>
      </c>
      <c r="I4064" t="s">
        <v>92</v>
      </c>
      <c r="J4064" s="1">
        <v>45292</v>
      </c>
      <c r="K4064">
        <v>-2454000</v>
      </c>
    </row>
    <row r="4065" spans="5:11" x14ac:dyDescent="0.25">
      <c r="E4065" t="s">
        <v>7964</v>
      </c>
      <c r="F4065">
        <v>1772921</v>
      </c>
      <c r="G4065" s="1">
        <v>45382</v>
      </c>
      <c r="H4065" t="s">
        <v>7965</v>
      </c>
      <c r="I4065" t="s">
        <v>64</v>
      </c>
      <c r="J4065" s="1">
        <v>45292</v>
      </c>
      <c r="K4065">
        <v>-3969000</v>
      </c>
    </row>
    <row r="4066" spans="5:11" x14ac:dyDescent="0.25">
      <c r="E4066" t="s">
        <v>7966</v>
      </c>
      <c r="F4066">
        <v>1773427</v>
      </c>
      <c r="G4066" s="1">
        <v>45382</v>
      </c>
      <c r="H4066" t="s">
        <v>7967</v>
      </c>
      <c r="I4066" t="s">
        <v>27</v>
      </c>
      <c r="J4066" s="1">
        <v>45292</v>
      </c>
      <c r="K4066">
        <v>-87385000</v>
      </c>
    </row>
    <row r="4067" spans="5:11" x14ac:dyDescent="0.25">
      <c r="E4067" t="s">
        <v>7968</v>
      </c>
      <c r="F4067">
        <v>1773751</v>
      </c>
      <c r="G4067" s="1">
        <v>45382</v>
      </c>
      <c r="H4067" t="s">
        <v>7969</v>
      </c>
      <c r="I4067" t="s">
        <v>36</v>
      </c>
      <c r="J4067" s="1">
        <v>45292</v>
      </c>
      <c r="K4067">
        <v>11128000</v>
      </c>
    </row>
    <row r="4068" spans="5:11" x14ac:dyDescent="0.25">
      <c r="E4068" t="s">
        <v>10557</v>
      </c>
      <c r="F4068">
        <v>1774170</v>
      </c>
      <c r="G4068" s="1">
        <v>45382</v>
      </c>
      <c r="H4068" t="s">
        <v>10558</v>
      </c>
      <c r="I4068" t="s">
        <v>46</v>
      </c>
      <c r="J4068" s="1">
        <v>45292</v>
      </c>
      <c r="K4068">
        <v>-8515000</v>
      </c>
    </row>
    <row r="4069" spans="5:11" x14ac:dyDescent="0.25">
      <c r="E4069" t="s">
        <v>7970</v>
      </c>
      <c r="F4069">
        <v>1774675</v>
      </c>
      <c r="G4069" s="1">
        <v>45412</v>
      </c>
      <c r="H4069" t="s">
        <v>7971</v>
      </c>
      <c r="I4069" t="s">
        <v>896</v>
      </c>
      <c r="J4069" s="1">
        <v>45323</v>
      </c>
      <c r="K4069">
        <v>-27636000</v>
      </c>
    </row>
    <row r="4070" spans="5:11" x14ac:dyDescent="0.25">
      <c r="E4070" t="s">
        <v>7972</v>
      </c>
      <c r="F4070">
        <v>1775194</v>
      </c>
      <c r="G4070" s="1">
        <v>45382</v>
      </c>
      <c r="H4070" t="s">
        <v>7973</v>
      </c>
      <c r="I4070" t="s">
        <v>33</v>
      </c>
      <c r="J4070" s="1">
        <v>45292</v>
      </c>
      <c r="K4070">
        <v>-4118612</v>
      </c>
    </row>
    <row r="4071" spans="5:11" x14ac:dyDescent="0.25">
      <c r="E4071" t="s">
        <v>7974</v>
      </c>
      <c r="F4071">
        <v>1776661</v>
      </c>
      <c r="G4071" s="1">
        <v>45382</v>
      </c>
      <c r="H4071" t="s">
        <v>7975</v>
      </c>
      <c r="I4071" t="s">
        <v>137</v>
      </c>
      <c r="J4071" s="1">
        <v>45292</v>
      </c>
      <c r="K4071">
        <v>-5307000</v>
      </c>
    </row>
    <row r="4072" spans="5:11" x14ac:dyDescent="0.25">
      <c r="E4072" t="s">
        <v>7976</v>
      </c>
      <c r="F4072">
        <v>1776909</v>
      </c>
      <c r="G4072" s="1">
        <v>45382</v>
      </c>
      <c r="H4072" t="s">
        <v>7977</v>
      </c>
      <c r="I4072" t="s">
        <v>299</v>
      </c>
      <c r="J4072" s="1">
        <v>45292</v>
      </c>
      <c r="K4072">
        <v>-5035000</v>
      </c>
    </row>
    <row r="4073" spans="5:11" x14ac:dyDescent="0.25">
      <c r="E4073" t="s">
        <v>7978</v>
      </c>
      <c r="F4073">
        <v>1777319</v>
      </c>
      <c r="G4073" s="1">
        <v>45382</v>
      </c>
      <c r="H4073" t="s">
        <v>7979</v>
      </c>
      <c r="I4073" t="s">
        <v>113</v>
      </c>
      <c r="J4073" s="1">
        <v>45292</v>
      </c>
      <c r="K4073">
        <v>-6609199</v>
      </c>
    </row>
    <row r="4074" spans="5:11" x14ac:dyDescent="0.25">
      <c r="E4074" t="s">
        <v>7980</v>
      </c>
      <c r="F4074">
        <v>1777393</v>
      </c>
      <c r="G4074" s="1">
        <v>45412</v>
      </c>
      <c r="H4074" t="s">
        <v>7981</v>
      </c>
      <c r="I4074" t="s">
        <v>36</v>
      </c>
      <c r="J4074" s="1">
        <v>45323</v>
      </c>
      <c r="K4074">
        <v>-71799000</v>
      </c>
    </row>
    <row r="4075" spans="5:11" x14ac:dyDescent="0.25">
      <c r="E4075" t="s">
        <v>7982</v>
      </c>
      <c r="F4075">
        <v>1777835</v>
      </c>
      <c r="G4075" s="1">
        <v>45382</v>
      </c>
      <c r="H4075" t="s">
        <v>7983</v>
      </c>
      <c r="I4075" t="s">
        <v>57</v>
      </c>
      <c r="J4075" s="1">
        <v>45292</v>
      </c>
      <c r="K4075">
        <v>-35844000</v>
      </c>
    </row>
    <row r="4076" spans="5:11" x14ac:dyDescent="0.25">
      <c r="E4076" t="s">
        <v>7984</v>
      </c>
      <c r="F4076">
        <v>1778129</v>
      </c>
      <c r="G4076" s="1">
        <v>45382</v>
      </c>
      <c r="H4076" t="s">
        <v>7985</v>
      </c>
      <c r="I4076" t="s">
        <v>912</v>
      </c>
      <c r="J4076" s="1">
        <v>45292</v>
      </c>
      <c r="K4076">
        <v>-14851000</v>
      </c>
    </row>
    <row r="4077" spans="5:11" x14ac:dyDescent="0.25">
      <c r="E4077" t="s">
        <v>7986</v>
      </c>
      <c r="F4077">
        <v>1778784</v>
      </c>
      <c r="G4077" s="1">
        <v>45382</v>
      </c>
      <c r="H4077" t="s">
        <v>7987</v>
      </c>
      <c r="I4077" t="s">
        <v>24</v>
      </c>
      <c r="J4077" s="1">
        <v>45292</v>
      </c>
      <c r="K4077">
        <v>4981000</v>
      </c>
    </row>
    <row r="4078" spans="5:11" x14ac:dyDescent="0.25">
      <c r="E4078" t="s">
        <v>7988</v>
      </c>
      <c r="F4078">
        <v>1779020</v>
      </c>
      <c r="G4078" s="1">
        <v>45382</v>
      </c>
      <c r="H4078" t="s">
        <v>7989</v>
      </c>
      <c r="I4078" t="s">
        <v>64</v>
      </c>
      <c r="J4078" s="1">
        <v>45292</v>
      </c>
      <c r="K4078">
        <v>-27263000</v>
      </c>
    </row>
    <row r="4079" spans="5:11" x14ac:dyDescent="0.25">
      <c r="E4079" t="s">
        <v>7990</v>
      </c>
      <c r="F4079">
        <v>1779128</v>
      </c>
      <c r="G4079" s="1">
        <v>45382</v>
      </c>
      <c r="H4079" t="s">
        <v>7991</v>
      </c>
      <c r="I4079" t="s">
        <v>57</v>
      </c>
      <c r="J4079" s="1">
        <v>45292</v>
      </c>
      <c r="K4079">
        <v>-4234000</v>
      </c>
    </row>
    <row r="4080" spans="5:11" x14ac:dyDescent="0.25">
      <c r="E4080" t="s">
        <v>7992</v>
      </c>
      <c r="F4080">
        <v>1779372</v>
      </c>
      <c r="G4080" s="1">
        <v>45382</v>
      </c>
      <c r="H4080" t="s">
        <v>7993</v>
      </c>
      <c r="I4080" t="s">
        <v>36</v>
      </c>
      <c r="J4080" s="1">
        <v>45292</v>
      </c>
      <c r="K4080">
        <v>-4606000</v>
      </c>
    </row>
    <row r="4081" spans="5:11" x14ac:dyDescent="0.25">
      <c r="E4081" t="s">
        <v>7994</v>
      </c>
      <c r="F4081">
        <v>1779474</v>
      </c>
      <c r="G4081" s="1">
        <v>45382</v>
      </c>
      <c r="H4081" t="s">
        <v>7995</v>
      </c>
      <c r="I4081" t="s">
        <v>36</v>
      </c>
      <c r="J4081" s="1">
        <v>45292</v>
      </c>
      <c r="K4081">
        <v>1240000</v>
      </c>
    </row>
    <row r="4082" spans="5:11" x14ac:dyDescent="0.25">
      <c r="E4082" t="s">
        <v>7996</v>
      </c>
      <c r="F4082">
        <v>1779523</v>
      </c>
      <c r="G4082" s="1">
        <v>45382</v>
      </c>
      <c r="H4082" t="s">
        <v>7997</v>
      </c>
      <c r="I4082" t="s">
        <v>57</v>
      </c>
      <c r="J4082" s="1">
        <v>45292</v>
      </c>
      <c r="K4082">
        <v>482096</v>
      </c>
    </row>
    <row r="4083" spans="5:11" x14ac:dyDescent="0.25">
      <c r="E4083" t="s">
        <v>7998</v>
      </c>
      <c r="F4083">
        <v>1780201</v>
      </c>
      <c r="G4083" s="1">
        <v>45382</v>
      </c>
      <c r="H4083" t="s">
        <v>7999</v>
      </c>
      <c r="I4083" t="s">
        <v>36</v>
      </c>
      <c r="J4083" s="1">
        <v>45292</v>
      </c>
      <c r="K4083">
        <v>-5736000</v>
      </c>
    </row>
    <row r="4084" spans="5:11" x14ac:dyDescent="0.25">
      <c r="E4084" t="s">
        <v>8000</v>
      </c>
      <c r="F4084">
        <v>1780312</v>
      </c>
      <c r="G4084" s="1">
        <v>45382</v>
      </c>
      <c r="H4084" t="s">
        <v>8001</v>
      </c>
      <c r="I4084" t="s">
        <v>30</v>
      </c>
      <c r="J4084" s="1">
        <v>45292</v>
      </c>
      <c r="K4084">
        <v>-19730000</v>
      </c>
    </row>
    <row r="4085" spans="5:11" x14ac:dyDescent="0.25">
      <c r="E4085" t="s">
        <v>8002</v>
      </c>
      <c r="F4085">
        <v>1781162</v>
      </c>
      <c r="G4085" s="1">
        <v>45382</v>
      </c>
      <c r="H4085" t="s">
        <v>8003</v>
      </c>
      <c r="I4085" t="s">
        <v>36</v>
      </c>
      <c r="J4085" s="1">
        <v>45292</v>
      </c>
      <c r="K4085">
        <v>-8313000</v>
      </c>
    </row>
    <row r="4086" spans="5:11" x14ac:dyDescent="0.25">
      <c r="E4086" t="s">
        <v>8004</v>
      </c>
      <c r="F4086">
        <v>1781174</v>
      </c>
      <c r="G4086" s="1">
        <v>45382</v>
      </c>
      <c r="H4086" t="s">
        <v>8005</v>
      </c>
      <c r="I4086" t="s">
        <v>24</v>
      </c>
      <c r="J4086" s="1">
        <v>45292</v>
      </c>
      <c r="K4086">
        <v>-16486000</v>
      </c>
    </row>
    <row r="4087" spans="5:11" x14ac:dyDescent="0.25">
      <c r="E4087" t="s">
        <v>8006</v>
      </c>
      <c r="F4087">
        <v>1781335</v>
      </c>
      <c r="G4087" s="1">
        <v>45382</v>
      </c>
      <c r="H4087" t="s">
        <v>8007</v>
      </c>
      <c r="I4087" t="s">
        <v>27</v>
      </c>
      <c r="J4087" s="1">
        <v>45292</v>
      </c>
      <c r="K4087">
        <v>353000000</v>
      </c>
    </row>
    <row r="4088" spans="5:11" x14ac:dyDescent="0.25">
      <c r="E4088" t="s">
        <v>8008</v>
      </c>
      <c r="F4088">
        <v>1781629</v>
      </c>
      <c r="G4088" s="1">
        <v>45351</v>
      </c>
      <c r="H4088" t="s">
        <v>8009</v>
      </c>
      <c r="I4088" t="s">
        <v>4227</v>
      </c>
      <c r="J4088" s="1">
        <v>45261</v>
      </c>
      <c r="K4088">
        <v>-118713</v>
      </c>
    </row>
    <row r="4089" spans="5:11" x14ac:dyDescent="0.25">
      <c r="E4089" t="s">
        <v>8010</v>
      </c>
      <c r="F4089">
        <v>1781730</v>
      </c>
      <c r="G4089" s="1">
        <v>45382</v>
      </c>
      <c r="H4089" t="s">
        <v>8011</v>
      </c>
      <c r="I4089" t="s">
        <v>30</v>
      </c>
      <c r="J4089" s="1">
        <v>45292</v>
      </c>
      <c r="K4089">
        <v>10367000</v>
      </c>
    </row>
    <row r="4090" spans="5:11" x14ac:dyDescent="0.25">
      <c r="E4090" t="s">
        <v>8012</v>
      </c>
      <c r="F4090">
        <v>1781755</v>
      </c>
      <c r="G4090" s="1">
        <v>45382</v>
      </c>
      <c r="H4090" t="s">
        <v>8013</v>
      </c>
      <c r="I4090" t="s">
        <v>33</v>
      </c>
      <c r="J4090" s="1">
        <v>45292</v>
      </c>
      <c r="K4090">
        <v>21578000</v>
      </c>
    </row>
    <row r="4091" spans="5:11" x14ac:dyDescent="0.25">
      <c r="E4091" t="s">
        <v>8014</v>
      </c>
      <c r="F4091">
        <v>1781870</v>
      </c>
      <c r="G4091" s="1">
        <v>45382</v>
      </c>
      <c r="H4091" t="s">
        <v>8015</v>
      </c>
      <c r="I4091" t="s">
        <v>57</v>
      </c>
      <c r="J4091" s="1">
        <v>45292</v>
      </c>
      <c r="K4091">
        <v>40560000</v>
      </c>
    </row>
    <row r="4092" spans="5:11" x14ac:dyDescent="0.25">
      <c r="E4092" t="s">
        <v>8016</v>
      </c>
      <c r="F4092">
        <v>1781983</v>
      </c>
      <c r="G4092" s="1">
        <v>45382</v>
      </c>
      <c r="H4092" t="s">
        <v>8017</v>
      </c>
      <c r="I4092" t="s">
        <v>39</v>
      </c>
      <c r="J4092" s="1">
        <v>45292</v>
      </c>
      <c r="K4092">
        <v>-2810091</v>
      </c>
    </row>
    <row r="4093" spans="5:11" x14ac:dyDescent="0.25">
      <c r="E4093" t="s">
        <v>10559</v>
      </c>
      <c r="F4093">
        <v>1782107</v>
      </c>
      <c r="G4093" s="1">
        <v>45382</v>
      </c>
      <c r="H4093" t="s">
        <v>8018</v>
      </c>
      <c r="I4093" t="s">
        <v>60</v>
      </c>
      <c r="J4093" s="1">
        <v>45292</v>
      </c>
      <c r="K4093">
        <v>-11118572</v>
      </c>
    </row>
    <row r="4094" spans="5:11" x14ac:dyDescent="0.25">
      <c r="E4094" t="s">
        <v>10560</v>
      </c>
      <c r="F4094">
        <v>1782170</v>
      </c>
      <c r="G4094" s="1">
        <v>45382</v>
      </c>
      <c r="H4094" t="s">
        <v>8019</v>
      </c>
      <c r="I4094" t="s">
        <v>504</v>
      </c>
      <c r="J4094" s="1">
        <v>45292</v>
      </c>
      <c r="K4094">
        <v>-21080000</v>
      </c>
    </row>
    <row r="4095" spans="5:11" x14ac:dyDescent="0.25">
      <c r="E4095" t="s">
        <v>8020</v>
      </c>
      <c r="F4095">
        <v>1782223</v>
      </c>
      <c r="G4095" s="1">
        <v>45382</v>
      </c>
      <c r="H4095" t="s">
        <v>8021</v>
      </c>
      <c r="I4095" t="s">
        <v>24</v>
      </c>
      <c r="J4095" s="1">
        <v>45292</v>
      </c>
      <c r="K4095">
        <v>-3256000</v>
      </c>
    </row>
    <row r="4096" spans="5:11" x14ac:dyDescent="0.25">
      <c r="E4096" t="s">
        <v>8022</v>
      </c>
      <c r="F4096">
        <v>1782303</v>
      </c>
      <c r="G4096" s="1">
        <v>45382</v>
      </c>
      <c r="H4096" t="s">
        <v>8023</v>
      </c>
      <c r="I4096" t="s">
        <v>36</v>
      </c>
      <c r="J4096" s="1">
        <v>45292</v>
      </c>
      <c r="K4096">
        <v>-15430000</v>
      </c>
    </row>
    <row r="4097" spans="5:11" x14ac:dyDescent="0.25">
      <c r="E4097" t="s">
        <v>8024</v>
      </c>
      <c r="F4097">
        <v>1782430</v>
      </c>
      <c r="G4097" s="1">
        <v>45382</v>
      </c>
      <c r="H4097" t="s">
        <v>8025</v>
      </c>
      <c r="I4097" t="s">
        <v>288</v>
      </c>
      <c r="J4097" s="1">
        <v>45292</v>
      </c>
      <c r="K4097">
        <v>746000</v>
      </c>
    </row>
    <row r="4098" spans="5:11" x14ac:dyDescent="0.25">
      <c r="E4098" t="s">
        <v>8026</v>
      </c>
      <c r="F4098">
        <v>1782524</v>
      </c>
      <c r="G4098" s="1">
        <v>45382</v>
      </c>
      <c r="H4098" t="s">
        <v>8027</v>
      </c>
      <c r="I4098" t="s">
        <v>57</v>
      </c>
      <c r="J4098" s="1">
        <v>45292</v>
      </c>
      <c r="K4098">
        <v>51684000</v>
      </c>
    </row>
    <row r="4099" spans="5:11" x14ac:dyDescent="0.25">
      <c r="E4099" t="s">
        <v>8028</v>
      </c>
      <c r="F4099">
        <v>1782754</v>
      </c>
      <c r="G4099" s="1">
        <v>45382</v>
      </c>
      <c r="H4099" t="s">
        <v>8029</v>
      </c>
      <c r="I4099" t="s">
        <v>19</v>
      </c>
      <c r="J4099" s="1">
        <v>45292</v>
      </c>
      <c r="K4099">
        <v>49758000</v>
      </c>
    </row>
    <row r="4100" spans="5:11" x14ac:dyDescent="0.25">
      <c r="E4100" t="s">
        <v>8030</v>
      </c>
      <c r="F4100">
        <v>1783032</v>
      </c>
      <c r="G4100" s="1">
        <v>45382</v>
      </c>
      <c r="H4100" t="s">
        <v>8031</v>
      </c>
      <c r="I4100" t="s">
        <v>24</v>
      </c>
      <c r="J4100" s="1">
        <v>45292</v>
      </c>
      <c r="K4100">
        <v>-10707000</v>
      </c>
    </row>
    <row r="4101" spans="5:11" x14ac:dyDescent="0.25">
      <c r="E4101" t="s">
        <v>8032</v>
      </c>
      <c r="F4101">
        <v>1783183</v>
      </c>
      <c r="G4101" s="1">
        <v>45382</v>
      </c>
      <c r="H4101" t="s">
        <v>8033</v>
      </c>
      <c r="I4101" t="s">
        <v>46</v>
      </c>
      <c r="J4101" s="1">
        <v>45292</v>
      </c>
      <c r="K4101">
        <v>-82852000</v>
      </c>
    </row>
    <row r="4102" spans="5:11" x14ac:dyDescent="0.25">
      <c r="E4102" t="s">
        <v>8034</v>
      </c>
      <c r="F4102">
        <v>1783328</v>
      </c>
      <c r="G4102" s="1">
        <v>45382</v>
      </c>
      <c r="H4102" t="s">
        <v>8035</v>
      </c>
      <c r="I4102" t="s">
        <v>24</v>
      </c>
      <c r="J4102" s="1">
        <v>45292</v>
      </c>
      <c r="K4102">
        <v>-30142000</v>
      </c>
    </row>
    <row r="4103" spans="5:11" x14ac:dyDescent="0.25">
      <c r="E4103" t="s">
        <v>8036</v>
      </c>
      <c r="F4103">
        <v>1783398</v>
      </c>
      <c r="G4103" s="1">
        <v>45382</v>
      </c>
      <c r="H4103" t="s">
        <v>8037</v>
      </c>
      <c r="I4103" t="s">
        <v>329</v>
      </c>
      <c r="J4103" s="1">
        <v>45292</v>
      </c>
      <c r="K4103">
        <v>8730000</v>
      </c>
    </row>
    <row r="4104" spans="5:11" x14ac:dyDescent="0.25">
      <c r="E4104" t="s">
        <v>8038</v>
      </c>
      <c r="F4104">
        <v>1783875</v>
      </c>
      <c r="G4104" s="1">
        <v>45382</v>
      </c>
      <c r="H4104" t="s">
        <v>8039</v>
      </c>
      <c r="I4104" t="s">
        <v>113</v>
      </c>
      <c r="J4104" s="1">
        <v>45292</v>
      </c>
      <c r="K4104">
        <v>-18453000</v>
      </c>
    </row>
    <row r="4105" spans="5:11" x14ac:dyDescent="0.25">
      <c r="E4105" t="s">
        <v>8040</v>
      </c>
      <c r="F4105">
        <v>1783879</v>
      </c>
      <c r="G4105" s="1">
        <v>45382</v>
      </c>
      <c r="H4105" t="s">
        <v>8041</v>
      </c>
      <c r="I4105" t="s">
        <v>36</v>
      </c>
      <c r="J4105" s="1">
        <v>45292</v>
      </c>
      <c r="K4105">
        <v>157000000</v>
      </c>
    </row>
    <row r="4106" spans="5:11" x14ac:dyDescent="0.25">
      <c r="E4106" t="s">
        <v>8042</v>
      </c>
      <c r="F4106">
        <v>1784058</v>
      </c>
      <c r="G4106" s="1">
        <v>45382</v>
      </c>
      <c r="H4106" t="s">
        <v>8043</v>
      </c>
      <c r="I4106" t="s">
        <v>1164</v>
      </c>
      <c r="J4106" s="1">
        <v>45292</v>
      </c>
      <c r="K4106">
        <v>-56601</v>
      </c>
    </row>
    <row r="4107" spans="5:11" x14ac:dyDescent="0.25">
      <c r="E4107" t="s">
        <v>8044</v>
      </c>
      <c r="F4107">
        <v>1784254</v>
      </c>
      <c r="G4107" s="1">
        <v>45382</v>
      </c>
      <c r="H4107" t="s">
        <v>8045</v>
      </c>
      <c r="I4107" t="s">
        <v>57</v>
      </c>
      <c r="J4107" s="1">
        <v>45292</v>
      </c>
      <c r="K4107">
        <v>-3677000</v>
      </c>
    </row>
    <row r="4108" spans="5:11" x14ac:dyDescent="0.25">
      <c r="E4108" t="s">
        <v>10561</v>
      </c>
      <c r="F4108">
        <v>1784440</v>
      </c>
      <c r="G4108" s="1">
        <v>45382</v>
      </c>
      <c r="H4108" t="s">
        <v>8046</v>
      </c>
      <c r="I4108" t="s">
        <v>406</v>
      </c>
      <c r="J4108" s="1">
        <v>45292</v>
      </c>
      <c r="K4108">
        <v>-53381</v>
      </c>
    </row>
    <row r="4109" spans="5:11" x14ac:dyDescent="0.25">
      <c r="E4109" t="s">
        <v>8047</v>
      </c>
      <c r="F4109">
        <v>1784535</v>
      </c>
      <c r="G4109" s="1">
        <v>45382</v>
      </c>
      <c r="H4109" t="s">
        <v>8048</v>
      </c>
      <c r="I4109" t="s">
        <v>504</v>
      </c>
      <c r="J4109" s="1">
        <v>45292</v>
      </c>
      <c r="K4109">
        <v>-13362000</v>
      </c>
    </row>
    <row r="4110" spans="5:11" x14ac:dyDescent="0.25">
      <c r="E4110" t="s">
        <v>8049</v>
      </c>
      <c r="F4110">
        <v>1784700</v>
      </c>
      <c r="G4110" s="1">
        <v>45382</v>
      </c>
      <c r="H4110" t="s">
        <v>8050</v>
      </c>
      <c r="I4110" t="s">
        <v>57</v>
      </c>
      <c r="J4110" s="1">
        <v>45292</v>
      </c>
      <c r="K4110">
        <v>14029000</v>
      </c>
    </row>
    <row r="4111" spans="5:11" x14ac:dyDescent="0.25">
      <c r="E4111" t="s">
        <v>8051</v>
      </c>
      <c r="F4111">
        <v>1784970</v>
      </c>
      <c r="G4111" s="1">
        <v>45382</v>
      </c>
      <c r="H4111" t="s">
        <v>8052</v>
      </c>
      <c r="I4111" t="s">
        <v>1164</v>
      </c>
      <c r="J4111" s="1">
        <v>45292</v>
      </c>
      <c r="K4111">
        <v>19546495</v>
      </c>
    </row>
    <row r="4112" spans="5:11" x14ac:dyDescent="0.25">
      <c r="E4112" t="s">
        <v>8053</v>
      </c>
      <c r="F4112">
        <v>1785056</v>
      </c>
      <c r="G4112" s="1">
        <v>45382</v>
      </c>
      <c r="H4112" t="s">
        <v>8054</v>
      </c>
      <c r="I4112" t="s">
        <v>30</v>
      </c>
      <c r="J4112" s="1">
        <v>45292</v>
      </c>
      <c r="K4112">
        <v>-11394000</v>
      </c>
    </row>
    <row r="4113" spans="5:11" x14ac:dyDescent="0.25">
      <c r="E4113" t="s">
        <v>8055</v>
      </c>
      <c r="F4113">
        <v>1785173</v>
      </c>
      <c r="G4113" s="1">
        <v>45382</v>
      </c>
      <c r="H4113" t="s">
        <v>8056</v>
      </c>
      <c r="I4113" t="s">
        <v>36</v>
      </c>
      <c r="J4113" s="1">
        <v>45292</v>
      </c>
      <c r="K4113">
        <v>-51681000</v>
      </c>
    </row>
    <row r="4114" spans="5:11" x14ac:dyDescent="0.25">
      <c r="E4114" t="s">
        <v>8057</v>
      </c>
      <c r="F4114">
        <v>1785279</v>
      </c>
      <c r="G4114" s="1">
        <v>45382</v>
      </c>
      <c r="H4114" t="s">
        <v>8058</v>
      </c>
      <c r="I4114" t="s">
        <v>36</v>
      </c>
      <c r="J4114" s="1">
        <v>45292</v>
      </c>
      <c r="K4114">
        <v>-25148000</v>
      </c>
    </row>
    <row r="4115" spans="5:11" x14ac:dyDescent="0.25">
      <c r="E4115" t="s">
        <v>8059</v>
      </c>
      <c r="F4115">
        <v>1785345</v>
      </c>
      <c r="G4115" s="1">
        <v>45382</v>
      </c>
      <c r="H4115" t="s">
        <v>8060</v>
      </c>
      <c r="I4115" t="s">
        <v>123</v>
      </c>
      <c r="J4115" s="1">
        <v>45292</v>
      </c>
      <c r="K4115">
        <v>-8897000</v>
      </c>
    </row>
    <row r="4116" spans="5:11" x14ac:dyDescent="0.25">
      <c r="E4116" t="s">
        <v>8061</v>
      </c>
      <c r="F4116">
        <v>1785424</v>
      </c>
      <c r="G4116" s="1">
        <v>45382</v>
      </c>
      <c r="H4116" t="s">
        <v>8062</v>
      </c>
      <c r="I4116" t="s">
        <v>30</v>
      </c>
      <c r="J4116" s="1">
        <v>45292</v>
      </c>
      <c r="K4116">
        <v>-570000</v>
      </c>
    </row>
    <row r="4117" spans="5:11" x14ac:dyDescent="0.25">
      <c r="E4117" t="s">
        <v>8063</v>
      </c>
      <c r="F4117">
        <v>1785493</v>
      </c>
      <c r="G4117" s="1">
        <v>45412</v>
      </c>
      <c r="H4117" t="s">
        <v>8064</v>
      </c>
      <c r="I4117" t="s">
        <v>4980</v>
      </c>
      <c r="J4117" s="1">
        <v>45323</v>
      </c>
      <c r="K4117">
        <v>-212310</v>
      </c>
    </row>
    <row r="4118" spans="5:11" x14ac:dyDescent="0.25">
      <c r="E4118" t="s">
        <v>8065</v>
      </c>
      <c r="F4118">
        <v>1785530</v>
      </c>
      <c r="G4118" s="1">
        <v>45382</v>
      </c>
      <c r="H4118" t="s">
        <v>8066</v>
      </c>
      <c r="I4118" t="s">
        <v>24</v>
      </c>
      <c r="J4118" s="1">
        <v>45292</v>
      </c>
      <c r="K4118">
        <v>-16193000</v>
      </c>
    </row>
    <row r="4119" spans="5:11" x14ac:dyDescent="0.25">
      <c r="E4119" t="s">
        <v>8067</v>
      </c>
      <c r="F4119">
        <v>1785592</v>
      </c>
      <c r="G4119" s="1">
        <v>45382</v>
      </c>
      <c r="H4119" t="s">
        <v>8068</v>
      </c>
      <c r="I4119" t="s">
        <v>504</v>
      </c>
      <c r="J4119" s="1">
        <v>45292</v>
      </c>
      <c r="K4119">
        <v>-2387000</v>
      </c>
    </row>
    <row r="4120" spans="5:11" x14ac:dyDescent="0.25">
      <c r="E4120" t="s">
        <v>8069</v>
      </c>
      <c r="F4120">
        <v>1786117</v>
      </c>
      <c r="G4120" s="1">
        <v>45382</v>
      </c>
      <c r="H4120" t="s">
        <v>8070</v>
      </c>
      <c r="I4120" t="s">
        <v>33</v>
      </c>
      <c r="J4120" s="1">
        <v>45292</v>
      </c>
      <c r="K4120">
        <v>-260000</v>
      </c>
    </row>
    <row r="4121" spans="5:11" x14ac:dyDescent="0.25">
      <c r="E4121" t="s">
        <v>8071</v>
      </c>
      <c r="F4121">
        <v>1786205</v>
      </c>
      <c r="G4121" s="1">
        <v>45382</v>
      </c>
      <c r="H4121" t="s">
        <v>8072</v>
      </c>
      <c r="I4121" t="s">
        <v>36</v>
      </c>
      <c r="J4121" s="1">
        <v>45292</v>
      </c>
      <c r="K4121">
        <v>-7198000</v>
      </c>
    </row>
    <row r="4122" spans="5:11" x14ac:dyDescent="0.25">
      <c r="E4122" t="s">
        <v>8073</v>
      </c>
      <c r="F4122">
        <v>1786352</v>
      </c>
      <c r="G4122" s="1">
        <v>45382</v>
      </c>
      <c r="H4122" t="s">
        <v>8074</v>
      </c>
      <c r="I4122" t="s">
        <v>36</v>
      </c>
      <c r="J4122" s="1">
        <v>45292</v>
      </c>
      <c r="K4122">
        <v>31809000</v>
      </c>
    </row>
    <row r="4123" spans="5:11" x14ac:dyDescent="0.25">
      <c r="E4123" t="s">
        <v>10562</v>
      </c>
      <c r="F4123">
        <v>1786431</v>
      </c>
      <c r="G4123" s="1">
        <v>45382</v>
      </c>
      <c r="H4123" t="s">
        <v>8075</v>
      </c>
      <c r="I4123" t="s">
        <v>19</v>
      </c>
      <c r="J4123" s="1">
        <v>45292</v>
      </c>
      <c r="K4123">
        <v>49000000</v>
      </c>
    </row>
    <row r="4124" spans="5:11" x14ac:dyDescent="0.25">
      <c r="E4124" t="s">
        <v>8076</v>
      </c>
      <c r="F4124">
        <v>1787297</v>
      </c>
      <c r="G4124" s="1">
        <v>45382</v>
      </c>
      <c r="H4124" t="s">
        <v>8077</v>
      </c>
      <c r="I4124" t="s">
        <v>39</v>
      </c>
      <c r="J4124" s="1">
        <v>45292</v>
      </c>
      <c r="K4124">
        <v>-16711000</v>
      </c>
    </row>
    <row r="4125" spans="5:11" x14ac:dyDescent="0.25">
      <c r="E4125" t="s">
        <v>8078</v>
      </c>
      <c r="F4125">
        <v>1787306</v>
      </c>
      <c r="G4125" s="1">
        <v>45382</v>
      </c>
      <c r="H4125" t="s">
        <v>8079</v>
      </c>
      <c r="I4125" t="s">
        <v>36</v>
      </c>
      <c r="J4125" s="1">
        <v>45292</v>
      </c>
      <c r="K4125">
        <v>-35382000</v>
      </c>
    </row>
    <row r="4126" spans="5:11" x14ac:dyDescent="0.25">
      <c r="E4126" t="s">
        <v>8080</v>
      </c>
      <c r="F4126">
        <v>1787400</v>
      </c>
      <c r="G4126" s="1">
        <v>45382</v>
      </c>
      <c r="H4126" t="s">
        <v>8081</v>
      </c>
      <c r="I4126" t="s">
        <v>36</v>
      </c>
      <c r="J4126" s="1">
        <v>45292</v>
      </c>
      <c r="K4126">
        <v>-29518000</v>
      </c>
    </row>
    <row r="4127" spans="5:11" x14ac:dyDescent="0.25">
      <c r="E4127" t="s">
        <v>8082</v>
      </c>
      <c r="F4127">
        <v>1787412</v>
      </c>
      <c r="G4127" s="1">
        <v>45412</v>
      </c>
      <c r="H4127" t="s">
        <v>8083</v>
      </c>
      <c r="I4127" t="s">
        <v>3015</v>
      </c>
      <c r="J4127" s="1">
        <v>45323</v>
      </c>
      <c r="K4127">
        <v>-131439</v>
      </c>
    </row>
    <row r="4128" spans="5:11" x14ac:dyDescent="0.25">
      <c r="E4128" t="s">
        <v>8084</v>
      </c>
      <c r="F4128">
        <v>1787414</v>
      </c>
      <c r="G4128" s="1">
        <v>45382</v>
      </c>
      <c r="H4128" t="s">
        <v>8085</v>
      </c>
      <c r="I4128" t="s">
        <v>46</v>
      </c>
      <c r="J4128" s="1">
        <v>45292</v>
      </c>
      <c r="K4128">
        <v>-440980</v>
      </c>
    </row>
    <row r="4129" spans="5:11" x14ac:dyDescent="0.25">
      <c r="E4129" t="s">
        <v>8086</v>
      </c>
      <c r="F4129">
        <v>1787518</v>
      </c>
      <c r="G4129" s="1">
        <v>45382</v>
      </c>
      <c r="H4129" t="s">
        <v>8087</v>
      </c>
      <c r="I4129" t="s">
        <v>46</v>
      </c>
      <c r="J4129" s="1">
        <v>45292</v>
      </c>
      <c r="K4129">
        <v>-2429417</v>
      </c>
    </row>
    <row r="4130" spans="5:11" x14ac:dyDescent="0.25">
      <c r="E4130" t="s">
        <v>8088</v>
      </c>
      <c r="F4130">
        <v>1787740</v>
      </c>
      <c r="G4130" s="1">
        <v>45382</v>
      </c>
      <c r="H4130" t="s">
        <v>8089</v>
      </c>
      <c r="I4130" t="s">
        <v>36</v>
      </c>
      <c r="J4130" s="1">
        <v>45292</v>
      </c>
      <c r="K4130">
        <v>-1481000</v>
      </c>
    </row>
    <row r="4131" spans="5:11" x14ac:dyDescent="0.25">
      <c r="E4131" t="s">
        <v>8090</v>
      </c>
      <c r="F4131">
        <v>1788028</v>
      </c>
      <c r="G4131" s="1">
        <v>45382</v>
      </c>
      <c r="H4131" t="s">
        <v>8091</v>
      </c>
      <c r="I4131" t="s">
        <v>36</v>
      </c>
      <c r="J4131" s="1">
        <v>45292</v>
      </c>
      <c r="K4131">
        <v>-13728000</v>
      </c>
    </row>
    <row r="4132" spans="5:11" x14ac:dyDescent="0.25">
      <c r="E4132" t="s">
        <v>8092</v>
      </c>
      <c r="F4132">
        <v>1788841</v>
      </c>
      <c r="G4132" s="1">
        <v>45382</v>
      </c>
      <c r="H4132" t="s">
        <v>8093</v>
      </c>
      <c r="I4132" t="s">
        <v>57</v>
      </c>
      <c r="J4132" s="1">
        <v>45292</v>
      </c>
      <c r="K4132">
        <v>-4519000</v>
      </c>
    </row>
    <row r="4133" spans="5:11" x14ac:dyDescent="0.25">
      <c r="E4133" t="s">
        <v>8094</v>
      </c>
      <c r="F4133">
        <v>1788882</v>
      </c>
      <c r="G4133" s="1">
        <v>45382</v>
      </c>
      <c r="H4133" t="s">
        <v>8095</v>
      </c>
      <c r="I4133" t="s">
        <v>60</v>
      </c>
      <c r="J4133" s="1">
        <v>45292</v>
      </c>
      <c r="K4133">
        <v>-6200000</v>
      </c>
    </row>
    <row r="4134" spans="5:11" x14ac:dyDescent="0.25">
      <c r="E4134" t="s">
        <v>8096</v>
      </c>
      <c r="F4134">
        <v>1788999</v>
      </c>
      <c r="G4134" s="1">
        <v>45382</v>
      </c>
      <c r="H4134" t="s">
        <v>8097</v>
      </c>
      <c r="I4134" t="s">
        <v>36</v>
      </c>
      <c r="J4134" s="1">
        <v>45292</v>
      </c>
      <c r="K4134">
        <v>-13120000</v>
      </c>
    </row>
    <row r="4135" spans="5:11" x14ac:dyDescent="0.25">
      <c r="E4135" t="s">
        <v>8098</v>
      </c>
      <c r="F4135">
        <v>1789029</v>
      </c>
      <c r="G4135" s="1">
        <v>45382</v>
      </c>
      <c r="H4135" t="s">
        <v>8099</v>
      </c>
      <c r="I4135" t="s">
        <v>36</v>
      </c>
      <c r="J4135" s="1">
        <v>45292</v>
      </c>
      <c r="K4135">
        <v>-35326000</v>
      </c>
    </row>
    <row r="4136" spans="5:11" x14ac:dyDescent="0.25">
      <c r="E4136" t="s">
        <v>8100</v>
      </c>
      <c r="F4136">
        <v>1789192</v>
      </c>
      <c r="G4136" s="1">
        <v>45382</v>
      </c>
      <c r="H4136" t="s">
        <v>8101</v>
      </c>
      <c r="I4136" t="s">
        <v>1511</v>
      </c>
      <c r="J4136" s="1">
        <v>45292</v>
      </c>
      <c r="K4136">
        <v>-769564</v>
      </c>
    </row>
    <row r="4137" spans="5:11" x14ac:dyDescent="0.25">
      <c r="E4137" t="s">
        <v>8102</v>
      </c>
      <c r="F4137">
        <v>1789769</v>
      </c>
      <c r="G4137" s="1">
        <v>45382</v>
      </c>
      <c r="H4137" t="s">
        <v>8103</v>
      </c>
      <c r="I4137" t="s">
        <v>30</v>
      </c>
      <c r="J4137" s="1">
        <v>45292</v>
      </c>
      <c r="K4137">
        <v>-24302000</v>
      </c>
    </row>
    <row r="4138" spans="5:11" x14ac:dyDescent="0.25">
      <c r="E4138" t="s">
        <v>8104</v>
      </c>
      <c r="F4138">
        <v>1789832</v>
      </c>
      <c r="G4138" s="1">
        <v>45382</v>
      </c>
      <c r="H4138" t="s">
        <v>8105</v>
      </c>
      <c r="I4138" t="s">
        <v>30</v>
      </c>
      <c r="J4138" s="1">
        <v>45292</v>
      </c>
      <c r="K4138">
        <v>44600000</v>
      </c>
    </row>
    <row r="4139" spans="5:11" x14ac:dyDescent="0.25">
      <c r="E4139" t="s">
        <v>8106</v>
      </c>
      <c r="F4139">
        <v>1789940</v>
      </c>
      <c r="G4139" s="1">
        <v>45382</v>
      </c>
      <c r="H4139" t="s">
        <v>8107</v>
      </c>
      <c r="I4139" t="s">
        <v>33</v>
      </c>
      <c r="J4139" s="1">
        <v>45292</v>
      </c>
      <c r="K4139">
        <v>7214000</v>
      </c>
    </row>
    <row r="4140" spans="5:11" x14ac:dyDescent="0.25">
      <c r="E4140" t="s">
        <v>8108</v>
      </c>
      <c r="F4140">
        <v>1789972</v>
      </c>
      <c r="G4140" s="1">
        <v>45382</v>
      </c>
      <c r="H4140" t="s">
        <v>8109</v>
      </c>
      <c r="I4140" t="s">
        <v>8110</v>
      </c>
      <c r="J4140" s="1">
        <v>45292</v>
      </c>
      <c r="K4140">
        <v>-37148000</v>
      </c>
    </row>
    <row r="4141" spans="5:11" x14ac:dyDescent="0.25">
      <c r="E4141" t="s">
        <v>8111</v>
      </c>
      <c r="F4141">
        <v>1790169</v>
      </c>
      <c r="G4141" s="1">
        <v>45382</v>
      </c>
      <c r="H4141" t="s">
        <v>8112</v>
      </c>
      <c r="I4141" t="s">
        <v>33</v>
      </c>
      <c r="J4141" s="1">
        <v>45292</v>
      </c>
      <c r="K4141">
        <v>-3374000</v>
      </c>
    </row>
    <row r="4142" spans="5:11" x14ac:dyDescent="0.25">
      <c r="E4142" t="s">
        <v>8113</v>
      </c>
      <c r="F4142">
        <v>1790340</v>
      </c>
      <c r="G4142" s="1">
        <v>45382</v>
      </c>
      <c r="H4142" t="s">
        <v>8114</v>
      </c>
      <c r="I4142" t="s">
        <v>24</v>
      </c>
      <c r="J4142" s="1">
        <v>45292</v>
      </c>
      <c r="K4142">
        <v>-14307829</v>
      </c>
    </row>
    <row r="4143" spans="5:11" x14ac:dyDescent="0.25">
      <c r="E4143" t="s">
        <v>8115</v>
      </c>
      <c r="F4143">
        <v>1792509</v>
      </c>
      <c r="G4143" s="1">
        <v>45382</v>
      </c>
      <c r="H4143" t="s">
        <v>8116</v>
      </c>
      <c r="I4143" t="s">
        <v>36</v>
      </c>
      <c r="J4143" s="1">
        <v>45292</v>
      </c>
      <c r="K4143">
        <v>3779000</v>
      </c>
    </row>
    <row r="4144" spans="5:11" x14ac:dyDescent="0.25">
      <c r="E4144" t="s">
        <v>8117</v>
      </c>
      <c r="F4144">
        <v>1792580</v>
      </c>
      <c r="G4144" s="1">
        <v>45382</v>
      </c>
      <c r="H4144" t="s">
        <v>8118</v>
      </c>
      <c r="I4144" t="s">
        <v>92</v>
      </c>
      <c r="J4144" s="1">
        <v>45292</v>
      </c>
      <c r="K4144">
        <v>338000000</v>
      </c>
    </row>
    <row r="4145" spans="5:11" x14ac:dyDescent="0.25">
      <c r="E4145" t="s">
        <v>8119</v>
      </c>
      <c r="F4145">
        <v>1792581</v>
      </c>
      <c r="G4145" s="1">
        <v>45382</v>
      </c>
      <c r="H4145" t="s">
        <v>8120</v>
      </c>
      <c r="I4145" t="s">
        <v>30</v>
      </c>
      <c r="J4145" s="1">
        <v>45292</v>
      </c>
      <c r="K4145">
        <v>-6148000</v>
      </c>
    </row>
    <row r="4146" spans="5:11" x14ac:dyDescent="0.25">
      <c r="E4146" t="s">
        <v>8121</v>
      </c>
      <c r="F4146">
        <v>1792781</v>
      </c>
      <c r="G4146" s="1">
        <v>45416</v>
      </c>
      <c r="H4146" t="s">
        <v>8122</v>
      </c>
      <c r="I4146" t="s">
        <v>36</v>
      </c>
      <c r="J4146" s="1">
        <v>45326</v>
      </c>
      <c r="K4146">
        <v>12172000</v>
      </c>
    </row>
    <row r="4147" spans="5:11" x14ac:dyDescent="0.25">
      <c r="E4147" t="s">
        <v>10563</v>
      </c>
      <c r="F4147">
        <v>1792789</v>
      </c>
      <c r="G4147" s="1">
        <v>45382</v>
      </c>
      <c r="H4147" t="s">
        <v>8123</v>
      </c>
      <c r="I4147" t="s">
        <v>36</v>
      </c>
      <c r="J4147" s="1">
        <v>45292</v>
      </c>
      <c r="K4147">
        <v>-23000000</v>
      </c>
    </row>
    <row r="4148" spans="5:11" x14ac:dyDescent="0.25">
      <c r="E4148" t="s">
        <v>8124</v>
      </c>
      <c r="F4148">
        <v>1792849</v>
      </c>
      <c r="G4148" s="1">
        <v>45382</v>
      </c>
      <c r="H4148" t="s">
        <v>8125</v>
      </c>
      <c r="I4148" t="s">
        <v>30</v>
      </c>
      <c r="J4148" s="1">
        <v>45292</v>
      </c>
      <c r="K4148">
        <v>6438000</v>
      </c>
    </row>
    <row r="4149" spans="5:11" x14ac:dyDescent="0.25">
      <c r="E4149" t="s">
        <v>8126</v>
      </c>
      <c r="F4149">
        <v>1792941</v>
      </c>
      <c r="G4149" s="1">
        <v>45382</v>
      </c>
      <c r="H4149" t="s">
        <v>8127</v>
      </c>
      <c r="I4149" t="s">
        <v>172</v>
      </c>
      <c r="J4149" s="1">
        <v>45292</v>
      </c>
      <c r="K4149">
        <v>-772055</v>
      </c>
    </row>
    <row r="4150" spans="5:11" x14ac:dyDescent="0.25">
      <c r="E4150" t="s">
        <v>8128</v>
      </c>
      <c r="F4150">
        <v>1793229</v>
      </c>
      <c r="G4150" s="1">
        <v>45382</v>
      </c>
      <c r="H4150" t="s">
        <v>8129</v>
      </c>
      <c r="I4150" t="s">
        <v>57</v>
      </c>
      <c r="J4150" s="1">
        <v>45292</v>
      </c>
      <c r="K4150">
        <v>-539689000</v>
      </c>
    </row>
    <row r="4151" spans="5:11" x14ac:dyDescent="0.25">
      <c r="E4151" t="s">
        <v>8130</v>
      </c>
      <c r="F4151">
        <v>1793659</v>
      </c>
      <c r="G4151" s="1">
        <v>45382</v>
      </c>
      <c r="H4151" t="s">
        <v>8131</v>
      </c>
      <c r="I4151" t="s">
        <v>19</v>
      </c>
      <c r="J4151" s="1">
        <v>45292</v>
      </c>
      <c r="K4151">
        <v>-727000</v>
      </c>
    </row>
    <row r="4152" spans="5:11" x14ac:dyDescent="0.25">
      <c r="E4152" t="s">
        <v>10564</v>
      </c>
      <c r="F4152">
        <v>1794276</v>
      </c>
      <c r="G4152" s="1">
        <v>45382</v>
      </c>
      <c r="H4152" t="s">
        <v>8132</v>
      </c>
      <c r="I4152" t="s">
        <v>1164</v>
      </c>
      <c r="J4152" s="1">
        <v>45292</v>
      </c>
      <c r="K4152">
        <v>155607</v>
      </c>
    </row>
    <row r="4153" spans="5:11" x14ac:dyDescent="0.25">
      <c r="E4153" t="s">
        <v>8133</v>
      </c>
      <c r="F4153">
        <v>1794515</v>
      </c>
      <c r="G4153" s="1">
        <v>45382</v>
      </c>
      <c r="H4153" t="s">
        <v>8134</v>
      </c>
      <c r="I4153" t="s">
        <v>504</v>
      </c>
      <c r="J4153" s="1">
        <v>45292</v>
      </c>
      <c r="K4153">
        <v>15100000</v>
      </c>
    </row>
    <row r="4154" spans="5:11" x14ac:dyDescent="0.25">
      <c r="E4154" t="s">
        <v>8135</v>
      </c>
      <c r="F4154">
        <v>1794669</v>
      </c>
      <c r="G4154" s="1">
        <v>45382</v>
      </c>
      <c r="H4154" t="s">
        <v>8136</v>
      </c>
      <c r="I4154" t="s">
        <v>39</v>
      </c>
      <c r="J4154" s="1">
        <v>45292</v>
      </c>
      <c r="K4154">
        <v>20600000</v>
      </c>
    </row>
    <row r="4155" spans="5:11" x14ac:dyDescent="0.25">
      <c r="E4155" t="s">
        <v>8137</v>
      </c>
      <c r="F4155">
        <v>1794776</v>
      </c>
      <c r="G4155" s="1">
        <v>45382</v>
      </c>
      <c r="H4155" t="s">
        <v>8138</v>
      </c>
      <c r="I4155" t="s">
        <v>106</v>
      </c>
      <c r="J4155" s="1">
        <v>45292</v>
      </c>
      <c r="K4155">
        <v>22880140</v>
      </c>
    </row>
    <row r="4156" spans="5:11" x14ac:dyDescent="0.25">
      <c r="E4156" t="s">
        <v>8139</v>
      </c>
      <c r="F4156">
        <v>1794783</v>
      </c>
      <c r="G4156" s="1">
        <v>45382</v>
      </c>
      <c r="H4156" t="s">
        <v>8140</v>
      </c>
      <c r="I4156" t="s">
        <v>106</v>
      </c>
      <c r="J4156" s="1">
        <v>45292</v>
      </c>
      <c r="K4156">
        <v>8551000</v>
      </c>
    </row>
    <row r="4157" spans="5:11" x14ac:dyDescent="0.25">
      <c r="E4157" t="s">
        <v>8141</v>
      </c>
      <c r="F4157">
        <v>1794942</v>
      </c>
      <c r="G4157" s="1">
        <v>45382</v>
      </c>
      <c r="H4157" t="s">
        <v>8142</v>
      </c>
      <c r="I4157" t="s">
        <v>33</v>
      </c>
      <c r="J4157" s="1">
        <v>45292</v>
      </c>
      <c r="K4157">
        <v>-17946</v>
      </c>
    </row>
    <row r="4158" spans="5:11" x14ac:dyDescent="0.25">
      <c r="E4158" t="s">
        <v>8143</v>
      </c>
      <c r="F4158">
        <v>1795091</v>
      </c>
      <c r="G4158" s="1">
        <v>45382</v>
      </c>
      <c r="H4158" t="s">
        <v>8144</v>
      </c>
      <c r="I4158" t="s">
        <v>299</v>
      </c>
      <c r="J4158" s="1">
        <v>45292</v>
      </c>
      <c r="K4158">
        <v>-1458992</v>
      </c>
    </row>
    <row r="4159" spans="5:11" x14ac:dyDescent="0.25">
      <c r="E4159" t="s">
        <v>8145</v>
      </c>
      <c r="F4159">
        <v>1795139</v>
      </c>
      <c r="G4159" s="1">
        <v>45382</v>
      </c>
      <c r="H4159" t="s">
        <v>8146</v>
      </c>
      <c r="I4159" t="s">
        <v>19</v>
      </c>
      <c r="J4159" s="1">
        <v>45292</v>
      </c>
      <c r="K4159">
        <v>31076000</v>
      </c>
    </row>
    <row r="4160" spans="5:11" x14ac:dyDescent="0.25">
      <c r="E4160" t="s">
        <v>8147</v>
      </c>
      <c r="F4160">
        <v>1795250</v>
      </c>
      <c r="G4160" s="1">
        <v>45382</v>
      </c>
      <c r="H4160" t="s">
        <v>8148</v>
      </c>
      <c r="I4160" t="s">
        <v>57</v>
      </c>
      <c r="J4160" s="1">
        <v>45292</v>
      </c>
      <c r="K4160">
        <v>-47240000</v>
      </c>
    </row>
    <row r="4161" spans="5:11" x14ac:dyDescent="0.25">
      <c r="E4161" t="s">
        <v>8149</v>
      </c>
      <c r="F4161">
        <v>1795815</v>
      </c>
      <c r="G4161" s="1">
        <v>45382</v>
      </c>
      <c r="H4161" t="s">
        <v>8150</v>
      </c>
      <c r="I4161" t="s">
        <v>36</v>
      </c>
      <c r="J4161" s="1">
        <v>45292</v>
      </c>
      <c r="K4161">
        <v>4935000</v>
      </c>
    </row>
    <row r="4162" spans="5:11" x14ac:dyDescent="0.25">
      <c r="E4162" t="s">
        <v>8151</v>
      </c>
      <c r="F4162">
        <v>1796129</v>
      </c>
      <c r="G4162" s="1">
        <v>45382</v>
      </c>
      <c r="H4162" t="s">
        <v>8152</v>
      </c>
      <c r="I4162" t="s">
        <v>36</v>
      </c>
      <c r="J4162" s="1">
        <v>45292</v>
      </c>
      <c r="K4162">
        <v>-12429000</v>
      </c>
    </row>
    <row r="4163" spans="5:11" x14ac:dyDescent="0.25">
      <c r="E4163" t="s">
        <v>8153</v>
      </c>
      <c r="F4163">
        <v>1796160</v>
      </c>
      <c r="G4163" s="1">
        <v>45382</v>
      </c>
      <c r="H4163" t="s">
        <v>8154</v>
      </c>
      <c r="I4163" t="s">
        <v>4980</v>
      </c>
      <c r="J4163" s="1">
        <v>45292</v>
      </c>
      <c r="K4163">
        <v>-308226</v>
      </c>
    </row>
    <row r="4164" spans="5:11" x14ac:dyDescent="0.25">
      <c r="E4164" t="s">
        <v>10565</v>
      </c>
      <c r="F4164">
        <v>1796209</v>
      </c>
      <c r="G4164" s="1">
        <v>45382</v>
      </c>
      <c r="H4164" t="s">
        <v>8155</v>
      </c>
      <c r="I4164" t="s">
        <v>213</v>
      </c>
      <c r="J4164" s="1">
        <v>45292</v>
      </c>
      <c r="K4164">
        <v>45000000</v>
      </c>
    </row>
    <row r="4165" spans="5:11" x14ac:dyDescent="0.25">
      <c r="E4165" t="s">
        <v>8156</v>
      </c>
      <c r="F4165">
        <v>1796280</v>
      </c>
      <c r="G4165" s="1">
        <v>45382</v>
      </c>
      <c r="H4165" t="s">
        <v>8157</v>
      </c>
      <c r="I4165" t="s">
        <v>36</v>
      </c>
      <c r="J4165" s="1">
        <v>45292</v>
      </c>
      <c r="K4165">
        <v>-25011000</v>
      </c>
    </row>
    <row r="4166" spans="5:11" x14ac:dyDescent="0.25">
      <c r="E4166" t="s">
        <v>8158</v>
      </c>
      <c r="F4166">
        <v>1796514</v>
      </c>
      <c r="G4166" s="1">
        <v>45382</v>
      </c>
      <c r="H4166" t="s">
        <v>8159</v>
      </c>
      <c r="I4166" t="s">
        <v>1164</v>
      </c>
      <c r="J4166" s="1">
        <v>45292</v>
      </c>
      <c r="K4166">
        <v>-731000</v>
      </c>
    </row>
    <row r="4167" spans="5:11" x14ac:dyDescent="0.25">
      <c r="E4167" t="s">
        <v>8160</v>
      </c>
      <c r="F4167">
        <v>1796949</v>
      </c>
      <c r="G4167" s="1">
        <v>45382</v>
      </c>
      <c r="H4167" t="s">
        <v>8161</v>
      </c>
      <c r="I4167" t="s">
        <v>406</v>
      </c>
      <c r="J4167" s="1">
        <v>45292</v>
      </c>
      <c r="K4167">
        <v>-199978</v>
      </c>
    </row>
    <row r="4168" spans="5:11" x14ac:dyDescent="0.25">
      <c r="E4168" t="s">
        <v>8162</v>
      </c>
      <c r="F4168">
        <v>1798100</v>
      </c>
      <c r="G4168" s="1">
        <v>45382</v>
      </c>
      <c r="H4168" t="s">
        <v>8163</v>
      </c>
      <c r="I4168" t="s">
        <v>30</v>
      </c>
      <c r="J4168" s="1">
        <v>45292</v>
      </c>
      <c r="K4168">
        <v>1045000</v>
      </c>
    </row>
    <row r="4169" spans="5:11" x14ac:dyDescent="0.25">
      <c r="E4169" t="s">
        <v>8164</v>
      </c>
      <c r="F4169">
        <v>1798270</v>
      </c>
      <c r="G4169" s="1">
        <v>45382</v>
      </c>
      <c r="H4169" t="s">
        <v>8165</v>
      </c>
      <c r="I4169" t="s">
        <v>92</v>
      </c>
      <c r="J4169" s="1">
        <v>45292</v>
      </c>
      <c r="K4169">
        <v>-3761000</v>
      </c>
    </row>
    <row r="4170" spans="5:11" x14ac:dyDescent="0.25">
      <c r="E4170" t="s">
        <v>8166</v>
      </c>
      <c r="F4170">
        <v>1798458</v>
      </c>
      <c r="G4170" s="1">
        <v>45382</v>
      </c>
      <c r="H4170" t="s">
        <v>8167</v>
      </c>
      <c r="I4170" t="s">
        <v>92</v>
      </c>
      <c r="J4170" s="1">
        <v>45292</v>
      </c>
      <c r="K4170">
        <v>-5790</v>
      </c>
    </row>
    <row r="4171" spans="5:11" x14ac:dyDescent="0.25">
      <c r="E4171" t="s">
        <v>8168</v>
      </c>
      <c r="F4171">
        <v>1798562</v>
      </c>
      <c r="G4171" s="1">
        <v>45382</v>
      </c>
      <c r="H4171" t="s">
        <v>8169</v>
      </c>
      <c r="I4171" t="s">
        <v>2552</v>
      </c>
      <c r="J4171" s="1">
        <v>45292</v>
      </c>
      <c r="K4171">
        <v>-25194000</v>
      </c>
    </row>
    <row r="4172" spans="5:11" x14ac:dyDescent="0.25">
      <c r="E4172" t="s">
        <v>8170</v>
      </c>
      <c r="F4172">
        <v>1798749</v>
      </c>
      <c r="G4172" s="1">
        <v>45382</v>
      </c>
      <c r="H4172" t="s">
        <v>8171</v>
      </c>
      <c r="I4172" t="s">
        <v>24</v>
      </c>
      <c r="J4172" s="1">
        <v>45292</v>
      </c>
      <c r="K4172">
        <v>-23186000</v>
      </c>
    </row>
    <row r="4173" spans="5:11" x14ac:dyDescent="0.25">
      <c r="E4173" t="s">
        <v>8172</v>
      </c>
      <c r="F4173">
        <v>1799011</v>
      </c>
      <c r="G4173" s="1">
        <v>45382</v>
      </c>
      <c r="H4173" t="s">
        <v>8173</v>
      </c>
      <c r="I4173" t="s">
        <v>57</v>
      </c>
      <c r="J4173" s="1">
        <v>45292</v>
      </c>
      <c r="K4173">
        <v>-10612000</v>
      </c>
    </row>
    <row r="4174" spans="5:11" x14ac:dyDescent="0.25">
      <c r="E4174" t="s">
        <v>8174</v>
      </c>
      <c r="F4174">
        <v>1799191</v>
      </c>
      <c r="G4174" s="1">
        <v>45382</v>
      </c>
      <c r="H4174" t="s">
        <v>8175</v>
      </c>
      <c r="I4174" t="s">
        <v>36</v>
      </c>
      <c r="J4174" s="1">
        <v>45292</v>
      </c>
      <c r="K4174">
        <v>-19889000</v>
      </c>
    </row>
    <row r="4175" spans="5:11" x14ac:dyDescent="0.25">
      <c r="E4175" t="s">
        <v>8176</v>
      </c>
      <c r="F4175">
        <v>1799208</v>
      </c>
      <c r="G4175" s="1">
        <v>45382</v>
      </c>
      <c r="H4175" t="s">
        <v>8177</v>
      </c>
      <c r="I4175" t="s">
        <v>33</v>
      </c>
      <c r="J4175" s="1">
        <v>45292</v>
      </c>
      <c r="K4175">
        <v>-23200000</v>
      </c>
    </row>
    <row r="4176" spans="5:11" x14ac:dyDescent="0.25">
      <c r="E4176" t="s">
        <v>8178</v>
      </c>
      <c r="F4176">
        <v>1799332</v>
      </c>
      <c r="G4176" s="1">
        <v>45382</v>
      </c>
      <c r="H4176" t="s">
        <v>8179</v>
      </c>
      <c r="I4176" t="s">
        <v>36</v>
      </c>
      <c r="J4176" s="1">
        <v>45292</v>
      </c>
      <c r="K4176">
        <v>-4160000</v>
      </c>
    </row>
    <row r="4177" spans="5:11" x14ac:dyDescent="0.25">
      <c r="E4177" t="s">
        <v>8180</v>
      </c>
      <c r="F4177">
        <v>1799448</v>
      </c>
      <c r="G4177" s="1">
        <v>45382</v>
      </c>
      <c r="H4177" t="s">
        <v>8181</v>
      </c>
      <c r="I4177" t="s">
        <v>36</v>
      </c>
      <c r="J4177" s="1">
        <v>45292</v>
      </c>
      <c r="K4177">
        <v>-34863000</v>
      </c>
    </row>
    <row r="4178" spans="5:11" x14ac:dyDescent="0.25">
      <c r="E4178" t="s">
        <v>8182</v>
      </c>
      <c r="F4178">
        <v>1799567</v>
      </c>
      <c r="G4178" s="1">
        <v>45382</v>
      </c>
      <c r="H4178" t="s">
        <v>8183</v>
      </c>
      <c r="I4178" t="s">
        <v>3015</v>
      </c>
      <c r="J4178" s="1">
        <v>45292</v>
      </c>
      <c r="K4178">
        <v>30308000</v>
      </c>
    </row>
    <row r="4179" spans="5:11" x14ac:dyDescent="0.25">
      <c r="E4179" t="s">
        <v>8184</v>
      </c>
      <c r="F4179">
        <v>1799788</v>
      </c>
      <c r="G4179" s="1">
        <v>45382</v>
      </c>
      <c r="H4179" t="s">
        <v>8185</v>
      </c>
      <c r="I4179" t="s">
        <v>30</v>
      </c>
      <c r="J4179" s="1">
        <v>45292</v>
      </c>
      <c r="K4179">
        <v>-2473195</v>
      </c>
    </row>
    <row r="4180" spans="5:11" x14ac:dyDescent="0.25">
      <c r="E4180" t="s">
        <v>8186</v>
      </c>
      <c r="F4180">
        <v>1800227</v>
      </c>
      <c r="G4180" s="1">
        <v>45382</v>
      </c>
      <c r="H4180" t="s">
        <v>8187</v>
      </c>
      <c r="I4180" t="s">
        <v>57</v>
      </c>
      <c r="J4180" s="1">
        <v>45292</v>
      </c>
      <c r="K4180">
        <v>45031000</v>
      </c>
    </row>
    <row r="4181" spans="5:11" x14ac:dyDescent="0.25">
      <c r="E4181" t="s">
        <v>8188</v>
      </c>
      <c r="F4181">
        <v>1800315</v>
      </c>
      <c r="G4181" s="1">
        <v>45382</v>
      </c>
      <c r="H4181" t="s">
        <v>8189</v>
      </c>
      <c r="I4181" t="s">
        <v>24</v>
      </c>
      <c r="J4181" s="1">
        <v>45292</v>
      </c>
      <c r="K4181">
        <v>-5477000</v>
      </c>
    </row>
    <row r="4182" spans="5:11" x14ac:dyDescent="0.25">
      <c r="E4182" t="s">
        <v>8190</v>
      </c>
      <c r="F4182">
        <v>1800373</v>
      </c>
      <c r="G4182" s="1">
        <v>45382</v>
      </c>
      <c r="H4182" t="s">
        <v>8191</v>
      </c>
      <c r="I4182" t="s">
        <v>60</v>
      </c>
      <c r="J4182" s="1">
        <v>45292</v>
      </c>
      <c r="K4182">
        <v>-30977</v>
      </c>
    </row>
    <row r="4183" spans="5:11" x14ac:dyDescent="0.25">
      <c r="E4183" t="s">
        <v>8192</v>
      </c>
      <c r="F4183">
        <v>1800637</v>
      </c>
      <c r="G4183" s="1">
        <v>45382</v>
      </c>
      <c r="H4183" t="s">
        <v>8193</v>
      </c>
      <c r="I4183" t="s">
        <v>329</v>
      </c>
      <c r="J4183" s="1">
        <v>45292</v>
      </c>
      <c r="K4183">
        <v>4236000</v>
      </c>
    </row>
    <row r="4184" spans="5:11" x14ac:dyDescent="0.25">
      <c r="E4184" t="s">
        <v>8194</v>
      </c>
      <c r="F4184">
        <v>1800667</v>
      </c>
      <c r="G4184" s="1">
        <v>45382</v>
      </c>
      <c r="H4184" t="s">
        <v>8195</v>
      </c>
      <c r="I4184" t="s">
        <v>36</v>
      </c>
      <c r="J4184" s="1">
        <v>45292</v>
      </c>
      <c r="K4184">
        <v>-8790000</v>
      </c>
    </row>
    <row r="4185" spans="5:11" x14ac:dyDescent="0.25">
      <c r="E4185" t="s">
        <v>8196</v>
      </c>
      <c r="F4185">
        <v>1800682</v>
      </c>
      <c r="G4185" s="1">
        <v>45382</v>
      </c>
      <c r="H4185" t="s">
        <v>8197</v>
      </c>
      <c r="I4185" t="s">
        <v>33</v>
      </c>
      <c r="J4185" s="1">
        <v>45292</v>
      </c>
      <c r="K4185">
        <v>-415706000</v>
      </c>
    </row>
    <row r="4186" spans="5:11" x14ac:dyDescent="0.25">
      <c r="E4186" t="s">
        <v>8198</v>
      </c>
      <c r="F4186">
        <v>1801169</v>
      </c>
      <c r="G4186" s="1">
        <v>45382</v>
      </c>
      <c r="H4186" t="s">
        <v>8199</v>
      </c>
      <c r="I4186" t="s">
        <v>113</v>
      </c>
      <c r="J4186" s="1">
        <v>45292</v>
      </c>
      <c r="K4186">
        <v>-109000000</v>
      </c>
    </row>
    <row r="4187" spans="5:11" x14ac:dyDescent="0.25">
      <c r="E4187" t="s">
        <v>8200</v>
      </c>
      <c r="F4187">
        <v>1801170</v>
      </c>
      <c r="G4187" s="1">
        <v>45382</v>
      </c>
      <c r="H4187" t="s">
        <v>8201</v>
      </c>
      <c r="I4187" t="s">
        <v>69</v>
      </c>
      <c r="J4187" s="1">
        <v>45292</v>
      </c>
      <c r="K4187">
        <v>-19170000</v>
      </c>
    </row>
    <row r="4188" spans="5:11" x14ac:dyDescent="0.25">
      <c r="E4188" t="s">
        <v>8202</v>
      </c>
      <c r="F4188">
        <v>1801368</v>
      </c>
      <c r="G4188" s="1">
        <v>45382</v>
      </c>
      <c r="H4188" t="s">
        <v>8203</v>
      </c>
      <c r="I4188" t="s">
        <v>142</v>
      </c>
      <c r="J4188" s="1">
        <v>45292</v>
      </c>
      <c r="K4188">
        <v>16489000</v>
      </c>
    </row>
    <row r="4189" spans="5:11" x14ac:dyDescent="0.25">
      <c r="E4189" t="s">
        <v>8204</v>
      </c>
      <c r="F4189">
        <v>1801417</v>
      </c>
      <c r="G4189" s="1">
        <v>45382</v>
      </c>
      <c r="H4189" t="s">
        <v>8205</v>
      </c>
      <c r="I4189" t="s">
        <v>655</v>
      </c>
      <c r="J4189" s="1">
        <v>45292</v>
      </c>
      <c r="K4189">
        <v>94733</v>
      </c>
    </row>
    <row r="4190" spans="5:11" x14ac:dyDescent="0.25">
      <c r="E4190" t="s">
        <v>8206</v>
      </c>
      <c r="F4190">
        <v>1801602</v>
      </c>
      <c r="G4190" s="1">
        <v>45382</v>
      </c>
      <c r="H4190" t="s">
        <v>8207</v>
      </c>
      <c r="I4190" t="s">
        <v>33</v>
      </c>
      <c r="J4190" s="1">
        <v>45292</v>
      </c>
      <c r="K4190">
        <v>417000</v>
      </c>
    </row>
    <row r="4191" spans="5:11" x14ac:dyDescent="0.25">
      <c r="E4191" t="s">
        <v>8208</v>
      </c>
      <c r="F4191">
        <v>1801661</v>
      </c>
      <c r="G4191" s="1">
        <v>45382</v>
      </c>
      <c r="H4191" t="s">
        <v>8209</v>
      </c>
      <c r="I4191" t="s">
        <v>142</v>
      </c>
      <c r="J4191" s="1">
        <v>45292</v>
      </c>
      <c r="K4191">
        <v>-26723000</v>
      </c>
    </row>
    <row r="4192" spans="5:11" x14ac:dyDescent="0.25">
      <c r="E4192" t="s">
        <v>8210</v>
      </c>
      <c r="F4192">
        <v>1802156</v>
      </c>
      <c r="G4192" s="1">
        <v>45382</v>
      </c>
      <c r="H4192" t="s">
        <v>8211</v>
      </c>
      <c r="I4192" t="s">
        <v>36</v>
      </c>
      <c r="J4192" s="1">
        <v>45292</v>
      </c>
      <c r="K4192">
        <v>-2867000</v>
      </c>
    </row>
    <row r="4193" spans="5:11" x14ac:dyDescent="0.25">
      <c r="E4193" t="s">
        <v>8212</v>
      </c>
      <c r="F4193">
        <v>1802450</v>
      </c>
      <c r="G4193" s="1">
        <v>45382</v>
      </c>
      <c r="H4193" t="s">
        <v>8213</v>
      </c>
      <c r="I4193" t="s">
        <v>33</v>
      </c>
      <c r="J4193" s="1">
        <v>45292</v>
      </c>
      <c r="K4193">
        <v>-18882000</v>
      </c>
    </row>
    <row r="4194" spans="5:11" x14ac:dyDescent="0.25">
      <c r="E4194" t="s">
        <v>8214</v>
      </c>
      <c r="F4194">
        <v>1802457</v>
      </c>
      <c r="G4194" s="1">
        <v>45382</v>
      </c>
      <c r="H4194" t="s">
        <v>8215</v>
      </c>
      <c r="I4194" t="s">
        <v>36</v>
      </c>
      <c r="J4194" s="1">
        <v>45292</v>
      </c>
      <c r="K4194">
        <v>-13913000</v>
      </c>
    </row>
    <row r="4195" spans="5:11" x14ac:dyDescent="0.25">
      <c r="E4195" t="s">
        <v>8216</v>
      </c>
      <c r="F4195">
        <v>1802665</v>
      </c>
      <c r="G4195" s="1">
        <v>45382</v>
      </c>
      <c r="H4195" t="s">
        <v>8217</v>
      </c>
      <c r="I4195" t="s">
        <v>39</v>
      </c>
      <c r="J4195" s="1">
        <v>45292</v>
      </c>
      <c r="K4195">
        <v>38334000</v>
      </c>
    </row>
    <row r="4196" spans="5:11" x14ac:dyDescent="0.25">
      <c r="E4196" t="s">
        <v>8218</v>
      </c>
      <c r="F4196">
        <v>1802768</v>
      </c>
      <c r="G4196" s="1">
        <v>45382</v>
      </c>
      <c r="H4196" t="s">
        <v>8219</v>
      </c>
      <c r="I4196" t="s">
        <v>57</v>
      </c>
      <c r="J4196" s="1">
        <v>45292</v>
      </c>
      <c r="K4196">
        <v>4778000</v>
      </c>
    </row>
    <row r="4197" spans="5:11" x14ac:dyDescent="0.25">
      <c r="E4197" t="s">
        <v>8220</v>
      </c>
      <c r="F4197">
        <v>1802974</v>
      </c>
      <c r="G4197" s="1">
        <v>45412</v>
      </c>
      <c r="H4197" t="s">
        <v>8221</v>
      </c>
      <c r="I4197" t="s">
        <v>36</v>
      </c>
      <c r="J4197" s="1">
        <v>45323</v>
      </c>
      <c r="K4197">
        <v>7000000</v>
      </c>
    </row>
    <row r="4198" spans="5:11" x14ac:dyDescent="0.25">
      <c r="E4198" t="s">
        <v>8222</v>
      </c>
      <c r="F4198">
        <v>1803096</v>
      </c>
      <c r="G4198" s="1">
        <v>45412</v>
      </c>
      <c r="H4198" t="s">
        <v>8223</v>
      </c>
      <c r="I4198" t="s">
        <v>142</v>
      </c>
      <c r="J4198" s="1">
        <v>45323</v>
      </c>
      <c r="K4198">
        <v>-23236</v>
      </c>
    </row>
    <row r="4199" spans="5:11" x14ac:dyDescent="0.25">
      <c r="E4199" t="s">
        <v>8224</v>
      </c>
      <c r="F4199">
        <v>1803498</v>
      </c>
      <c r="G4199" s="1">
        <v>45382</v>
      </c>
      <c r="H4199" t="s">
        <v>8225</v>
      </c>
      <c r="I4199" t="s">
        <v>57</v>
      </c>
      <c r="J4199" s="1">
        <v>45292</v>
      </c>
      <c r="K4199">
        <v>919048000</v>
      </c>
    </row>
    <row r="4200" spans="5:11" x14ac:dyDescent="0.25">
      <c r="E4200" t="s">
        <v>8226</v>
      </c>
      <c r="F4200">
        <v>1803599</v>
      </c>
      <c r="G4200" s="1">
        <v>45351</v>
      </c>
      <c r="H4200" t="s">
        <v>8227</v>
      </c>
      <c r="I4200" t="s">
        <v>36</v>
      </c>
      <c r="J4200" s="1">
        <v>45261</v>
      </c>
      <c r="K4200">
        <v>52102000</v>
      </c>
    </row>
    <row r="4201" spans="5:11" x14ac:dyDescent="0.25">
      <c r="E4201" t="s">
        <v>8228</v>
      </c>
      <c r="F4201">
        <v>1803696</v>
      </c>
      <c r="G4201" s="1">
        <v>45382</v>
      </c>
      <c r="H4201" t="s">
        <v>8229</v>
      </c>
      <c r="I4201" t="s">
        <v>36</v>
      </c>
      <c r="J4201" s="1">
        <v>45292</v>
      </c>
      <c r="K4201">
        <v>899000</v>
      </c>
    </row>
    <row r="4202" spans="5:11" x14ac:dyDescent="0.25">
      <c r="E4202" t="s">
        <v>8230</v>
      </c>
      <c r="F4202">
        <v>1803737</v>
      </c>
      <c r="G4202" s="1">
        <v>45382</v>
      </c>
      <c r="H4202" t="s">
        <v>8231</v>
      </c>
      <c r="I4202" t="s">
        <v>30</v>
      </c>
      <c r="J4202" s="1">
        <v>45292</v>
      </c>
      <c r="K4202">
        <v>200000</v>
      </c>
    </row>
    <row r="4203" spans="5:11" x14ac:dyDescent="0.25">
      <c r="E4203" t="s">
        <v>8232</v>
      </c>
      <c r="F4203">
        <v>1803901</v>
      </c>
      <c r="G4203" s="1">
        <v>45382</v>
      </c>
      <c r="H4203" t="s">
        <v>8233</v>
      </c>
      <c r="I4203" t="s">
        <v>57</v>
      </c>
      <c r="J4203" s="1">
        <v>45292</v>
      </c>
      <c r="K4203">
        <v>-1466000</v>
      </c>
    </row>
    <row r="4204" spans="5:11" x14ac:dyDescent="0.25">
      <c r="E4204" t="s">
        <v>8234</v>
      </c>
      <c r="F4204">
        <v>1803914</v>
      </c>
      <c r="G4204" s="1">
        <v>45382</v>
      </c>
      <c r="H4204" t="s">
        <v>8235</v>
      </c>
      <c r="I4204" t="s">
        <v>36</v>
      </c>
      <c r="J4204" s="1">
        <v>45292</v>
      </c>
      <c r="K4204">
        <v>-16447000</v>
      </c>
    </row>
    <row r="4205" spans="5:11" x14ac:dyDescent="0.25">
      <c r="E4205" t="s">
        <v>8236</v>
      </c>
      <c r="F4205">
        <v>1803977</v>
      </c>
      <c r="G4205" s="1">
        <v>45382</v>
      </c>
      <c r="H4205" t="s">
        <v>8237</v>
      </c>
      <c r="I4205" t="s">
        <v>36</v>
      </c>
      <c r="J4205" s="1">
        <v>45292</v>
      </c>
      <c r="K4205">
        <v>-1078143</v>
      </c>
    </row>
    <row r="4206" spans="5:11" x14ac:dyDescent="0.25">
      <c r="E4206" t="s">
        <v>8238</v>
      </c>
      <c r="F4206">
        <v>1804176</v>
      </c>
      <c r="G4206" s="1">
        <v>45382</v>
      </c>
      <c r="H4206" t="s">
        <v>8239</v>
      </c>
      <c r="I4206" t="s">
        <v>24</v>
      </c>
      <c r="J4206" s="1">
        <v>45292</v>
      </c>
      <c r="K4206">
        <v>-21761000</v>
      </c>
    </row>
    <row r="4207" spans="5:11" x14ac:dyDescent="0.25">
      <c r="E4207" t="s">
        <v>8240</v>
      </c>
      <c r="F4207">
        <v>1804745</v>
      </c>
      <c r="G4207" s="1">
        <v>45381</v>
      </c>
      <c r="H4207" t="s">
        <v>8241</v>
      </c>
      <c r="I4207" t="s">
        <v>172</v>
      </c>
      <c r="J4207" s="1">
        <v>45291</v>
      </c>
      <c r="K4207">
        <v>4261000</v>
      </c>
    </row>
    <row r="4208" spans="5:11" x14ac:dyDescent="0.25">
      <c r="E4208" t="s">
        <v>8242</v>
      </c>
      <c r="F4208">
        <v>1805077</v>
      </c>
      <c r="G4208" s="1">
        <v>45382</v>
      </c>
      <c r="H4208" t="s">
        <v>8243</v>
      </c>
      <c r="I4208" t="s">
        <v>46</v>
      </c>
      <c r="J4208" s="1">
        <v>45292</v>
      </c>
      <c r="K4208">
        <v>-46708000</v>
      </c>
    </row>
    <row r="4209" spans="5:11" x14ac:dyDescent="0.25">
      <c r="E4209" t="s">
        <v>8244</v>
      </c>
      <c r="F4209">
        <v>1805284</v>
      </c>
      <c r="G4209" s="1">
        <v>45382</v>
      </c>
      <c r="H4209" t="s">
        <v>8245</v>
      </c>
      <c r="I4209" t="s">
        <v>329</v>
      </c>
      <c r="J4209" s="1">
        <v>45292</v>
      </c>
      <c r="K4209">
        <v>16215000</v>
      </c>
    </row>
    <row r="4210" spans="5:11" x14ac:dyDescent="0.25">
      <c r="E4210" t="s">
        <v>8246</v>
      </c>
      <c r="F4210">
        <v>1805385</v>
      </c>
      <c r="G4210" s="1">
        <v>45382</v>
      </c>
      <c r="H4210" t="s">
        <v>8247</v>
      </c>
      <c r="I4210" t="s">
        <v>24</v>
      </c>
      <c r="J4210" s="1">
        <v>45292</v>
      </c>
      <c r="K4210">
        <v>-11644000</v>
      </c>
    </row>
    <row r="4211" spans="5:11" x14ac:dyDescent="0.25">
      <c r="E4211" t="s">
        <v>8248</v>
      </c>
      <c r="F4211">
        <v>1805387</v>
      </c>
      <c r="G4211" s="1">
        <v>45382</v>
      </c>
      <c r="H4211" t="s">
        <v>8249</v>
      </c>
      <c r="I4211" t="s">
        <v>24</v>
      </c>
      <c r="J4211" s="1">
        <v>45292</v>
      </c>
      <c r="K4211">
        <v>-131912000</v>
      </c>
    </row>
    <row r="4212" spans="5:11" x14ac:dyDescent="0.25">
      <c r="E4212" t="s">
        <v>8250</v>
      </c>
      <c r="F4212">
        <v>1805521</v>
      </c>
      <c r="G4212" s="1">
        <v>45382</v>
      </c>
      <c r="H4212" t="s">
        <v>8251</v>
      </c>
      <c r="I4212" t="s">
        <v>36</v>
      </c>
      <c r="J4212" s="1">
        <v>45292</v>
      </c>
      <c r="K4212">
        <v>-48217000</v>
      </c>
    </row>
    <row r="4213" spans="5:11" x14ac:dyDescent="0.25">
      <c r="E4213" t="s">
        <v>8252</v>
      </c>
      <c r="F4213">
        <v>1805526</v>
      </c>
      <c r="G4213" s="1">
        <v>45382</v>
      </c>
      <c r="H4213" t="s">
        <v>8253</v>
      </c>
      <c r="I4213" t="s">
        <v>33</v>
      </c>
      <c r="J4213" s="1">
        <v>45292</v>
      </c>
      <c r="K4213">
        <v>-964051</v>
      </c>
    </row>
    <row r="4214" spans="5:11" x14ac:dyDescent="0.25">
      <c r="E4214" t="s">
        <v>8254</v>
      </c>
      <c r="F4214">
        <v>1805651</v>
      </c>
      <c r="G4214" s="1">
        <v>45382</v>
      </c>
      <c r="H4214" t="s">
        <v>8255</v>
      </c>
      <c r="I4214" t="s">
        <v>299</v>
      </c>
      <c r="J4214" s="1">
        <v>45292</v>
      </c>
      <c r="K4214">
        <v>1657000</v>
      </c>
    </row>
    <row r="4215" spans="5:11" x14ac:dyDescent="0.25">
      <c r="E4215" t="s">
        <v>8256</v>
      </c>
      <c r="F4215">
        <v>1805833</v>
      </c>
      <c r="G4215" s="1">
        <v>45382</v>
      </c>
      <c r="H4215" t="s">
        <v>8257</v>
      </c>
      <c r="I4215" t="s">
        <v>36</v>
      </c>
      <c r="J4215" s="1">
        <v>45292</v>
      </c>
      <c r="K4215">
        <v>-10537000</v>
      </c>
    </row>
    <row r="4216" spans="5:11" x14ac:dyDescent="0.25">
      <c r="E4216" t="s">
        <v>8258</v>
      </c>
      <c r="F4216">
        <v>1805890</v>
      </c>
      <c r="G4216" s="1">
        <v>45382</v>
      </c>
      <c r="H4216" t="s">
        <v>8259</v>
      </c>
      <c r="I4216" t="s">
        <v>912</v>
      </c>
      <c r="J4216" s="1">
        <v>45292</v>
      </c>
      <c r="K4216">
        <v>-33670000</v>
      </c>
    </row>
    <row r="4217" spans="5:11" x14ac:dyDescent="0.25">
      <c r="E4217" t="s">
        <v>8260</v>
      </c>
      <c r="F4217">
        <v>1806201</v>
      </c>
      <c r="G4217" s="1">
        <v>45382</v>
      </c>
      <c r="H4217" t="s">
        <v>8261</v>
      </c>
      <c r="I4217" t="s">
        <v>30</v>
      </c>
      <c r="J4217" s="1">
        <v>45292</v>
      </c>
      <c r="K4217">
        <v>5087000</v>
      </c>
    </row>
    <row r="4218" spans="5:11" x14ac:dyDescent="0.25">
      <c r="E4218" t="s">
        <v>8262</v>
      </c>
      <c r="F4218">
        <v>1806310</v>
      </c>
      <c r="G4218" s="1">
        <v>45382</v>
      </c>
      <c r="H4218" t="s">
        <v>8263</v>
      </c>
      <c r="I4218" t="s">
        <v>30</v>
      </c>
      <c r="J4218" s="1">
        <v>45292</v>
      </c>
      <c r="K4218">
        <v>-24061000</v>
      </c>
    </row>
    <row r="4219" spans="5:11" x14ac:dyDescent="0.25">
      <c r="E4219" t="s">
        <v>8264</v>
      </c>
      <c r="F4219">
        <v>1806347</v>
      </c>
      <c r="G4219" s="1">
        <v>45382</v>
      </c>
      <c r="H4219" t="s">
        <v>8265</v>
      </c>
      <c r="I4219" t="s">
        <v>251</v>
      </c>
      <c r="J4219" s="1">
        <v>45292</v>
      </c>
      <c r="K4219">
        <v>-23673000</v>
      </c>
    </row>
    <row r="4220" spans="5:11" x14ac:dyDescent="0.25">
      <c r="E4220" t="s">
        <v>8266</v>
      </c>
      <c r="F4220">
        <v>1806837</v>
      </c>
      <c r="G4220" s="1">
        <v>45382</v>
      </c>
      <c r="H4220" t="s">
        <v>8267</v>
      </c>
      <c r="I4220" t="s">
        <v>39</v>
      </c>
      <c r="J4220" s="1">
        <v>45292</v>
      </c>
      <c r="K4220">
        <v>2684000</v>
      </c>
    </row>
    <row r="4221" spans="5:11" x14ac:dyDescent="0.25">
      <c r="E4221" t="s">
        <v>8268</v>
      </c>
      <c r="F4221">
        <v>1806952</v>
      </c>
      <c r="G4221" s="1">
        <v>45382</v>
      </c>
      <c r="H4221" t="s">
        <v>8269</v>
      </c>
      <c r="I4221" t="s">
        <v>36</v>
      </c>
      <c r="J4221" s="1">
        <v>45292</v>
      </c>
      <c r="K4221">
        <v>-60667000</v>
      </c>
    </row>
    <row r="4222" spans="5:11" x14ac:dyDescent="0.25">
      <c r="E4222" t="s">
        <v>8270</v>
      </c>
      <c r="F4222">
        <v>1807046</v>
      </c>
      <c r="G4222" s="1">
        <v>45382</v>
      </c>
      <c r="H4222" t="s">
        <v>8271</v>
      </c>
      <c r="I4222" t="s">
        <v>27</v>
      </c>
      <c r="J4222" s="1">
        <v>45292</v>
      </c>
      <c r="K4222">
        <v>-3981000</v>
      </c>
    </row>
    <row r="4223" spans="5:11" x14ac:dyDescent="0.25">
      <c r="E4223" t="s">
        <v>8272</v>
      </c>
      <c r="F4223">
        <v>1807120</v>
      </c>
      <c r="G4223" s="1">
        <v>45382</v>
      </c>
      <c r="H4223" t="s">
        <v>8273</v>
      </c>
      <c r="I4223" t="s">
        <v>36</v>
      </c>
      <c r="J4223" s="1">
        <v>45292</v>
      </c>
      <c r="K4223">
        <v>-11105000</v>
      </c>
    </row>
    <row r="4224" spans="5:11" x14ac:dyDescent="0.25">
      <c r="E4224" t="s">
        <v>8274</v>
      </c>
      <c r="F4224">
        <v>1807166</v>
      </c>
      <c r="G4224" s="1">
        <v>45382</v>
      </c>
      <c r="H4224" t="s">
        <v>8275</v>
      </c>
      <c r="I4224" t="s">
        <v>329</v>
      </c>
      <c r="J4224" s="1">
        <v>45292</v>
      </c>
      <c r="K4224">
        <v>-1425912</v>
      </c>
    </row>
    <row r="4225" spans="5:11" x14ac:dyDescent="0.25">
      <c r="E4225" t="s">
        <v>8276</v>
      </c>
      <c r="F4225">
        <v>1807427</v>
      </c>
      <c r="G4225" s="1">
        <v>45382</v>
      </c>
      <c r="H4225" t="s">
        <v>8277</v>
      </c>
      <c r="I4225" t="s">
        <v>57</v>
      </c>
      <c r="J4225" s="1">
        <v>45292</v>
      </c>
      <c r="K4225">
        <v>54061000</v>
      </c>
    </row>
    <row r="4226" spans="5:11" x14ac:dyDescent="0.25">
      <c r="E4226" t="s">
        <v>8278</v>
      </c>
      <c r="F4226">
        <v>1807616</v>
      </c>
      <c r="G4226" s="1">
        <v>45382</v>
      </c>
      <c r="H4226" t="s">
        <v>8279</v>
      </c>
      <c r="I4226" t="s">
        <v>36</v>
      </c>
      <c r="J4226" s="1">
        <v>45292</v>
      </c>
      <c r="K4226">
        <v>-3918</v>
      </c>
    </row>
    <row r="4227" spans="5:11" x14ac:dyDescent="0.25">
      <c r="E4227" t="s">
        <v>8280</v>
      </c>
      <c r="F4227">
        <v>1807765</v>
      </c>
      <c r="G4227" s="1">
        <v>45382</v>
      </c>
      <c r="H4227" t="s">
        <v>8281</v>
      </c>
      <c r="I4227" t="s">
        <v>33</v>
      </c>
      <c r="J4227" s="1">
        <v>45292</v>
      </c>
      <c r="K4227">
        <v>-77383</v>
      </c>
    </row>
    <row r="4228" spans="5:11" x14ac:dyDescent="0.25">
      <c r="E4228" t="s">
        <v>8282</v>
      </c>
      <c r="F4228">
        <v>1807846</v>
      </c>
      <c r="G4228" s="1">
        <v>45382</v>
      </c>
      <c r="H4228" t="s">
        <v>8283</v>
      </c>
      <c r="I4228" t="s">
        <v>57</v>
      </c>
      <c r="J4228" s="1">
        <v>45292</v>
      </c>
      <c r="K4228">
        <v>7075000</v>
      </c>
    </row>
    <row r="4229" spans="5:11" x14ac:dyDescent="0.25">
      <c r="E4229" t="s">
        <v>8284</v>
      </c>
      <c r="F4229">
        <v>1807887</v>
      </c>
      <c r="G4229" s="1">
        <v>45382</v>
      </c>
      <c r="H4229" t="s">
        <v>8285</v>
      </c>
      <c r="I4229" t="s">
        <v>33</v>
      </c>
      <c r="J4229" s="1">
        <v>45292</v>
      </c>
      <c r="K4229">
        <v>-545709</v>
      </c>
    </row>
    <row r="4230" spans="5:11" x14ac:dyDescent="0.25">
      <c r="E4230" t="s">
        <v>8286</v>
      </c>
      <c r="F4230">
        <v>1807893</v>
      </c>
      <c r="G4230" s="1">
        <v>45382</v>
      </c>
      <c r="H4230" t="s">
        <v>8287</v>
      </c>
      <c r="I4230" t="s">
        <v>33</v>
      </c>
      <c r="J4230" s="1">
        <v>45292</v>
      </c>
      <c r="K4230">
        <v>118802</v>
      </c>
    </row>
    <row r="4231" spans="5:11" x14ac:dyDescent="0.25">
      <c r="E4231" t="s">
        <v>8288</v>
      </c>
      <c r="F4231">
        <v>1808158</v>
      </c>
      <c r="G4231" s="1">
        <v>45382</v>
      </c>
      <c r="H4231" t="s">
        <v>8289</v>
      </c>
      <c r="I4231" t="s">
        <v>2052</v>
      </c>
      <c r="J4231" s="1">
        <v>45292</v>
      </c>
      <c r="K4231">
        <v>13162000</v>
      </c>
    </row>
    <row r="4232" spans="5:11" x14ac:dyDescent="0.25">
      <c r="E4232" t="s">
        <v>8290</v>
      </c>
      <c r="F4232">
        <v>1808220</v>
      </c>
      <c r="G4232" s="1">
        <v>45382</v>
      </c>
      <c r="H4232" t="s">
        <v>8291</v>
      </c>
      <c r="I4232" t="s">
        <v>19</v>
      </c>
      <c r="J4232" s="1">
        <v>45292</v>
      </c>
      <c r="K4232">
        <v>-9216000</v>
      </c>
    </row>
    <row r="4233" spans="5:11" x14ac:dyDescent="0.25">
      <c r="E4233" t="s">
        <v>8292</v>
      </c>
      <c r="F4233">
        <v>1808377</v>
      </c>
      <c r="G4233" s="1">
        <v>45382</v>
      </c>
      <c r="H4233" t="s">
        <v>8293</v>
      </c>
      <c r="I4233" t="s">
        <v>33</v>
      </c>
      <c r="J4233" s="1">
        <v>45292</v>
      </c>
      <c r="K4233">
        <v>-1971311</v>
      </c>
    </row>
    <row r="4234" spans="5:11" x14ac:dyDescent="0.25">
      <c r="E4234" t="s">
        <v>8294</v>
      </c>
      <c r="F4234">
        <v>1808665</v>
      </c>
      <c r="G4234" s="1">
        <v>45382</v>
      </c>
      <c r="H4234" t="s">
        <v>8295</v>
      </c>
      <c r="I4234" t="s">
        <v>19</v>
      </c>
      <c r="J4234" s="1">
        <v>45292</v>
      </c>
      <c r="K4234">
        <v>-4510000</v>
      </c>
    </row>
    <row r="4235" spans="5:11" x14ac:dyDescent="0.25">
      <c r="E4235" t="s">
        <v>8296</v>
      </c>
      <c r="F4235">
        <v>1808805</v>
      </c>
      <c r="G4235" s="1">
        <v>45382</v>
      </c>
      <c r="H4235" t="s">
        <v>8297</v>
      </c>
      <c r="I4235" t="s">
        <v>504</v>
      </c>
      <c r="J4235" s="1">
        <v>45292</v>
      </c>
      <c r="K4235">
        <v>-18730000</v>
      </c>
    </row>
    <row r="4236" spans="5:11" x14ac:dyDescent="0.25">
      <c r="E4236" t="s">
        <v>10566</v>
      </c>
      <c r="F4236">
        <v>1808834</v>
      </c>
      <c r="G4236" s="1">
        <v>45382</v>
      </c>
      <c r="H4236" t="s">
        <v>8298</v>
      </c>
      <c r="I4236" t="s">
        <v>406</v>
      </c>
      <c r="J4236" s="1">
        <v>45292</v>
      </c>
      <c r="K4236">
        <v>21966000</v>
      </c>
    </row>
    <row r="4237" spans="5:11" x14ac:dyDescent="0.25">
      <c r="E4237" t="s">
        <v>8299</v>
      </c>
      <c r="F4237">
        <v>1808865</v>
      </c>
      <c r="G4237" s="1">
        <v>45382</v>
      </c>
      <c r="H4237" t="s">
        <v>8300</v>
      </c>
      <c r="I4237" t="s">
        <v>24</v>
      </c>
      <c r="J4237" s="1">
        <v>45292</v>
      </c>
      <c r="K4237">
        <v>-38216000</v>
      </c>
    </row>
    <row r="4238" spans="5:11" x14ac:dyDescent="0.25">
      <c r="E4238" t="s">
        <v>8301</v>
      </c>
      <c r="F4238">
        <v>1808898</v>
      </c>
      <c r="G4238" s="1">
        <v>45382</v>
      </c>
      <c r="H4238" t="s">
        <v>8302</v>
      </c>
      <c r="I4238" t="s">
        <v>36</v>
      </c>
      <c r="J4238" s="1">
        <v>45292</v>
      </c>
      <c r="K4238">
        <v>-4279000</v>
      </c>
    </row>
    <row r="4239" spans="5:11" x14ac:dyDescent="0.25">
      <c r="E4239" t="s">
        <v>8303</v>
      </c>
      <c r="F4239">
        <v>1809104</v>
      </c>
      <c r="G4239" s="1">
        <v>45382</v>
      </c>
      <c r="H4239" t="s">
        <v>8304</v>
      </c>
      <c r="I4239" t="s">
        <v>19</v>
      </c>
      <c r="J4239" s="1">
        <v>45292</v>
      </c>
      <c r="K4239">
        <v>-114000000</v>
      </c>
    </row>
    <row r="4240" spans="5:11" x14ac:dyDescent="0.25">
      <c r="E4240" t="s">
        <v>8305</v>
      </c>
      <c r="F4240">
        <v>1809519</v>
      </c>
      <c r="G4240" s="1">
        <v>45382</v>
      </c>
      <c r="H4240" t="s">
        <v>8306</v>
      </c>
      <c r="I4240" t="s">
        <v>36</v>
      </c>
      <c r="J4240" s="1">
        <v>45292</v>
      </c>
      <c r="K4240">
        <v>-1009000</v>
      </c>
    </row>
    <row r="4241" spans="5:11" x14ac:dyDescent="0.25">
      <c r="E4241" t="s">
        <v>8307</v>
      </c>
      <c r="F4241">
        <v>1809750</v>
      </c>
      <c r="G4241" s="1">
        <v>45382</v>
      </c>
      <c r="H4241" t="s">
        <v>8308</v>
      </c>
      <c r="I4241" t="s">
        <v>46</v>
      </c>
      <c r="J4241" s="1">
        <v>45292</v>
      </c>
      <c r="K4241">
        <v>-3977000</v>
      </c>
    </row>
    <row r="4242" spans="5:11" x14ac:dyDescent="0.25">
      <c r="E4242" t="s">
        <v>8309</v>
      </c>
      <c r="F4242">
        <v>1809987</v>
      </c>
      <c r="G4242" s="1">
        <v>45382</v>
      </c>
      <c r="H4242" t="s">
        <v>8310</v>
      </c>
      <c r="I4242" t="s">
        <v>64</v>
      </c>
      <c r="J4242" s="1">
        <v>45292</v>
      </c>
      <c r="K4242">
        <v>-25800000</v>
      </c>
    </row>
    <row r="4243" spans="5:11" x14ac:dyDescent="0.25">
      <c r="E4243" t="s">
        <v>8311</v>
      </c>
      <c r="F4243">
        <v>1810019</v>
      </c>
      <c r="G4243" s="1">
        <v>45382</v>
      </c>
      <c r="H4243" t="s">
        <v>8312</v>
      </c>
      <c r="I4243" t="s">
        <v>30</v>
      </c>
      <c r="J4243" s="1">
        <v>45292</v>
      </c>
      <c r="K4243">
        <v>-640600000</v>
      </c>
    </row>
    <row r="4244" spans="5:11" x14ac:dyDescent="0.25">
      <c r="E4244" t="s">
        <v>8313</v>
      </c>
      <c r="F4244">
        <v>1810182</v>
      </c>
      <c r="G4244" s="1">
        <v>45382</v>
      </c>
      <c r="H4244" t="s">
        <v>8314</v>
      </c>
      <c r="I4244" t="s">
        <v>36</v>
      </c>
      <c r="J4244" s="1">
        <v>45292</v>
      </c>
      <c r="K4244">
        <v>-35581000</v>
      </c>
    </row>
    <row r="4245" spans="5:11" x14ac:dyDescent="0.25">
      <c r="E4245" t="s">
        <v>8315</v>
      </c>
      <c r="F4245">
        <v>1810546</v>
      </c>
      <c r="G4245" s="1">
        <v>45382</v>
      </c>
      <c r="H4245" t="s">
        <v>8316</v>
      </c>
      <c r="I4245" t="s">
        <v>24</v>
      </c>
      <c r="J4245" s="1">
        <v>45292</v>
      </c>
      <c r="K4245">
        <v>38647000</v>
      </c>
    </row>
    <row r="4246" spans="5:11" x14ac:dyDescent="0.25">
      <c r="E4246" t="s">
        <v>8317</v>
      </c>
      <c r="F4246">
        <v>1810560</v>
      </c>
      <c r="G4246" s="1">
        <v>45382</v>
      </c>
      <c r="H4246" t="s">
        <v>8318</v>
      </c>
      <c r="I4246" t="s">
        <v>36</v>
      </c>
      <c r="J4246" s="1">
        <v>45292</v>
      </c>
      <c r="K4246">
        <v>-2681433</v>
      </c>
    </row>
    <row r="4247" spans="5:11" x14ac:dyDescent="0.25">
      <c r="E4247" t="s">
        <v>8319</v>
      </c>
      <c r="F4247">
        <v>1810806</v>
      </c>
      <c r="G4247" s="1">
        <v>45382</v>
      </c>
      <c r="H4247" t="s">
        <v>8320</v>
      </c>
      <c r="I4247" t="s">
        <v>36</v>
      </c>
      <c r="J4247" s="1">
        <v>45292</v>
      </c>
      <c r="K4247">
        <v>-291074000</v>
      </c>
    </row>
    <row r="4248" spans="5:11" x14ac:dyDescent="0.25">
      <c r="E4248" t="s">
        <v>8321</v>
      </c>
      <c r="F4248">
        <v>1811063</v>
      </c>
      <c r="G4248" s="1">
        <v>45382</v>
      </c>
      <c r="H4248" t="s">
        <v>8322</v>
      </c>
      <c r="I4248" t="s">
        <v>57</v>
      </c>
      <c r="J4248" s="1">
        <v>45292</v>
      </c>
      <c r="K4248">
        <v>-14792000</v>
      </c>
    </row>
    <row r="4249" spans="5:11" x14ac:dyDescent="0.25">
      <c r="E4249" t="s">
        <v>8323</v>
      </c>
      <c r="F4249">
        <v>1811074</v>
      </c>
      <c r="G4249" s="1">
        <v>45382</v>
      </c>
      <c r="H4249" t="s">
        <v>8324</v>
      </c>
      <c r="I4249" t="s">
        <v>30</v>
      </c>
      <c r="J4249" s="1">
        <v>45292</v>
      </c>
      <c r="K4249">
        <v>114417000</v>
      </c>
    </row>
    <row r="4250" spans="5:11" x14ac:dyDescent="0.25">
      <c r="E4250" t="s">
        <v>8325</v>
      </c>
      <c r="F4250">
        <v>1811115</v>
      </c>
      <c r="G4250" s="1">
        <v>45382</v>
      </c>
      <c r="H4250" t="s">
        <v>8326</v>
      </c>
      <c r="I4250" t="s">
        <v>594</v>
      </c>
      <c r="J4250" s="1">
        <v>45292</v>
      </c>
      <c r="K4250">
        <v>-7743000</v>
      </c>
    </row>
    <row r="4251" spans="5:11" x14ac:dyDescent="0.25">
      <c r="E4251" t="s">
        <v>8327</v>
      </c>
      <c r="F4251">
        <v>1811210</v>
      </c>
      <c r="G4251" s="1">
        <v>45382</v>
      </c>
      <c r="H4251" t="s">
        <v>8328</v>
      </c>
      <c r="I4251" t="s">
        <v>36</v>
      </c>
      <c r="J4251" s="1">
        <v>45292</v>
      </c>
      <c r="K4251">
        <v>-680859000</v>
      </c>
    </row>
    <row r="4252" spans="5:11" x14ac:dyDescent="0.25">
      <c r="E4252" t="s">
        <v>8329</v>
      </c>
      <c r="F4252">
        <v>1811414</v>
      </c>
      <c r="G4252" s="1">
        <v>45382</v>
      </c>
      <c r="H4252" t="s">
        <v>8330</v>
      </c>
      <c r="I4252" t="s">
        <v>36</v>
      </c>
      <c r="J4252" s="1">
        <v>45292</v>
      </c>
      <c r="K4252">
        <v>-120648000</v>
      </c>
    </row>
    <row r="4253" spans="5:11" x14ac:dyDescent="0.25">
      <c r="E4253" t="s">
        <v>8331</v>
      </c>
      <c r="F4253">
        <v>1811623</v>
      </c>
      <c r="G4253" s="1">
        <v>45382</v>
      </c>
      <c r="H4253" t="s">
        <v>8332</v>
      </c>
      <c r="I4253" t="s">
        <v>57</v>
      </c>
      <c r="J4253" s="1">
        <v>45292</v>
      </c>
      <c r="K4253">
        <v>-3693185</v>
      </c>
    </row>
    <row r="4254" spans="5:11" x14ac:dyDescent="0.25">
      <c r="E4254" t="s">
        <v>8333</v>
      </c>
      <c r="F4254">
        <v>1811972</v>
      </c>
      <c r="G4254" s="1">
        <v>45382</v>
      </c>
      <c r="H4254" t="s">
        <v>8334</v>
      </c>
      <c r="I4254" t="s">
        <v>172</v>
      </c>
      <c r="J4254" s="1">
        <v>45292</v>
      </c>
      <c r="K4254">
        <v>28039000</v>
      </c>
    </row>
    <row r="4255" spans="5:11" x14ac:dyDescent="0.25">
      <c r="E4255" t="s">
        <v>8335</v>
      </c>
      <c r="F4255">
        <v>1811999</v>
      </c>
      <c r="G4255" s="1">
        <v>45382</v>
      </c>
      <c r="H4255" t="s">
        <v>8336</v>
      </c>
      <c r="I4255" t="s">
        <v>36</v>
      </c>
      <c r="J4255" s="1">
        <v>45292</v>
      </c>
      <c r="K4255">
        <v>-116071</v>
      </c>
    </row>
    <row r="4256" spans="5:11" x14ac:dyDescent="0.25">
      <c r="E4256" t="s">
        <v>8337</v>
      </c>
      <c r="F4256">
        <v>1812173</v>
      </c>
      <c r="G4256" s="1">
        <v>45382</v>
      </c>
      <c r="H4256" t="s">
        <v>8338</v>
      </c>
      <c r="I4256" t="s">
        <v>24</v>
      </c>
      <c r="J4256" s="1">
        <v>45292</v>
      </c>
      <c r="K4256">
        <v>-17001000</v>
      </c>
    </row>
    <row r="4257" spans="5:11" x14ac:dyDescent="0.25">
      <c r="E4257" t="s">
        <v>8339</v>
      </c>
      <c r="F4257">
        <v>1812360</v>
      </c>
      <c r="G4257" s="1">
        <v>45382</v>
      </c>
      <c r="H4257" t="s">
        <v>8340</v>
      </c>
      <c r="I4257" t="s">
        <v>213</v>
      </c>
      <c r="J4257" s="1">
        <v>45292</v>
      </c>
      <c r="K4257">
        <v>-1504000</v>
      </c>
    </row>
    <row r="4258" spans="5:11" x14ac:dyDescent="0.25">
      <c r="E4258" t="s">
        <v>8341</v>
      </c>
      <c r="F4258">
        <v>1812364</v>
      </c>
      <c r="G4258" s="1">
        <v>45382</v>
      </c>
      <c r="H4258" t="s">
        <v>8342</v>
      </c>
      <c r="I4258" t="s">
        <v>24</v>
      </c>
      <c r="J4258" s="1">
        <v>45292</v>
      </c>
      <c r="K4258">
        <v>-81387000</v>
      </c>
    </row>
    <row r="4259" spans="5:11" x14ac:dyDescent="0.25">
      <c r="E4259" t="s">
        <v>8343</v>
      </c>
      <c r="F4259">
        <v>1812554</v>
      </c>
      <c r="G4259" s="1">
        <v>45382</v>
      </c>
      <c r="H4259" t="s">
        <v>8344</v>
      </c>
      <c r="I4259" t="s">
        <v>57</v>
      </c>
      <c r="J4259" s="1">
        <v>45292</v>
      </c>
      <c r="K4259">
        <v>272370000</v>
      </c>
    </row>
    <row r="4260" spans="5:11" x14ac:dyDescent="0.25">
      <c r="E4260" t="s">
        <v>8345</v>
      </c>
      <c r="F4260">
        <v>1812727</v>
      </c>
      <c r="G4260" s="1">
        <v>45382</v>
      </c>
      <c r="H4260" t="s">
        <v>8346</v>
      </c>
      <c r="I4260" t="s">
        <v>46</v>
      </c>
      <c r="J4260" s="1">
        <v>45292</v>
      </c>
      <c r="K4260">
        <v>-5346663</v>
      </c>
    </row>
    <row r="4261" spans="5:11" x14ac:dyDescent="0.25">
      <c r="E4261" t="s">
        <v>8347</v>
      </c>
      <c r="F4261">
        <v>1813452</v>
      </c>
      <c r="G4261" s="1">
        <v>45382</v>
      </c>
      <c r="H4261" t="s">
        <v>8348</v>
      </c>
      <c r="I4261" t="s">
        <v>142</v>
      </c>
      <c r="J4261" s="1">
        <v>45292</v>
      </c>
      <c r="K4261">
        <v>-5873769</v>
      </c>
    </row>
    <row r="4262" spans="5:11" x14ac:dyDescent="0.25">
      <c r="E4262" t="s">
        <v>8349</v>
      </c>
      <c r="F4262">
        <v>1813603</v>
      </c>
      <c r="G4262" s="1">
        <v>45351</v>
      </c>
      <c r="H4262" t="s">
        <v>8350</v>
      </c>
      <c r="I4262" t="s">
        <v>142</v>
      </c>
      <c r="J4262" s="1">
        <v>45261</v>
      </c>
      <c r="K4262">
        <v>-24699</v>
      </c>
    </row>
    <row r="4263" spans="5:11" x14ac:dyDescent="0.25">
      <c r="E4263" t="s">
        <v>8351</v>
      </c>
      <c r="F4263">
        <v>1813814</v>
      </c>
      <c r="G4263" s="1">
        <v>45382</v>
      </c>
      <c r="H4263" t="s">
        <v>8352</v>
      </c>
      <c r="I4263" t="s">
        <v>57</v>
      </c>
      <c r="J4263" s="1">
        <v>45292</v>
      </c>
      <c r="K4263">
        <v>-54400000</v>
      </c>
    </row>
    <row r="4264" spans="5:11" x14ac:dyDescent="0.25">
      <c r="E4264" t="s">
        <v>8353</v>
      </c>
      <c r="F4264">
        <v>1813914</v>
      </c>
      <c r="G4264" s="1">
        <v>45382</v>
      </c>
      <c r="H4264" t="s">
        <v>8354</v>
      </c>
      <c r="I4264" t="s">
        <v>33</v>
      </c>
      <c r="J4264" s="1">
        <v>45292</v>
      </c>
      <c r="K4264">
        <v>-43408000</v>
      </c>
    </row>
    <row r="4265" spans="5:11" x14ac:dyDescent="0.25">
      <c r="E4265" t="s">
        <v>8355</v>
      </c>
      <c r="F4265">
        <v>1814114</v>
      </c>
      <c r="G4265" s="1">
        <v>45382</v>
      </c>
      <c r="H4265" t="s">
        <v>8356</v>
      </c>
      <c r="I4265" t="s">
        <v>39</v>
      </c>
      <c r="J4265" s="1">
        <v>45292</v>
      </c>
      <c r="K4265">
        <v>-13463000</v>
      </c>
    </row>
    <row r="4266" spans="5:11" x14ac:dyDescent="0.25">
      <c r="E4266" t="s">
        <v>8357</v>
      </c>
      <c r="F4266">
        <v>1814215</v>
      </c>
      <c r="G4266" s="1">
        <v>45382</v>
      </c>
      <c r="H4266" t="s">
        <v>8358</v>
      </c>
      <c r="I4266" t="s">
        <v>92</v>
      </c>
      <c r="J4266" s="1">
        <v>45292</v>
      </c>
      <c r="K4266">
        <v>-5700653</v>
      </c>
    </row>
    <row r="4267" spans="5:11" x14ac:dyDescent="0.25">
      <c r="E4267" t="s">
        <v>8359</v>
      </c>
      <c r="F4267">
        <v>1814287</v>
      </c>
      <c r="G4267" s="1">
        <v>45382</v>
      </c>
      <c r="H4267" t="s">
        <v>8360</v>
      </c>
      <c r="I4267" t="s">
        <v>33</v>
      </c>
      <c r="J4267" s="1">
        <v>45292</v>
      </c>
      <c r="K4267">
        <v>-1348745</v>
      </c>
    </row>
    <row r="4268" spans="5:11" x14ac:dyDescent="0.25">
      <c r="E4268" t="s">
        <v>8361</v>
      </c>
      <c r="F4268">
        <v>1814329</v>
      </c>
      <c r="G4268" s="1">
        <v>45382</v>
      </c>
      <c r="H4268" t="s">
        <v>8362</v>
      </c>
      <c r="I4268" t="s">
        <v>36</v>
      </c>
      <c r="J4268" s="1">
        <v>45292</v>
      </c>
      <c r="K4268">
        <v>38129000</v>
      </c>
    </row>
    <row r="4269" spans="5:11" x14ac:dyDescent="0.25">
      <c r="E4269" t="s">
        <v>8363</v>
      </c>
      <c r="F4269">
        <v>1814974</v>
      </c>
      <c r="G4269" s="1">
        <v>45382</v>
      </c>
      <c r="H4269" t="s">
        <v>8364</v>
      </c>
      <c r="I4269" t="s">
        <v>33</v>
      </c>
      <c r="J4269" s="1">
        <v>45292</v>
      </c>
      <c r="K4269">
        <v>-13036000</v>
      </c>
    </row>
    <row r="4270" spans="5:11" x14ac:dyDescent="0.25">
      <c r="E4270" t="s">
        <v>8365</v>
      </c>
      <c r="F4270">
        <v>1815442</v>
      </c>
      <c r="G4270" s="1">
        <v>45382</v>
      </c>
      <c r="H4270" t="s">
        <v>8366</v>
      </c>
      <c r="I4270" t="s">
        <v>24</v>
      </c>
      <c r="J4270" s="1">
        <v>45292</v>
      </c>
      <c r="K4270">
        <v>-48557000</v>
      </c>
    </row>
    <row r="4271" spans="5:11" x14ac:dyDescent="0.25">
      <c r="E4271" t="s">
        <v>8367</v>
      </c>
      <c r="F4271">
        <v>1815632</v>
      </c>
      <c r="G4271" s="1">
        <v>45382</v>
      </c>
      <c r="H4271" t="s">
        <v>8368</v>
      </c>
      <c r="I4271" t="s">
        <v>142</v>
      </c>
      <c r="J4271" s="1">
        <v>45292</v>
      </c>
      <c r="K4271">
        <v>-1062163</v>
      </c>
    </row>
    <row r="4272" spans="5:11" x14ac:dyDescent="0.25">
      <c r="E4272" t="s">
        <v>8369</v>
      </c>
      <c r="F4272">
        <v>1815776</v>
      </c>
      <c r="G4272" s="1">
        <v>45382</v>
      </c>
      <c r="H4272" t="s">
        <v>8370</v>
      </c>
      <c r="I4272" t="s">
        <v>36</v>
      </c>
      <c r="J4272" s="1">
        <v>45292</v>
      </c>
      <c r="K4272">
        <v>-16648000</v>
      </c>
    </row>
    <row r="4273" spans="5:11" x14ac:dyDescent="0.25">
      <c r="E4273" t="s">
        <v>8371</v>
      </c>
      <c r="F4273">
        <v>1815849</v>
      </c>
      <c r="G4273" s="1">
        <v>45382</v>
      </c>
      <c r="H4273" t="s">
        <v>8372</v>
      </c>
      <c r="I4273" t="s">
        <v>19</v>
      </c>
      <c r="J4273" s="1">
        <v>45292</v>
      </c>
      <c r="K4273">
        <v>-14651000</v>
      </c>
    </row>
    <row r="4274" spans="5:11" x14ac:dyDescent="0.25">
      <c r="E4274" t="s">
        <v>8373</v>
      </c>
      <c r="F4274">
        <v>1815903</v>
      </c>
      <c r="G4274" s="1">
        <v>45382</v>
      </c>
      <c r="H4274" t="s">
        <v>8374</v>
      </c>
      <c r="I4274" t="s">
        <v>57</v>
      </c>
      <c r="J4274" s="1">
        <v>45292</v>
      </c>
      <c r="K4274">
        <v>-2162663</v>
      </c>
    </row>
    <row r="4275" spans="5:11" x14ac:dyDescent="0.25">
      <c r="E4275" t="s">
        <v>8375</v>
      </c>
      <c r="F4275">
        <v>1815974</v>
      </c>
      <c r="G4275" s="1">
        <v>45382</v>
      </c>
      <c r="H4275" t="s">
        <v>8376</v>
      </c>
      <c r="I4275" t="s">
        <v>30</v>
      </c>
      <c r="J4275" s="1">
        <v>45292</v>
      </c>
      <c r="K4275">
        <v>-1653542</v>
      </c>
    </row>
    <row r="4276" spans="5:11" x14ac:dyDescent="0.25">
      <c r="E4276" t="s">
        <v>8377</v>
      </c>
      <c r="F4276">
        <v>1816017</v>
      </c>
      <c r="G4276" s="1">
        <v>45382</v>
      </c>
      <c r="H4276" t="s">
        <v>8378</v>
      </c>
      <c r="I4276" t="s">
        <v>123</v>
      </c>
      <c r="J4276" s="1">
        <v>45292</v>
      </c>
      <c r="K4276">
        <v>-25256000</v>
      </c>
    </row>
    <row r="4277" spans="5:11" x14ac:dyDescent="0.25">
      <c r="E4277" t="s">
        <v>8379</v>
      </c>
      <c r="F4277">
        <v>1816233</v>
      </c>
      <c r="G4277" s="1">
        <v>45382</v>
      </c>
      <c r="H4277" t="s">
        <v>8380</v>
      </c>
      <c r="I4277" t="s">
        <v>64</v>
      </c>
      <c r="J4277" s="1">
        <v>45292</v>
      </c>
      <c r="K4277">
        <v>-35087000</v>
      </c>
    </row>
    <row r="4278" spans="5:11" x14ac:dyDescent="0.25">
      <c r="E4278" t="s">
        <v>8381</v>
      </c>
      <c r="F4278">
        <v>1816431</v>
      </c>
      <c r="G4278" s="1">
        <v>45382</v>
      </c>
      <c r="H4278" t="s">
        <v>8382</v>
      </c>
      <c r="I4278" t="s">
        <v>27</v>
      </c>
      <c r="J4278" s="1">
        <v>45292</v>
      </c>
      <c r="K4278">
        <v>-19474000</v>
      </c>
    </row>
    <row r="4279" spans="5:11" x14ac:dyDescent="0.25">
      <c r="E4279" t="s">
        <v>8383</v>
      </c>
      <c r="F4279">
        <v>1816581</v>
      </c>
      <c r="G4279" s="1">
        <v>45382</v>
      </c>
      <c r="H4279" t="s">
        <v>8384</v>
      </c>
      <c r="I4279" t="s">
        <v>36</v>
      </c>
      <c r="J4279" s="1">
        <v>45292</v>
      </c>
      <c r="K4279">
        <v>-23849000</v>
      </c>
    </row>
    <row r="4280" spans="5:11" x14ac:dyDescent="0.25">
      <c r="E4280" t="s">
        <v>10567</v>
      </c>
      <c r="F4280">
        <v>1816590</v>
      </c>
      <c r="G4280" s="1">
        <v>45382</v>
      </c>
      <c r="H4280" t="s">
        <v>8385</v>
      </c>
      <c r="I4280" t="s">
        <v>594</v>
      </c>
      <c r="J4280" s="1">
        <v>45292</v>
      </c>
      <c r="K4280">
        <v>-35187000</v>
      </c>
    </row>
    <row r="4281" spans="5:11" x14ac:dyDescent="0.25">
      <c r="E4281" t="s">
        <v>8386</v>
      </c>
      <c r="F4281">
        <v>1816613</v>
      </c>
      <c r="G4281" s="1">
        <v>45382</v>
      </c>
      <c r="H4281" t="s">
        <v>8387</v>
      </c>
      <c r="I4281" t="s">
        <v>24</v>
      </c>
      <c r="J4281" s="1">
        <v>45292</v>
      </c>
      <c r="K4281">
        <v>-35946000</v>
      </c>
    </row>
    <row r="4282" spans="5:11" x14ac:dyDescent="0.25">
      <c r="E4282" t="s">
        <v>8388</v>
      </c>
      <c r="F4282">
        <v>1816708</v>
      </c>
      <c r="G4282" s="1">
        <v>45382</v>
      </c>
      <c r="H4282" t="s">
        <v>8389</v>
      </c>
      <c r="I4282" t="s">
        <v>406</v>
      </c>
      <c r="J4282" s="1">
        <v>45292</v>
      </c>
      <c r="K4282">
        <v>3274000</v>
      </c>
    </row>
    <row r="4283" spans="5:11" x14ac:dyDescent="0.25">
      <c r="E4283" t="s">
        <v>8390</v>
      </c>
      <c r="F4283">
        <v>1816736</v>
      </c>
      <c r="G4283" s="1">
        <v>45382</v>
      </c>
      <c r="H4283" t="s">
        <v>8391</v>
      </c>
      <c r="I4283" t="s">
        <v>24</v>
      </c>
      <c r="J4283" s="1">
        <v>45292</v>
      </c>
      <c r="K4283">
        <v>-26949000</v>
      </c>
    </row>
    <row r="4284" spans="5:11" x14ac:dyDescent="0.25">
      <c r="E4284" t="s">
        <v>8392</v>
      </c>
      <c r="F4284">
        <v>1816937</v>
      </c>
      <c r="G4284" s="1">
        <v>45382</v>
      </c>
      <c r="H4284" t="s">
        <v>8393</v>
      </c>
      <c r="I4284" t="s">
        <v>142</v>
      </c>
      <c r="J4284" s="1">
        <v>45292</v>
      </c>
      <c r="K4284">
        <v>-12051000</v>
      </c>
    </row>
    <row r="4285" spans="5:11" x14ac:dyDescent="0.25">
      <c r="E4285" t="s">
        <v>8394</v>
      </c>
      <c r="F4285">
        <v>1817004</v>
      </c>
      <c r="G4285" s="1">
        <v>45382</v>
      </c>
      <c r="H4285" t="s">
        <v>8395</v>
      </c>
      <c r="I4285" t="s">
        <v>33</v>
      </c>
      <c r="J4285" s="1">
        <v>45292</v>
      </c>
      <c r="K4285">
        <v>-1899122</v>
      </c>
    </row>
    <row r="4286" spans="5:11" x14ac:dyDescent="0.25">
      <c r="E4286" t="s">
        <v>8396</v>
      </c>
      <c r="F4286">
        <v>1817229</v>
      </c>
      <c r="G4286" s="1">
        <v>45382</v>
      </c>
      <c r="H4286" t="s">
        <v>8397</v>
      </c>
      <c r="I4286" t="s">
        <v>24</v>
      </c>
      <c r="J4286" s="1">
        <v>45292</v>
      </c>
      <c r="K4286">
        <v>-30804000</v>
      </c>
    </row>
    <row r="4287" spans="5:11" x14ac:dyDescent="0.25">
      <c r="E4287" t="s">
        <v>8398</v>
      </c>
      <c r="F4287">
        <v>1817232</v>
      </c>
      <c r="G4287" s="1">
        <v>45382</v>
      </c>
      <c r="H4287" t="s">
        <v>8399</v>
      </c>
      <c r="I4287" t="s">
        <v>57</v>
      </c>
      <c r="J4287" s="1">
        <v>45292</v>
      </c>
      <c r="K4287">
        <v>-178743</v>
      </c>
    </row>
    <row r="4288" spans="5:11" x14ac:dyDescent="0.25">
      <c r="E4288" t="s">
        <v>8400</v>
      </c>
      <c r="F4288">
        <v>1817241</v>
      </c>
      <c r="G4288" s="1">
        <v>45382</v>
      </c>
      <c r="H4288" t="s">
        <v>8401</v>
      </c>
      <c r="I4288" t="s">
        <v>36</v>
      </c>
      <c r="J4288" s="1">
        <v>45292</v>
      </c>
      <c r="K4288">
        <v>-13963000</v>
      </c>
    </row>
    <row r="4289" spans="5:11" x14ac:dyDescent="0.25">
      <c r="E4289" t="s">
        <v>8402</v>
      </c>
      <c r="F4289">
        <v>1817358</v>
      </c>
      <c r="G4289" s="1">
        <v>45416</v>
      </c>
      <c r="H4289" t="s">
        <v>8403</v>
      </c>
      <c r="I4289" t="s">
        <v>30</v>
      </c>
      <c r="J4289" s="1">
        <v>45326</v>
      </c>
      <c r="K4289">
        <v>76465000</v>
      </c>
    </row>
    <row r="4290" spans="5:11" x14ac:dyDescent="0.25">
      <c r="E4290" t="s">
        <v>8404</v>
      </c>
      <c r="F4290">
        <v>1817511</v>
      </c>
      <c r="G4290" s="1">
        <v>45382</v>
      </c>
      <c r="H4290" t="s">
        <v>8405</v>
      </c>
      <c r="I4290" t="s">
        <v>142</v>
      </c>
      <c r="J4290" s="1">
        <v>45292</v>
      </c>
      <c r="K4290">
        <v>-2839925</v>
      </c>
    </row>
    <row r="4291" spans="5:11" x14ac:dyDescent="0.25">
      <c r="E4291" t="s">
        <v>8406</v>
      </c>
      <c r="F4291">
        <v>1817640</v>
      </c>
      <c r="G4291" s="1">
        <v>45382</v>
      </c>
      <c r="H4291" t="s">
        <v>8407</v>
      </c>
      <c r="I4291" t="s">
        <v>30</v>
      </c>
      <c r="J4291" s="1">
        <v>45292</v>
      </c>
      <c r="K4291">
        <v>-22015739</v>
      </c>
    </row>
    <row r="4292" spans="5:11" x14ac:dyDescent="0.25">
      <c r="E4292" t="s">
        <v>8408</v>
      </c>
      <c r="F4292">
        <v>1817713</v>
      </c>
      <c r="G4292" s="1">
        <v>45382</v>
      </c>
      <c r="H4292" t="s">
        <v>8409</v>
      </c>
      <c r="I4292" t="s">
        <v>36</v>
      </c>
      <c r="J4292" s="1">
        <v>45292</v>
      </c>
      <c r="K4292">
        <v>-14760000</v>
      </c>
    </row>
    <row r="4293" spans="5:11" x14ac:dyDescent="0.25">
      <c r="E4293" t="s">
        <v>8410</v>
      </c>
      <c r="F4293">
        <v>1817760</v>
      </c>
      <c r="G4293" s="1">
        <v>45382</v>
      </c>
      <c r="H4293" t="s">
        <v>8411</v>
      </c>
      <c r="I4293" t="s">
        <v>186</v>
      </c>
      <c r="J4293" s="1">
        <v>45292</v>
      </c>
      <c r="K4293">
        <v>-1696000</v>
      </c>
    </row>
    <row r="4294" spans="5:11" x14ac:dyDescent="0.25">
      <c r="E4294" t="s">
        <v>8412</v>
      </c>
      <c r="F4294">
        <v>1818093</v>
      </c>
      <c r="G4294" s="1">
        <v>45382</v>
      </c>
      <c r="H4294" t="s">
        <v>8413</v>
      </c>
      <c r="I4294" t="s">
        <v>36</v>
      </c>
      <c r="J4294" s="1">
        <v>45292</v>
      </c>
      <c r="K4294">
        <v>-679000</v>
      </c>
    </row>
    <row r="4295" spans="5:11" x14ac:dyDescent="0.25">
      <c r="E4295" t="s">
        <v>8414</v>
      </c>
      <c r="F4295">
        <v>1818152</v>
      </c>
      <c r="G4295" s="1">
        <v>45382</v>
      </c>
      <c r="H4295" t="s">
        <v>8415</v>
      </c>
      <c r="I4295" t="s">
        <v>3015</v>
      </c>
      <c r="J4295" s="1">
        <v>45292</v>
      </c>
      <c r="K4295">
        <v>-61090</v>
      </c>
    </row>
    <row r="4296" spans="5:11" x14ac:dyDescent="0.25">
      <c r="E4296" t="s">
        <v>8416</v>
      </c>
      <c r="F4296">
        <v>1818201</v>
      </c>
      <c r="G4296" s="1">
        <v>45382</v>
      </c>
      <c r="H4296" t="s">
        <v>8417</v>
      </c>
      <c r="I4296" t="s">
        <v>19</v>
      </c>
      <c r="J4296" s="1">
        <v>45292</v>
      </c>
      <c r="K4296">
        <v>-597000</v>
      </c>
    </row>
    <row r="4297" spans="5:11" x14ac:dyDescent="0.25">
      <c r="E4297" t="s">
        <v>8418</v>
      </c>
      <c r="F4297">
        <v>1818331</v>
      </c>
      <c r="G4297" s="1">
        <v>45382</v>
      </c>
      <c r="H4297" t="s">
        <v>8419</v>
      </c>
      <c r="I4297" t="s">
        <v>27</v>
      </c>
      <c r="J4297" s="1">
        <v>45292</v>
      </c>
      <c r="K4297">
        <v>-20239000</v>
      </c>
    </row>
    <row r="4298" spans="5:11" x14ac:dyDescent="0.25">
      <c r="E4298" t="s">
        <v>8420</v>
      </c>
      <c r="F4298">
        <v>1818382</v>
      </c>
      <c r="G4298" s="1">
        <v>45382</v>
      </c>
      <c r="H4298" t="s">
        <v>8421</v>
      </c>
      <c r="I4298" t="s">
        <v>172</v>
      </c>
      <c r="J4298" s="1">
        <v>45292</v>
      </c>
      <c r="K4298">
        <v>-31896000</v>
      </c>
    </row>
    <row r="4299" spans="5:11" x14ac:dyDescent="0.25">
      <c r="E4299" t="s">
        <v>8422</v>
      </c>
      <c r="F4299">
        <v>1818383</v>
      </c>
      <c r="G4299" s="1">
        <v>45382</v>
      </c>
      <c r="H4299" t="s">
        <v>8423</v>
      </c>
      <c r="I4299" t="s">
        <v>36</v>
      </c>
      <c r="J4299" s="1">
        <v>45292</v>
      </c>
      <c r="K4299">
        <v>-1113000</v>
      </c>
    </row>
    <row r="4300" spans="5:11" x14ac:dyDescent="0.25">
      <c r="E4300" t="s">
        <v>8424</v>
      </c>
      <c r="F4300">
        <v>1818502</v>
      </c>
      <c r="G4300" s="1">
        <v>45382</v>
      </c>
      <c r="H4300" t="s">
        <v>8425</v>
      </c>
      <c r="I4300" t="s">
        <v>19</v>
      </c>
      <c r="J4300" s="1">
        <v>45292</v>
      </c>
      <c r="K4300">
        <v>5537000</v>
      </c>
    </row>
    <row r="4301" spans="5:11" x14ac:dyDescent="0.25">
      <c r="E4301" t="s">
        <v>8426</v>
      </c>
      <c r="F4301">
        <v>1818550</v>
      </c>
      <c r="G4301" s="1">
        <v>45382</v>
      </c>
      <c r="H4301" t="s">
        <v>8427</v>
      </c>
      <c r="I4301" t="s">
        <v>594</v>
      </c>
      <c r="J4301" s="1">
        <v>45292</v>
      </c>
      <c r="K4301">
        <v>2109</v>
      </c>
    </row>
    <row r="4302" spans="5:11" x14ac:dyDescent="0.25">
      <c r="E4302" t="s">
        <v>8428</v>
      </c>
      <c r="F4302">
        <v>1818605</v>
      </c>
      <c r="G4302" s="1">
        <v>45382</v>
      </c>
      <c r="H4302" t="s">
        <v>8429</v>
      </c>
      <c r="I4302" t="s">
        <v>1164</v>
      </c>
      <c r="J4302" s="1">
        <v>45292</v>
      </c>
      <c r="K4302">
        <v>32539</v>
      </c>
    </row>
    <row r="4303" spans="5:11" x14ac:dyDescent="0.25">
      <c r="E4303" t="s">
        <v>8430</v>
      </c>
      <c r="F4303">
        <v>1818644</v>
      </c>
      <c r="G4303" s="1">
        <v>45382</v>
      </c>
      <c r="H4303" t="s">
        <v>8431</v>
      </c>
      <c r="I4303" t="s">
        <v>36</v>
      </c>
      <c r="J4303" s="1">
        <v>45292</v>
      </c>
      <c r="K4303">
        <v>-10219000</v>
      </c>
    </row>
    <row r="4304" spans="5:11" x14ac:dyDescent="0.25">
      <c r="E4304" t="s">
        <v>8432</v>
      </c>
      <c r="F4304">
        <v>1818794</v>
      </c>
      <c r="G4304" s="1">
        <v>45382</v>
      </c>
      <c r="H4304" t="s">
        <v>8433</v>
      </c>
      <c r="I4304" t="s">
        <v>24</v>
      </c>
      <c r="J4304" s="1">
        <v>45292</v>
      </c>
      <c r="K4304">
        <v>-65649000</v>
      </c>
    </row>
    <row r="4305" spans="5:11" x14ac:dyDescent="0.25">
      <c r="E4305" t="s">
        <v>8434</v>
      </c>
      <c r="F4305">
        <v>1818844</v>
      </c>
      <c r="G4305" s="1">
        <v>45382</v>
      </c>
      <c r="H4305" t="s">
        <v>8435</v>
      </c>
      <c r="I4305" t="s">
        <v>64</v>
      </c>
      <c r="J4305" s="1">
        <v>45292</v>
      </c>
      <c r="K4305">
        <v>-1291335</v>
      </c>
    </row>
    <row r="4306" spans="5:11" x14ac:dyDescent="0.25">
      <c r="E4306" t="s">
        <v>8436</v>
      </c>
      <c r="F4306">
        <v>1818874</v>
      </c>
      <c r="G4306" s="1">
        <v>45382</v>
      </c>
      <c r="H4306" t="s">
        <v>8437</v>
      </c>
      <c r="I4306" t="s">
        <v>36</v>
      </c>
      <c r="J4306" s="1">
        <v>45292</v>
      </c>
      <c r="K4306">
        <v>88043000</v>
      </c>
    </row>
    <row r="4307" spans="5:11" x14ac:dyDescent="0.25">
      <c r="E4307" t="s">
        <v>8438</v>
      </c>
      <c r="F4307">
        <v>1819133</v>
      </c>
      <c r="G4307" s="1">
        <v>45382</v>
      </c>
      <c r="H4307" t="s">
        <v>8439</v>
      </c>
      <c r="I4307" t="s">
        <v>24</v>
      </c>
      <c r="J4307" s="1">
        <v>45292</v>
      </c>
      <c r="K4307">
        <v>-37914000</v>
      </c>
    </row>
    <row r="4308" spans="5:11" x14ac:dyDescent="0.25">
      <c r="E4308" t="s">
        <v>10568</v>
      </c>
      <c r="F4308">
        <v>1819142</v>
      </c>
      <c r="G4308" s="1">
        <v>45382</v>
      </c>
      <c r="H4308" t="s">
        <v>8440</v>
      </c>
      <c r="I4308" t="s">
        <v>24</v>
      </c>
      <c r="J4308" s="1">
        <v>45292</v>
      </c>
      <c r="K4308">
        <v>-15557000</v>
      </c>
    </row>
    <row r="4309" spans="5:11" x14ac:dyDescent="0.25">
      <c r="E4309" t="s">
        <v>8441</v>
      </c>
      <c r="F4309">
        <v>1819253</v>
      </c>
      <c r="G4309" s="1">
        <v>45382</v>
      </c>
      <c r="H4309" t="s">
        <v>8442</v>
      </c>
      <c r="I4309" t="s">
        <v>30</v>
      </c>
      <c r="J4309" s="1">
        <v>45292</v>
      </c>
      <c r="K4309">
        <v>-2070000</v>
      </c>
    </row>
    <row r="4310" spans="5:11" x14ac:dyDescent="0.25">
      <c r="E4310" t="s">
        <v>8443</v>
      </c>
      <c r="F4310">
        <v>1819394</v>
      </c>
      <c r="G4310" s="1">
        <v>45382</v>
      </c>
      <c r="H4310" t="s">
        <v>8444</v>
      </c>
      <c r="I4310" t="s">
        <v>36</v>
      </c>
      <c r="J4310" s="1">
        <v>45292</v>
      </c>
      <c r="K4310">
        <v>-36128000</v>
      </c>
    </row>
    <row r="4311" spans="5:11" x14ac:dyDescent="0.25">
      <c r="E4311" t="s">
        <v>8445</v>
      </c>
      <c r="F4311">
        <v>1819404</v>
      </c>
      <c r="G4311" s="1">
        <v>45382</v>
      </c>
      <c r="H4311" t="s">
        <v>8446</v>
      </c>
      <c r="I4311" t="s">
        <v>137</v>
      </c>
      <c r="J4311" s="1">
        <v>45292</v>
      </c>
      <c r="K4311">
        <v>-7446000</v>
      </c>
    </row>
    <row r="4312" spans="5:11" x14ac:dyDescent="0.25">
      <c r="E4312" t="s">
        <v>8447</v>
      </c>
      <c r="F4312">
        <v>1819411</v>
      </c>
      <c r="G4312" s="1">
        <v>45382</v>
      </c>
      <c r="H4312" t="s">
        <v>8448</v>
      </c>
      <c r="I4312" t="s">
        <v>299</v>
      </c>
      <c r="J4312" s="1">
        <v>45292</v>
      </c>
      <c r="K4312">
        <v>-4014194</v>
      </c>
    </row>
    <row r="4313" spans="5:11" x14ac:dyDescent="0.25">
      <c r="E4313" t="s">
        <v>8449</v>
      </c>
      <c r="F4313">
        <v>1819438</v>
      </c>
      <c r="G4313" s="1">
        <v>45382</v>
      </c>
      <c r="H4313" t="s">
        <v>8450</v>
      </c>
      <c r="I4313" t="s">
        <v>963</v>
      </c>
      <c r="J4313" s="1">
        <v>45292</v>
      </c>
      <c r="K4313">
        <v>-18310000</v>
      </c>
    </row>
    <row r="4314" spans="5:11" x14ac:dyDescent="0.25">
      <c r="E4314" t="s">
        <v>8451</v>
      </c>
      <c r="F4314">
        <v>1819493</v>
      </c>
      <c r="G4314" s="1">
        <v>45382</v>
      </c>
      <c r="H4314" t="s">
        <v>8452</v>
      </c>
      <c r="I4314" t="s">
        <v>36</v>
      </c>
      <c r="J4314" s="1">
        <v>45292</v>
      </c>
      <c r="K4314">
        <v>-11003000</v>
      </c>
    </row>
    <row r="4315" spans="5:11" x14ac:dyDescent="0.25">
      <c r="E4315" t="s">
        <v>8453</v>
      </c>
      <c r="F4315">
        <v>1819516</v>
      </c>
      <c r="G4315" s="1">
        <v>45382</v>
      </c>
      <c r="H4315" t="s">
        <v>8454</v>
      </c>
      <c r="I4315" t="s">
        <v>64</v>
      </c>
      <c r="J4315" s="1">
        <v>45292</v>
      </c>
      <c r="K4315">
        <v>-97393000</v>
      </c>
    </row>
    <row r="4316" spans="5:11" x14ac:dyDescent="0.25">
      <c r="E4316" t="s">
        <v>8455</v>
      </c>
      <c r="F4316">
        <v>1819576</v>
      </c>
      <c r="G4316" s="1">
        <v>45382</v>
      </c>
      <c r="H4316" t="s">
        <v>8456</v>
      </c>
      <c r="I4316" t="s">
        <v>172</v>
      </c>
      <c r="J4316" s="1">
        <v>45292</v>
      </c>
      <c r="K4316">
        <v>-40928000</v>
      </c>
    </row>
    <row r="4317" spans="5:11" x14ac:dyDescent="0.25">
      <c r="E4317" t="s">
        <v>8457</v>
      </c>
      <c r="F4317">
        <v>1819790</v>
      </c>
      <c r="G4317" s="1">
        <v>45382</v>
      </c>
      <c r="H4317" t="s">
        <v>8458</v>
      </c>
      <c r="I4317" t="s">
        <v>36</v>
      </c>
      <c r="J4317" s="1">
        <v>45292</v>
      </c>
      <c r="K4317">
        <v>-35731000</v>
      </c>
    </row>
    <row r="4318" spans="5:11" x14ac:dyDescent="0.25">
      <c r="E4318" t="s">
        <v>8459</v>
      </c>
      <c r="F4318">
        <v>1819796</v>
      </c>
      <c r="G4318" s="1">
        <v>45382</v>
      </c>
      <c r="H4318" t="s">
        <v>8460</v>
      </c>
      <c r="I4318" t="s">
        <v>19</v>
      </c>
      <c r="J4318" s="1">
        <v>45292</v>
      </c>
      <c r="K4318">
        <v>2124000</v>
      </c>
    </row>
    <row r="4319" spans="5:11" x14ac:dyDescent="0.25">
      <c r="E4319" t="s">
        <v>8461</v>
      </c>
      <c r="F4319">
        <v>1819810</v>
      </c>
      <c r="G4319" s="1">
        <v>45382</v>
      </c>
      <c r="H4319" t="s">
        <v>8462</v>
      </c>
      <c r="I4319" t="s">
        <v>33</v>
      </c>
      <c r="J4319" s="1">
        <v>45292</v>
      </c>
      <c r="K4319">
        <v>-8095000</v>
      </c>
    </row>
    <row r="4320" spans="5:11" x14ac:dyDescent="0.25">
      <c r="E4320" t="s">
        <v>8463</v>
      </c>
      <c r="F4320">
        <v>1819848</v>
      </c>
      <c r="G4320" s="1">
        <v>45382</v>
      </c>
      <c r="H4320" t="s">
        <v>8464</v>
      </c>
      <c r="I4320" t="s">
        <v>36</v>
      </c>
      <c r="J4320" s="1">
        <v>45292</v>
      </c>
      <c r="K4320">
        <v>-94587000</v>
      </c>
    </row>
    <row r="4321" spans="5:11" x14ac:dyDescent="0.25">
      <c r="E4321" t="s">
        <v>8465</v>
      </c>
      <c r="F4321">
        <v>1819928</v>
      </c>
      <c r="G4321" s="1">
        <v>45382</v>
      </c>
      <c r="H4321" t="s">
        <v>8466</v>
      </c>
      <c r="I4321" t="s">
        <v>57</v>
      </c>
      <c r="J4321" s="1">
        <v>45292</v>
      </c>
      <c r="K4321">
        <v>7156000</v>
      </c>
    </row>
    <row r="4322" spans="5:11" x14ac:dyDescent="0.25">
      <c r="E4322" t="s">
        <v>8467</v>
      </c>
      <c r="F4322">
        <v>1819974</v>
      </c>
      <c r="G4322" s="1">
        <v>45382</v>
      </c>
      <c r="H4322" t="s">
        <v>8468</v>
      </c>
      <c r="I4322" t="s">
        <v>213</v>
      </c>
      <c r="J4322" s="1">
        <v>45292</v>
      </c>
      <c r="K4322">
        <v>-5729000</v>
      </c>
    </row>
    <row r="4323" spans="5:11" x14ac:dyDescent="0.25">
      <c r="E4323" t="s">
        <v>8469</v>
      </c>
      <c r="F4323">
        <v>1819989</v>
      </c>
      <c r="G4323" s="1">
        <v>45382</v>
      </c>
      <c r="H4323" t="s">
        <v>8470</v>
      </c>
      <c r="I4323" t="s">
        <v>57</v>
      </c>
      <c r="J4323" s="1">
        <v>45292</v>
      </c>
      <c r="K4323">
        <v>39900000</v>
      </c>
    </row>
    <row r="4324" spans="5:11" x14ac:dyDescent="0.25">
      <c r="E4324" t="s">
        <v>8471</v>
      </c>
      <c r="F4324">
        <v>1819994</v>
      </c>
      <c r="G4324" s="1">
        <v>45382</v>
      </c>
      <c r="H4324" t="s">
        <v>8472</v>
      </c>
      <c r="I4324" t="s">
        <v>36</v>
      </c>
      <c r="J4324" s="1">
        <v>45292</v>
      </c>
      <c r="K4324">
        <v>-44260000</v>
      </c>
    </row>
    <row r="4325" spans="5:11" x14ac:dyDescent="0.25">
      <c r="E4325" t="s">
        <v>8473</v>
      </c>
      <c r="F4325">
        <v>1820144</v>
      </c>
      <c r="G4325" s="1">
        <v>45382</v>
      </c>
      <c r="H4325" t="s">
        <v>8474</v>
      </c>
      <c r="I4325" t="s">
        <v>36</v>
      </c>
      <c r="J4325" s="1">
        <v>45292</v>
      </c>
      <c r="K4325">
        <v>-9406000</v>
      </c>
    </row>
    <row r="4326" spans="5:11" x14ac:dyDescent="0.25">
      <c r="E4326" t="s">
        <v>8475</v>
      </c>
      <c r="F4326">
        <v>1820175</v>
      </c>
      <c r="G4326" s="1">
        <v>45382</v>
      </c>
      <c r="H4326" t="s">
        <v>8476</v>
      </c>
      <c r="I4326" t="s">
        <v>57</v>
      </c>
      <c r="J4326" s="1">
        <v>45292</v>
      </c>
      <c r="K4326">
        <v>-510642</v>
      </c>
    </row>
    <row r="4327" spans="5:11" x14ac:dyDescent="0.25">
      <c r="E4327" t="s">
        <v>8477</v>
      </c>
      <c r="F4327">
        <v>1820190</v>
      </c>
      <c r="G4327" s="1">
        <v>45382</v>
      </c>
      <c r="H4327" t="s">
        <v>8478</v>
      </c>
      <c r="I4327" t="s">
        <v>36</v>
      </c>
      <c r="J4327" s="1">
        <v>45292</v>
      </c>
      <c r="K4327">
        <v>-24377000</v>
      </c>
    </row>
    <row r="4328" spans="5:11" x14ac:dyDescent="0.25">
      <c r="E4328" t="s">
        <v>8479</v>
      </c>
      <c r="F4328">
        <v>1820302</v>
      </c>
      <c r="G4328" s="1">
        <v>45382</v>
      </c>
      <c r="H4328" t="s">
        <v>8480</v>
      </c>
      <c r="I4328" t="s">
        <v>64</v>
      </c>
      <c r="J4328" s="1">
        <v>45292</v>
      </c>
      <c r="K4328">
        <v>-8165000</v>
      </c>
    </row>
    <row r="4329" spans="5:11" x14ac:dyDescent="0.25">
      <c r="E4329" t="s">
        <v>8481</v>
      </c>
      <c r="F4329">
        <v>1820566</v>
      </c>
      <c r="G4329" s="1">
        <v>45382</v>
      </c>
      <c r="H4329" t="s">
        <v>8482</v>
      </c>
      <c r="I4329" t="s">
        <v>92</v>
      </c>
      <c r="J4329" s="1">
        <v>45292</v>
      </c>
      <c r="K4329">
        <v>1263000</v>
      </c>
    </row>
    <row r="4330" spans="5:11" x14ac:dyDescent="0.25">
      <c r="E4330" t="s">
        <v>8483</v>
      </c>
      <c r="F4330">
        <v>1820721</v>
      </c>
      <c r="G4330" s="1">
        <v>45382</v>
      </c>
      <c r="H4330" t="s">
        <v>8484</v>
      </c>
      <c r="I4330" t="s">
        <v>8485</v>
      </c>
      <c r="J4330" s="1">
        <v>45292</v>
      </c>
      <c r="K4330">
        <v>2165000</v>
      </c>
    </row>
    <row r="4331" spans="5:11" x14ac:dyDescent="0.25">
      <c r="E4331" t="s">
        <v>8486</v>
      </c>
      <c r="F4331">
        <v>1820877</v>
      </c>
      <c r="G4331" s="1">
        <v>45382</v>
      </c>
      <c r="H4331" t="s">
        <v>8487</v>
      </c>
      <c r="I4331" t="s">
        <v>92</v>
      </c>
      <c r="J4331" s="1">
        <v>45292</v>
      </c>
      <c r="K4331">
        <v>-6592000</v>
      </c>
    </row>
    <row r="4332" spans="5:11" x14ac:dyDescent="0.25">
      <c r="E4332" t="s">
        <v>8488</v>
      </c>
      <c r="F4332">
        <v>1820953</v>
      </c>
      <c r="G4332" s="1">
        <v>45382</v>
      </c>
      <c r="H4332" t="s">
        <v>8489</v>
      </c>
      <c r="I4332" t="s">
        <v>36</v>
      </c>
      <c r="J4332" s="1">
        <v>45292</v>
      </c>
      <c r="K4332">
        <v>-133936000</v>
      </c>
    </row>
    <row r="4333" spans="5:11" x14ac:dyDescent="0.25">
      <c r="E4333" t="s">
        <v>8490</v>
      </c>
      <c r="F4333">
        <v>1821159</v>
      </c>
      <c r="G4333" s="1">
        <v>45382</v>
      </c>
      <c r="H4333" t="s">
        <v>8491</v>
      </c>
      <c r="I4333" t="s">
        <v>36</v>
      </c>
      <c r="J4333" s="1">
        <v>45292</v>
      </c>
      <c r="K4333">
        <v>-9833000</v>
      </c>
    </row>
    <row r="4334" spans="5:11" x14ac:dyDescent="0.25">
      <c r="E4334" t="s">
        <v>8492</v>
      </c>
      <c r="F4334">
        <v>1821160</v>
      </c>
      <c r="G4334" s="1">
        <v>45382</v>
      </c>
      <c r="H4334" t="s">
        <v>8493</v>
      </c>
      <c r="I4334" t="s">
        <v>36</v>
      </c>
      <c r="J4334" s="1">
        <v>45292</v>
      </c>
      <c r="K4334">
        <v>28498000</v>
      </c>
    </row>
    <row r="4335" spans="5:11" x14ac:dyDescent="0.25">
      <c r="E4335" t="s">
        <v>8494</v>
      </c>
      <c r="F4335">
        <v>1821175</v>
      </c>
      <c r="G4335" s="1">
        <v>45382</v>
      </c>
      <c r="H4335" t="s">
        <v>8495</v>
      </c>
      <c r="I4335" t="s">
        <v>33</v>
      </c>
      <c r="J4335" s="1">
        <v>45292</v>
      </c>
      <c r="K4335">
        <v>-1634750</v>
      </c>
    </row>
    <row r="4336" spans="5:11" x14ac:dyDescent="0.25">
      <c r="E4336" t="s">
        <v>8496</v>
      </c>
      <c r="F4336">
        <v>1821393</v>
      </c>
      <c r="G4336" s="1">
        <v>45382</v>
      </c>
      <c r="H4336" t="s">
        <v>8497</v>
      </c>
      <c r="I4336" t="s">
        <v>64</v>
      </c>
      <c r="J4336" s="1">
        <v>45292</v>
      </c>
      <c r="K4336">
        <v>-14181000</v>
      </c>
    </row>
    <row r="4337" spans="5:11" x14ac:dyDescent="0.25">
      <c r="E4337" t="s">
        <v>8498</v>
      </c>
      <c r="F4337">
        <v>1821534</v>
      </c>
      <c r="G4337" s="1">
        <v>45382</v>
      </c>
      <c r="H4337" t="s">
        <v>8499</v>
      </c>
      <c r="I4337" t="s">
        <v>763</v>
      </c>
      <c r="J4337" s="1">
        <v>45292</v>
      </c>
      <c r="K4337">
        <v>54787000</v>
      </c>
    </row>
    <row r="4338" spans="5:11" x14ac:dyDescent="0.25">
      <c r="E4338" t="s">
        <v>8500</v>
      </c>
      <c r="F4338">
        <v>1821586</v>
      </c>
      <c r="G4338" s="1">
        <v>45382</v>
      </c>
      <c r="H4338" t="s">
        <v>8501</v>
      </c>
      <c r="I4338" t="s">
        <v>2162</v>
      </c>
      <c r="J4338" s="1">
        <v>45292</v>
      </c>
      <c r="K4338">
        <v>-13673656</v>
      </c>
    </row>
    <row r="4339" spans="5:11" x14ac:dyDescent="0.25">
      <c r="E4339" t="s">
        <v>8502</v>
      </c>
      <c r="F4339">
        <v>1821769</v>
      </c>
      <c r="G4339" s="1">
        <v>45382</v>
      </c>
      <c r="H4339" t="s">
        <v>8503</v>
      </c>
      <c r="I4339" t="s">
        <v>36</v>
      </c>
      <c r="J4339" s="1">
        <v>45292</v>
      </c>
      <c r="K4339">
        <v>-3681000</v>
      </c>
    </row>
    <row r="4340" spans="5:11" x14ac:dyDescent="0.25">
      <c r="E4340" t="s">
        <v>8504</v>
      </c>
      <c r="F4340">
        <v>1821806</v>
      </c>
      <c r="G4340" s="1">
        <v>45381</v>
      </c>
      <c r="H4340" t="s">
        <v>8505</v>
      </c>
      <c r="I4340" t="s">
        <v>113</v>
      </c>
      <c r="J4340" s="1">
        <v>45291</v>
      </c>
      <c r="K4340">
        <v>-34553000</v>
      </c>
    </row>
    <row r="4341" spans="5:11" x14ac:dyDescent="0.25">
      <c r="E4341" t="s">
        <v>8506</v>
      </c>
      <c r="F4341">
        <v>1821825</v>
      </c>
      <c r="G4341" s="1">
        <v>45382</v>
      </c>
      <c r="H4341" t="s">
        <v>8507</v>
      </c>
      <c r="I4341" t="s">
        <v>46</v>
      </c>
      <c r="J4341" s="1">
        <v>45292</v>
      </c>
      <c r="K4341">
        <v>201000000</v>
      </c>
    </row>
    <row r="4342" spans="5:11" x14ac:dyDescent="0.25">
      <c r="E4342" t="s">
        <v>8508</v>
      </c>
      <c r="F4342">
        <v>1822145</v>
      </c>
      <c r="G4342" s="1">
        <v>45382</v>
      </c>
      <c r="H4342" t="s">
        <v>8509</v>
      </c>
      <c r="I4342" t="s">
        <v>36</v>
      </c>
      <c r="J4342" s="1">
        <v>45292</v>
      </c>
      <c r="K4342">
        <v>-18095000</v>
      </c>
    </row>
    <row r="4343" spans="5:11" x14ac:dyDescent="0.25">
      <c r="E4343" t="s">
        <v>8510</v>
      </c>
      <c r="F4343">
        <v>1822250</v>
      </c>
      <c r="G4343" s="1">
        <v>45382</v>
      </c>
      <c r="H4343" t="s">
        <v>8511</v>
      </c>
      <c r="I4343" t="s">
        <v>36</v>
      </c>
      <c r="J4343" s="1">
        <v>45292</v>
      </c>
      <c r="K4343">
        <v>-59000000</v>
      </c>
    </row>
    <row r="4344" spans="5:11" x14ac:dyDescent="0.25">
      <c r="E4344" t="s">
        <v>8512</v>
      </c>
      <c r="F4344">
        <v>1822372</v>
      </c>
      <c r="G4344" s="1">
        <v>45382</v>
      </c>
      <c r="H4344" t="s">
        <v>8513</v>
      </c>
      <c r="I4344" t="s">
        <v>8514</v>
      </c>
      <c r="J4344" s="1">
        <v>45292</v>
      </c>
      <c r="K4344">
        <v>3688</v>
      </c>
    </row>
    <row r="4345" spans="5:11" x14ac:dyDescent="0.25">
      <c r="E4345" t="s">
        <v>8515</v>
      </c>
      <c r="F4345">
        <v>1822462</v>
      </c>
      <c r="G4345" s="1">
        <v>45382</v>
      </c>
      <c r="H4345" t="s">
        <v>8516</v>
      </c>
      <c r="I4345" t="s">
        <v>24</v>
      </c>
      <c r="J4345" s="1">
        <v>45292</v>
      </c>
      <c r="K4345">
        <v>-25016000</v>
      </c>
    </row>
    <row r="4346" spans="5:11" x14ac:dyDescent="0.25">
      <c r="E4346" t="s">
        <v>8517</v>
      </c>
      <c r="F4346">
        <v>1822492</v>
      </c>
      <c r="G4346" s="1">
        <v>45381</v>
      </c>
      <c r="H4346" t="s">
        <v>8518</v>
      </c>
      <c r="I4346" t="s">
        <v>60</v>
      </c>
      <c r="J4346" s="1">
        <v>45291</v>
      </c>
      <c r="K4346">
        <v>-1492000</v>
      </c>
    </row>
    <row r="4347" spans="5:11" x14ac:dyDescent="0.25">
      <c r="E4347" t="s">
        <v>8519</v>
      </c>
      <c r="F4347">
        <v>1822523</v>
      </c>
      <c r="G4347" s="1">
        <v>45382</v>
      </c>
      <c r="H4347" t="s">
        <v>8520</v>
      </c>
      <c r="I4347" t="s">
        <v>33</v>
      </c>
      <c r="J4347" s="1">
        <v>45292</v>
      </c>
      <c r="K4347">
        <v>-54116</v>
      </c>
    </row>
    <row r="4348" spans="5:11" x14ac:dyDescent="0.25">
      <c r="E4348" t="s">
        <v>8521</v>
      </c>
      <c r="F4348">
        <v>1822791</v>
      </c>
      <c r="G4348" s="1">
        <v>45382</v>
      </c>
      <c r="H4348" t="s">
        <v>8522</v>
      </c>
      <c r="I4348" t="s">
        <v>406</v>
      </c>
      <c r="J4348" s="1">
        <v>45292</v>
      </c>
      <c r="K4348">
        <v>-11080000</v>
      </c>
    </row>
    <row r="4349" spans="5:11" x14ac:dyDescent="0.25">
      <c r="E4349" t="s">
        <v>8523</v>
      </c>
      <c r="F4349">
        <v>1822886</v>
      </c>
      <c r="G4349" s="1">
        <v>45382</v>
      </c>
      <c r="H4349" t="s">
        <v>8524</v>
      </c>
      <c r="I4349" t="s">
        <v>1245</v>
      </c>
      <c r="J4349" s="1">
        <v>45292</v>
      </c>
      <c r="K4349">
        <v>358034</v>
      </c>
    </row>
    <row r="4350" spans="5:11" x14ac:dyDescent="0.25">
      <c r="E4350" t="s">
        <v>8525</v>
      </c>
      <c r="F4350">
        <v>1822928</v>
      </c>
      <c r="G4350" s="1">
        <v>45382</v>
      </c>
      <c r="H4350" t="s">
        <v>8526</v>
      </c>
      <c r="I4350" t="s">
        <v>190</v>
      </c>
      <c r="J4350" s="1">
        <v>45292</v>
      </c>
      <c r="K4350">
        <v>3730000</v>
      </c>
    </row>
    <row r="4351" spans="5:11" x14ac:dyDescent="0.25">
      <c r="E4351" t="s">
        <v>8527</v>
      </c>
      <c r="F4351">
        <v>1822966</v>
      </c>
      <c r="G4351" s="1">
        <v>45382</v>
      </c>
      <c r="H4351" t="s">
        <v>8528</v>
      </c>
      <c r="I4351" t="s">
        <v>963</v>
      </c>
      <c r="J4351" s="1">
        <v>45292</v>
      </c>
      <c r="K4351">
        <v>-16572000</v>
      </c>
    </row>
    <row r="4352" spans="5:11" x14ac:dyDescent="0.25">
      <c r="E4352" t="s">
        <v>8529</v>
      </c>
      <c r="F4352">
        <v>1822993</v>
      </c>
      <c r="G4352" s="1">
        <v>45382</v>
      </c>
      <c r="H4352" t="s">
        <v>8530</v>
      </c>
      <c r="I4352" t="s">
        <v>329</v>
      </c>
      <c r="J4352" s="1">
        <v>45292</v>
      </c>
      <c r="K4352">
        <v>795000000</v>
      </c>
    </row>
    <row r="4353" spans="5:11" x14ac:dyDescent="0.25">
      <c r="E4353" t="s">
        <v>8531</v>
      </c>
      <c r="F4353">
        <v>1823000</v>
      </c>
      <c r="G4353" s="1">
        <v>45382</v>
      </c>
      <c r="H4353" t="s">
        <v>8532</v>
      </c>
      <c r="I4353" t="s">
        <v>92</v>
      </c>
      <c r="J4353" s="1">
        <v>45292</v>
      </c>
      <c r="K4353">
        <v>2373957</v>
      </c>
    </row>
    <row r="4354" spans="5:11" x14ac:dyDescent="0.25">
      <c r="E4354" t="s">
        <v>8533</v>
      </c>
      <c r="F4354">
        <v>1823144</v>
      </c>
      <c r="G4354" s="1">
        <v>45382</v>
      </c>
      <c r="H4354" t="s">
        <v>8534</v>
      </c>
      <c r="I4354" t="s">
        <v>46</v>
      </c>
      <c r="J4354" s="1">
        <v>45292</v>
      </c>
      <c r="K4354">
        <v>4025000</v>
      </c>
    </row>
    <row r="4355" spans="5:11" x14ac:dyDescent="0.25">
      <c r="E4355" t="s">
        <v>8535</v>
      </c>
      <c r="F4355">
        <v>1823239</v>
      </c>
      <c r="G4355" s="1">
        <v>45382</v>
      </c>
      <c r="H4355" t="s">
        <v>8536</v>
      </c>
      <c r="I4355" t="s">
        <v>36</v>
      </c>
      <c r="J4355" s="1">
        <v>45292</v>
      </c>
      <c r="K4355">
        <v>-12078000</v>
      </c>
    </row>
    <row r="4356" spans="5:11" x14ac:dyDescent="0.25">
      <c r="E4356" t="s">
        <v>8537</v>
      </c>
      <c r="F4356">
        <v>1823365</v>
      </c>
      <c r="G4356" s="1">
        <v>45382</v>
      </c>
      <c r="H4356" t="s">
        <v>8538</v>
      </c>
      <c r="I4356" t="s">
        <v>299</v>
      </c>
      <c r="J4356" s="1">
        <v>45292</v>
      </c>
      <c r="K4356">
        <v>-545000</v>
      </c>
    </row>
    <row r="4357" spans="5:11" x14ac:dyDescent="0.25">
      <c r="E4357" t="s">
        <v>8539</v>
      </c>
      <c r="F4357">
        <v>1823406</v>
      </c>
      <c r="G4357" s="1">
        <v>45382</v>
      </c>
      <c r="H4357" t="s">
        <v>8540</v>
      </c>
      <c r="I4357" t="s">
        <v>64</v>
      </c>
      <c r="J4357" s="1">
        <v>45292</v>
      </c>
      <c r="K4357">
        <v>1335000</v>
      </c>
    </row>
    <row r="4358" spans="5:11" x14ac:dyDescent="0.25">
      <c r="E4358" t="s">
        <v>8541</v>
      </c>
      <c r="F4358">
        <v>1823466</v>
      </c>
      <c r="G4358" s="1">
        <v>45382</v>
      </c>
      <c r="H4358" t="s">
        <v>8542</v>
      </c>
      <c r="I4358" t="s">
        <v>504</v>
      </c>
      <c r="J4358" s="1">
        <v>45292</v>
      </c>
      <c r="K4358">
        <v>50599000</v>
      </c>
    </row>
    <row r="4359" spans="5:11" x14ac:dyDescent="0.25">
      <c r="E4359" t="s">
        <v>8543</v>
      </c>
      <c r="F4359">
        <v>1823584</v>
      </c>
      <c r="G4359" s="1">
        <v>45382</v>
      </c>
      <c r="H4359" t="s">
        <v>8544</v>
      </c>
      <c r="I4359" t="s">
        <v>33</v>
      </c>
      <c r="J4359" s="1">
        <v>45292</v>
      </c>
      <c r="K4359">
        <v>-3377000</v>
      </c>
    </row>
    <row r="4360" spans="5:11" x14ac:dyDescent="0.25">
      <c r="E4360" t="s">
        <v>8545</v>
      </c>
      <c r="F4360">
        <v>1823587</v>
      </c>
      <c r="G4360" s="1">
        <v>45382</v>
      </c>
      <c r="H4360" t="s">
        <v>8546</v>
      </c>
      <c r="I4360" t="s">
        <v>57</v>
      </c>
      <c r="J4360" s="1">
        <v>45292</v>
      </c>
      <c r="K4360">
        <v>-18940000</v>
      </c>
    </row>
    <row r="4361" spans="5:11" x14ac:dyDescent="0.25">
      <c r="E4361" t="s">
        <v>8547</v>
      </c>
      <c r="F4361">
        <v>1823608</v>
      </c>
      <c r="G4361" s="1">
        <v>45382</v>
      </c>
      <c r="H4361" t="s">
        <v>8548</v>
      </c>
      <c r="I4361" t="s">
        <v>57</v>
      </c>
      <c r="J4361" s="1">
        <v>45292</v>
      </c>
      <c r="K4361">
        <v>27249000</v>
      </c>
    </row>
    <row r="4362" spans="5:11" x14ac:dyDescent="0.25">
      <c r="E4362" t="s">
        <v>8549</v>
      </c>
      <c r="F4362">
        <v>1823635</v>
      </c>
      <c r="G4362" s="1">
        <v>45351</v>
      </c>
      <c r="H4362" t="s">
        <v>8550</v>
      </c>
      <c r="I4362" t="s">
        <v>1164</v>
      </c>
      <c r="J4362" s="1">
        <v>45261</v>
      </c>
      <c r="K4362">
        <v>108741</v>
      </c>
    </row>
    <row r="4363" spans="5:11" x14ac:dyDescent="0.25">
      <c r="E4363" t="s">
        <v>8551</v>
      </c>
      <c r="F4363">
        <v>1823652</v>
      </c>
      <c r="G4363" s="1">
        <v>45382</v>
      </c>
      <c r="H4363" t="s">
        <v>8552</v>
      </c>
      <c r="I4363" t="s">
        <v>33</v>
      </c>
      <c r="J4363" s="1">
        <v>45292</v>
      </c>
      <c r="K4363">
        <v>-25296000</v>
      </c>
    </row>
    <row r="4364" spans="5:11" x14ac:dyDescent="0.25">
      <c r="E4364" t="s">
        <v>8553</v>
      </c>
      <c r="F4364">
        <v>1823794</v>
      </c>
      <c r="G4364" s="1">
        <v>45382</v>
      </c>
      <c r="H4364" t="s">
        <v>8554</v>
      </c>
      <c r="I4364" t="s">
        <v>123</v>
      </c>
      <c r="J4364" s="1">
        <v>45292</v>
      </c>
      <c r="K4364">
        <v>-594000</v>
      </c>
    </row>
    <row r="4365" spans="5:11" x14ac:dyDescent="0.25">
      <c r="E4365" t="s">
        <v>8555</v>
      </c>
      <c r="F4365">
        <v>1823878</v>
      </c>
      <c r="G4365" s="1">
        <v>45382</v>
      </c>
      <c r="H4365" t="s">
        <v>8556</v>
      </c>
      <c r="I4365" t="s">
        <v>142</v>
      </c>
      <c r="J4365" s="1">
        <v>45292</v>
      </c>
      <c r="K4365">
        <v>-567000</v>
      </c>
    </row>
    <row r="4366" spans="5:11" x14ac:dyDescent="0.25">
      <c r="E4366" t="s">
        <v>8557</v>
      </c>
      <c r="F4366">
        <v>1823945</v>
      </c>
      <c r="G4366" s="1">
        <v>45382</v>
      </c>
      <c r="H4366" t="s">
        <v>8558</v>
      </c>
      <c r="I4366" t="s">
        <v>57</v>
      </c>
      <c r="J4366" s="1">
        <v>45292</v>
      </c>
      <c r="K4366">
        <v>25091000</v>
      </c>
    </row>
    <row r="4367" spans="5:11" x14ac:dyDescent="0.25">
      <c r="E4367" t="s">
        <v>8559</v>
      </c>
      <c r="F4367">
        <v>1824293</v>
      </c>
      <c r="G4367" s="1">
        <v>45382</v>
      </c>
      <c r="H4367" t="s">
        <v>8560</v>
      </c>
      <c r="I4367" t="s">
        <v>36</v>
      </c>
      <c r="J4367" s="1">
        <v>45292</v>
      </c>
      <c r="K4367">
        <v>-1887000</v>
      </c>
    </row>
    <row r="4368" spans="5:11" x14ac:dyDescent="0.25">
      <c r="E4368" t="s">
        <v>8561</v>
      </c>
      <c r="F4368">
        <v>1824502</v>
      </c>
      <c r="G4368" s="1">
        <v>45382</v>
      </c>
      <c r="H4368" t="s">
        <v>8562</v>
      </c>
      <c r="I4368" t="s">
        <v>36</v>
      </c>
      <c r="J4368" s="1">
        <v>45292</v>
      </c>
      <c r="K4368">
        <v>-116500000</v>
      </c>
    </row>
    <row r="4369" spans="5:11" x14ac:dyDescent="0.25">
      <c r="E4369" t="s">
        <v>8563</v>
      </c>
      <c r="F4369">
        <v>1824893</v>
      </c>
      <c r="G4369" s="1">
        <v>45382</v>
      </c>
      <c r="H4369" t="s">
        <v>8564</v>
      </c>
      <c r="I4369" t="s">
        <v>36</v>
      </c>
      <c r="J4369" s="1">
        <v>45292</v>
      </c>
      <c r="K4369">
        <v>-8830000</v>
      </c>
    </row>
    <row r="4370" spans="5:11" x14ac:dyDescent="0.25">
      <c r="E4370" t="s">
        <v>8565</v>
      </c>
      <c r="F4370">
        <v>1824920</v>
      </c>
      <c r="G4370" s="1">
        <v>45382</v>
      </c>
      <c r="H4370" t="s">
        <v>8566</v>
      </c>
      <c r="I4370" t="s">
        <v>299</v>
      </c>
      <c r="J4370" s="1">
        <v>45292</v>
      </c>
      <c r="K4370">
        <v>-39592000</v>
      </c>
    </row>
    <row r="4371" spans="5:11" x14ac:dyDescent="0.25">
      <c r="E4371" t="s">
        <v>8567</v>
      </c>
      <c r="F4371">
        <v>1825024</v>
      </c>
      <c r="G4371" s="1">
        <v>45382</v>
      </c>
      <c r="H4371" t="s">
        <v>8568</v>
      </c>
      <c r="I4371" t="s">
        <v>113</v>
      </c>
      <c r="J4371" s="1">
        <v>45292</v>
      </c>
      <c r="K4371">
        <v>-17515000</v>
      </c>
    </row>
    <row r="4372" spans="5:11" x14ac:dyDescent="0.25">
      <c r="E4372" t="s">
        <v>8569</v>
      </c>
      <c r="F4372">
        <v>1825079</v>
      </c>
      <c r="G4372" s="1">
        <v>45382</v>
      </c>
      <c r="H4372" t="s">
        <v>8570</v>
      </c>
      <c r="I4372" t="s">
        <v>36</v>
      </c>
      <c r="J4372" s="1">
        <v>45292</v>
      </c>
      <c r="K4372">
        <v>-28314000</v>
      </c>
    </row>
    <row r="4373" spans="5:11" x14ac:dyDescent="0.25">
      <c r="E4373" t="s">
        <v>8571</v>
      </c>
      <c r="F4373">
        <v>1825088</v>
      </c>
      <c r="G4373" s="1">
        <v>45382</v>
      </c>
      <c r="H4373" t="s">
        <v>8572</v>
      </c>
      <c r="I4373" t="s">
        <v>33</v>
      </c>
      <c r="J4373" s="1">
        <v>45292</v>
      </c>
      <c r="K4373">
        <v>54494000</v>
      </c>
    </row>
    <row r="4374" spans="5:11" x14ac:dyDescent="0.25">
      <c r="E4374" t="s">
        <v>8573</v>
      </c>
      <c r="F4374">
        <v>1825248</v>
      </c>
      <c r="G4374" s="1">
        <v>45382</v>
      </c>
      <c r="H4374" t="s">
        <v>8574</v>
      </c>
      <c r="I4374" t="s">
        <v>57</v>
      </c>
      <c r="J4374" s="1">
        <v>45292</v>
      </c>
      <c r="K4374">
        <v>26220000</v>
      </c>
    </row>
    <row r="4375" spans="5:11" x14ac:dyDescent="0.25">
      <c r="E4375" t="s">
        <v>8575</v>
      </c>
      <c r="F4375">
        <v>1825384</v>
      </c>
      <c r="G4375" s="1">
        <v>45382</v>
      </c>
      <c r="H4375" t="s">
        <v>8576</v>
      </c>
      <c r="I4375" t="s">
        <v>27</v>
      </c>
      <c r="J4375" s="1">
        <v>45292</v>
      </c>
      <c r="K4375">
        <v>41253310</v>
      </c>
    </row>
    <row r="4376" spans="5:11" x14ac:dyDescent="0.25">
      <c r="E4376" t="s">
        <v>8577</v>
      </c>
      <c r="F4376">
        <v>1825452</v>
      </c>
      <c r="G4376" s="1">
        <v>45382</v>
      </c>
      <c r="H4376" t="s">
        <v>8578</v>
      </c>
      <c r="I4376" t="s">
        <v>186</v>
      </c>
      <c r="J4376" s="1">
        <v>45292</v>
      </c>
      <c r="K4376">
        <v>-630497</v>
      </c>
    </row>
    <row r="4377" spans="5:11" x14ac:dyDescent="0.25">
      <c r="E4377" t="s">
        <v>8579</v>
      </c>
      <c r="F4377">
        <v>1825590</v>
      </c>
      <c r="G4377" s="1">
        <v>45382</v>
      </c>
      <c r="H4377" t="s">
        <v>8580</v>
      </c>
      <c r="I4377" t="s">
        <v>57</v>
      </c>
      <c r="J4377" s="1">
        <v>45292</v>
      </c>
      <c r="K4377">
        <v>21095000</v>
      </c>
    </row>
    <row r="4378" spans="5:11" x14ac:dyDescent="0.25">
      <c r="E4378" t="s">
        <v>8581</v>
      </c>
      <c r="F4378">
        <v>1826011</v>
      </c>
      <c r="G4378" s="1">
        <v>45382</v>
      </c>
      <c r="H4378" t="s">
        <v>8582</v>
      </c>
      <c r="I4378" t="s">
        <v>504</v>
      </c>
      <c r="J4378" s="1">
        <v>45292</v>
      </c>
      <c r="K4378">
        <v>-4500272</v>
      </c>
    </row>
    <row r="4379" spans="5:11" x14ac:dyDescent="0.25">
      <c r="E4379" t="s">
        <v>8583</v>
      </c>
      <c r="F4379">
        <v>1826397</v>
      </c>
      <c r="G4379" s="1">
        <v>45382</v>
      </c>
      <c r="H4379" t="s">
        <v>8584</v>
      </c>
      <c r="I4379" t="s">
        <v>2552</v>
      </c>
      <c r="J4379" s="1">
        <v>45292</v>
      </c>
      <c r="K4379">
        <v>-3327700</v>
      </c>
    </row>
    <row r="4380" spans="5:11" x14ac:dyDescent="0.25">
      <c r="E4380" t="s">
        <v>8585</v>
      </c>
      <c r="F4380">
        <v>1826457</v>
      </c>
      <c r="G4380" s="1">
        <v>45382</v>
      </c>
      <c r="H4380" t="s">
        <v>8586</v>
      </c>
      <c r="I4380" t="s">
        <v>24</v>
      </c>
      <c r="J4380" s="1">
        <v>45292</v>
      </c>
      <c r="K4380">
        <v>-31968000</v>
      </c>
    </row>
    <row r="4381" spans="5:11" x14ac:dyDescent="0.25">
      <c r="E4381" t="s">
        <v>8587</v>
      </c>
      <c r="F4381">
        <v>1826470</v>
      </c>
      <c r="G4381" s="1">
        <v>45416</v>
      </c>
      <c r="H4381" t="s">
        <v>8588</v>
      </c>
      <c r="I4381" t="s">
        <v>36</v>
      </c>
      <c r="J4381" s="1">
        <v>45326</v>
      </c>
      <c r="K4381">
        <v>-46483000</v>
      </c>
    </row>
    <row r="4382" spans="5:11" x14ac:dyDescent="0.25">
      <c r="E4382" t="s">
        <v>8589</v>
      </c>
      <c r="F4382">
        <v>1826600</v>
      </c>
      <c r="G4382" s="1">
        <v>45382</v>
      </c>
      <c r="H4382" t="s">
        <v>8590</v>
      </c>
      <c r="I4382" t="s">
        <v>39</v>
      </c>
      <c r="J4382" s="1">
        <v>45292</v>
      </c>
      <c r="K4382">
        <v>1850000</v>
      </c>
    </row>
    <row r="4383" spans="5:11" x14ac:dyDescent="0.25">
      <c r="E4383" t="s">
        <v>8591</v>
      </c>
      <c r="F4383">
        <v>1826660</v>
      </c>
      <c r="G4383" s="1">
        <v>45382</v>
      </c>
      <c r="H4383" t="s">
        <v>8592</v>
      </c>
      <c r="I4383" t="s">
        <v>1164</v>
      </c>
      <c r="J4383" s="1">
        <v>45292</v>
      </c>
      <c r="K4383">
        <v>558870</v>
      </c>
    </row>
    <row r="4384" spans="5:11" x14ac:dyDescent="0.25">
      <c r="E4384" t="s">
        <v>8593</v>
      </c>
      <c r="F4384">
        <v>1826667</v>
      </c>
      <c r="G4384" s="1">
        <v>45382</v>
      </c>
      <c r="H4384" t="s">
        <v>8594</v>
      </c>
      <c r="I4384" t="s">
        <v>92</v>
      </c>
      <c r="J4384" s="1">
        <v>45292</v>
      </c>
      <c r="K4384">
        <v>-13219000</v>
      </c>
    </row>
    <row r="4385" spans="5:11" x14ac:dyDescent="0.25">
      <c r="E4385" t="s">
        <v>8595</v>
      </c>
      <c r="F4385">
        <v>1826681</v>
      </c>
      <c r="G4385" s="1">
        <v>45382</v>
      </c>
      <c r="H4385" t="s">
        <v>8596</v>
      </c>
      <c r="I4385" t="s">
        <v>406</v>
      </c>
      <c r="J4385" s="1">
        <v>45292</v>
      </c>
      <c r="K4385">
        <v>-7229000</v>
      </c>
    </row>
    <row r="4386" spans="5:11" x14ac:dyDescent="0.25">
      <c r="E4386" t="s">
        <v>8597</v>
      </c>
      <c r="F4386">
        <v>1826889</v>
      </c>
      <c r="G4386" s="1">
        <v>45382</v>
      </c>
      <c r="H4386" t="s">
        <v>8598</v>
      </c>
      <c r="I4386" t="s">
        <v>36</v>
      </c>
      <c r="J4386" s="1">
        <v>45292</v>
      </c>
      <c r="K4386">
        <v>-14216000</v>
      </c>
    </row>
    <row r="4387" spans="5:11" x14ac:dyDescent="0.25">
      <c r="E4387" t="s">
        <v>8599</v>
      </c>
      <c r="F4387">
        <v>1826892</v>
      </c>
      <c r="G4387" s="1">
        <v>45382</v>
      </c>
      <c r="H4387" t="s">
        <v>8600</v>
      </c>
      <c r="I4387" t="s">
        <v>36</v>
      </c>
      <c r="J4387" s="1">
        <v>45292</v>
      </c>
      <c r="K4387">
        <v>-23234000</v>
      </c>
    </row>
    <row r="4388" spans="5:11" x14ac:dyDescent="0.25">
      <c r="E4388" t="s">
        <v>8601</v>
      </c>
      <c r="F4388">
        <v>1827087</v>
      </c>
      <c r="G4388" s="1">
        <v>45382</v>
      </c>
      <c r="H4388" t="s">
        <v>8602</v>
      </c>
      <c r="I4388" t="s">
        <v>24</v>
      </c>
      <c r="J4388" s="1">
        <v>45292</v>
      </c>
      <c r="K4388">
        <v>-19940000</v>
      </c>
    </row>
    <row r="4389" spans="5:11" x14ac:dyDescent="0.25">
      <c r="E4389" t="s">
        <v>8603</v>
      </c>
      <c r="F4389">
        <v>1827090</v>
      </c>
      <c r="G4389" s="1">
        <v>45382</v>
      </c>
      <c r="H4389" t="s">
        <v>8604</v>
      </c>
      <c r="I4389" t="s">
        <v>46</v>
      </c>
      <c r="J4389" s="1">
        <v>45292</v>
      </c>
      <c r="K4389">
        <v>-4683000</v>
      </c>
    </row>
    <row r="4390" spans="5:11" x14ac:dyDescent="0.25">
      <c r="E4390" t="s">
        <v>8605</v>
      </c>
      <c r="F4390">
        <v>1827506</v>
      </c>
      <c r="G4390" s="1">
        <v>45382</v>
      </c>
      <c r="H4390" t="s">
        <v>8606</v>
      </c>
      <c r="I4390" t="s">
        <v>57</v>
      </c>
      <c r="J4390" s="1">
        <v>45292</v>
      </c>
      <c r="K4390">
        <v>-13311000</v>
      </c>
    </row>
    <row r="4391" spans="5:11" x14ac:dyDescent="0.25">
      <c r="E4391" t="s">
        <v>8607</v>
      </c>
      <c r="F4391">
        <v>1827821</v>
      </c>
      <c r="G4391" s="1">
        <v>45382</v>
      </c>
      <c r="H4391" t="s">
        <v>8608</v>
      </c>
      <c r="I4391" t="s">
        <v>36</v>
      </c>
      <c r="J4391" s="1">
        <v>45292</v>
      </c>
      <c r="K4391">
        <v>-18624000</v>
      </c>
    </row>
    <row r="4392" spans="5:11" x14ac:dyDescent="0.25">
      <c r="E4392" t="s">
        <v>8609</v>
      </c>
      <c r="F4392">
        <v>1827855</v>
      </c>
      <c r="G4392" s="1">
        <v>45382</v>
      </c>
      <c r="H4392" t="s">
        <v>8610</v>
      </c>
      <c r="I4392" t="s">
        <v>33</v>
      </c>
      <c r="J4392" s="1">
        <v>45292</v>
      </c>
      <c r="K4392">
        <v>-11564</v>
      </c>
    </row>
    <row r="4393" spans="5:11" x14ac:dyDescent="0.25">
      <c r="E4393" t="s">
        <v>8611</v>
      </c>
      <c r="F4393">
        <v>1828016</v>
      </c>
      <c r="G4393" s="1">
        <v>45382</v>
      </c>
      <c r="H4393" t="s">
        <v>8612</v>
      </c>
      <c r="I4393" t="s">
        <v>1511</v>
      </c>
      <c r="J4393" s="1">
        <v>45292</v>
      </c>
      <c r="K4393">
        <v>53000000</v>
      </c>
    </row>
    <row r="4394" spans="5:11" x14ac:dyDescent="0.25">
      <c r="E4394" t="s">
        <v>8613</v>
      </c>
      <c r="F4394">
        <v>1828105</v>
      </c>
      <c r="G4394" s="1">
        <v>45382</v>
      </c>
      <c r="H4394" t="s">
        <v>8614</v>
      </c>
      <c r="I4394" t="s">
        <v>36</v>
      </c>
      <c r="J4394" s="1">
        <v>45292</v>
      </c>
      <c r="K4394">
        <v>-35700000</v>
      </c>
    </row>
    <row r="4395" spans="5:11" x14ac:dyDescent="0.25">
      <c r="E4395" t="s">
        <v>8615</v>
      </c>
      <c r="F4395">
        <v>1828108</v>
      </c>
      <c r="G4395" s="1">
        <v>45382</v>
      </c>
      <c r="H4395" t="s">
        <v>8616</v>
      </c>
      <c r="I4395" t="s">
        <v>39</v>
      </c>
      <c r="J4395" s="1">
        <v>45292</v>
      </c>
      <c r="K4395">
        <v>-165000000</v>
      </c>
    </row>
    <row r="4396" spans="5:11" x14ac:dyDescent="0.25">
      <c r="E4396" t="s">
        <v>8617</v>
      </c>
      <c r="F4396">
        <v>1828161</v>
      </c>
      <c r="G4396" s="1">
        <v>45382</v>
      </c>
      <c r="H4396" t="s">
        <v>8618</v>
      </c>
      <c r="I4396" t="s">
        <v>30</v>
      </c>
      <c r="J4396" s="1">
        <v>45292</v>
      </c>
      <c r="K4396">
        <v>-8771000</v>
      </c>
    </row>
    <row r="4397" spans="5:11" x14ac:dyDescent="0.25">
      <c r="E4397" t="s">
        <v>8619</v>
      </c>
      <c r="F4397">
        <v>1828185</v>
      </c>
      <c r="G4397" s="1">
        <v>45382</v>
      </c>
      <c r="H4397" t="s">
        <v>8620</v>
      </c>
      <c r="I4397" t="s">
        <v>594</v>
      </c>
      <c r="J4397" s="1">
        <v>45292</v>
      </c>
      <c r="K4397">
        <v>-15489000</v>
      </c>
    </row>
    <row r="4398" spans="5:11" x14ac:dyDescent="0.25">
      <c r="E4398" t="s">
        <v>8621</v>
      </c>
      <c r="F4398">
        <v>1828248</v>
      </c>
      <c r="G4398" s="1">
        <v>45382</v>
      </c>
      <c r="H4398" t="s">
        <v>8622</v>
      </c>
      <c r="I4398" t="s">
        <v>57</v>
      </c>
      <c r="J4398" s="1">
        <v>45292</v>
      </c>
      <c r="K4398">
        <v>-8013597</v>
      </c>
    </row>
    <row r="4399" spans="5:11" x14ac:dyDescent="0.25">
      <c r="E4399" t="s">
        <v>8623</v>
      </c>
      <c r="F4399">
        <v>1828318</v>
      </c>
      <c r="G4399" s="1">
        <v>45382</v>
      </c>
      <c r="H4399" t="s">
        <v>8624</v>
      </c>
      <c r="I4399" t="s">
        <v>36</v>
      </c>
      <c r="J4399" s="1">
        <v>45292</v>
      </c>
      <c r="K4399">
        <v>-46368000</v>
      </c>
    </row>
    <row r="4400" spans="5:11" x14ac:dyDescent="0.25">
      <c r="E4400" t="s">
        <v>8625</v>
      </c>
      <c r="F4400">
        <v>1828376</v>
      </c>
      <c r="G4400" s="1">
        <v>45382</v>
      </c>
      <c r="H4400" t="s">
        <v>8626</v>
      </c>
      <c r="I4400" t="s">
        <v>39</v>
      </c>
      <c r="J4400" s="1">
        <v>45292</v>
      </c>
      <c r="K4400">
        <v>136000</v>
      </c>
    </row>
    <row r="4401" spans="5:11" x14ac:dyDescent="0.25">
      <c r="E4401" t="s">
        <v>8627</v>
      </c>
      <c r="F4401">
        <v>1828377</v>
      </c>
      <c r="G4401" s="1">
        <v>45382</v>
      </c>
      <c r="H4401" t="s">
        <v>8628</v>
      </c>
      <c r="I4401" t="s">
        <v>92</v>
      </c>
      <c r="J4401" s="1">
        <v>45292</v>
      </c>
      <c r="K4401">
        <v>-2000</v>
      </c>
    </row>
    <row r="4402" spans="5:11" x14ac:dyDescent="0.25">
      <c r="E4402" t="s">
        <v>8629</v>
      </c>
      <c r="F4402">
        <v>1828522</v>
      </c>
      <c r="G4402" s="1">
        <v>45382</v>
      </c>
      <c r="H4402" t="s">
        <v>8630</v>
      </c>
      <c r="I4402" t="s">
        <v>36</v>
      </c>
      <c r="J4402" s="1">
        <v>45292</v>
      </c>
      <c r="K4402">
        <v>-8834000</v>
      </c>
    </row>
    <row r="4403" spans="5:11" x14ac:dyDescent="0.25">
      <c r="E4403" t="s">
        <v>8631</v>
      </c>
      <c r="F4403">
        <v>1828536</v>
      </c>
      <c r="G4403" s="1">
        <v>45382</v>
      </c>
      <c r="H4403" t="s">
        <v>8632</v>
      </c>
      <c r="I4403" t="s">
        <v>36</v>
      </c>
      <c r="J4403" s="1">
        <v>45292</v>
      </c>
      <c r="K4403">
        <v>-21139000</v>
      </c>
    </row>
    <row r="4404" spans="5:11" x14ac:dyDescent="0.25">
      <c r="E4404" t="s">
        <v>8633</v>
      </c>
      <c r="F4404">
        <v>1828588</v>
      </c>
      <c r="G4404" s="1">
        <v>45382</v>
      </c>
      <c r="H4404" t="s">
        <v>8634</v>
      </c>
      <c r="I4404" t="s">
        <v>57</v>
      </c>
      <c r="J4404" s="1">
        <v>45292</v>
      </c>
      <c r="K4404">
        <v>4061000</v>
      </c>
    </row>
    <row r="4405" spans="5:11" x14ac:dyDescent="0.25">
      <c r="E4405" t="s">
        <v>8635</v>
      </c>
      <c r="F4405">
        <v>1828673</v>
      </c>
      <c r="G4405" s="1">
        <v>45382</v>
      </c>
      <c r="H4405" t="s">
        <v>8636</v>
      </c>
      <c r="I4405" t="s">
        <v>33</v>
      </c>
      <c r="J4405" s="1">
        <v>45292</v>
      </c>
      <c r="K4405">
        <v>-7468061</v>
      </c>
    </row>
    <row r="4406" spans="5:11" x14ac:dyDescent="0.25">
      <c r="E4406" t="s">
        <v>8637</v>
      </c>
      <c r="F4406">
        <v>1828723</v>
      </c>
      <c r="G4406" s="1">
        <v>45382</v>
      </c>
      <c r="H4406" t="s">
        <v>8638</v>
      </c>
      <c r="I4406" t="s">
        <v>27</v>
      </c>
      <c r="J4406" s="1">
        <v>45292</v>
      </c>
      <c r="K4406">
        <v>7509000</v>
      </c>
    </row>
    <row r="4407" spans="5:11" x14ac:dyDescent="0.25">
      <c r="E4407" t="s">
        <v>8639</v>
      </c>
      <c r="F4407">
        <v>1828739</v>
      </c>
      <c r="G4407" s="1">
        <v>45382</v>
      </c>
      <c r="H4407" t="s">
        <v>8640</v>
      </c>
      <c r="I4407" t="s">
        <v>36</v>
      </c>
      <c r="J4407" s="1">
        <v>45292</v>
      </c>
      <c r="K4407">
        <v>-6073</v>
      </c>
    </row>
    <row r="4408" spans="5:11" x14ac:dyDescent="0.25">
      <c r="E4408" t="s">
        <v>8641</v>
      </c>
      <c r="F4408">
        <v>1828748</v>
      </c>
      <c r="G4408" s="1">
        <v>45382</v>
      </c>
      <c r="H4408" t="s">
        <v>8642</v>
      </c>
      <c r="I4408" t="s">
        <v>4980</v>
      </c>
      <c r="J4408" s="1">
        <v>45292</v>
      </c>
      <c r="K4408">
        <v>-278111</v>
      </c>
    </row>
    <row r="4409" spans="5:11" x14ac:dyDescent="0.25">
      <c r="E4409" t="s">
        <v>8643</v>
      </c>
      <c r="F4409">
        <v>1828791</v>
      </c>
      <c r="G4409" s="1">
        <v>45382</v>
      </c>
      <c r="H4409" t="s">
        <v>8644</v>
      </c>
      <c r="I4409" t="s">
        <v>36</v>
      </c>
      <c r="J4409" s="1">
        <v>45292</v>
      </c>
      <c r="K4409">
        <v>-947000</v>
      </c>
    </row>
    <row r="4410" spans="5:11" x14ac:dyDescent="0.25">
      <c r="E4410" t="s">
        <v>8645</v>
      </c>
      <c r="F4410">
        <v>1828805</v>
      </c>
      <c r="G4410" s="1">
        <v>45382</v>
      </c>
      <c r="H4410" t="s">
        <v>8646</v>
      </c>
      <c r="I4410" t="s">
        <v>36</v>
      </c>
      <c r="J4410" s="1">
        <v>45292</v>
      </c>
      <c r="K4410">
        <v>-962651</v>
      </c>
    </row>
    <row r="4411" spans="5:11" x14ac:dyDescent="0.25">
      <c r="E4411" t="s">
        <v>8647</v>
      </c>
      <c r="F4411">
        <v>1828852</v>
      </c>
      <c r="G4411" s="1">
        <v>45382</v>
      </c>
      <c r="H4411" t="s">
        <v>8648</v>
      </c>
      <c r="I4411" t="s">
        <v>30</v>
      </c>
      <c r="J4411" s="1">
        <v>45292</v>
      </c>
      <c r="K4411">
        <v>-19458000</v>
      </c>
    </row>
    <row r="4412" spans="5:11" x14ac:dyDescent="0.25">
      <c r="E4412" t="s">
        <v>8649</v>
      </c>
      <c r="F4412">
        <v>1828937</v>
      </c>
      <c r="G4412" s="1">
        <v>45382</v>
      </c>
      <c r="H4412" t="s">
        <v>8650</v>
      </c>
      <c r="I4412" t="s">
        <v>30</v>
      </c>
      <c r="J4412" s="1">
        <v>45292</v>
      </c>
      <c r="K4412">
        <v>-7538000</v>
      </c>
    </row>
    <row r="4413" spans="5:11" x14ac:dyDescent="0.25">
      <c r="E4413" t="s">
        <v>8651</v>
      </c>
      <c r="F4413">
        <v>1828962</v>
      </c>
      <c r="G4413" s="1">
        <v>45382</v>
      </c>
      <c r="H4413" t="s">
        <v>8652</v>
      </c>
      <c r="I4413" t="s">
        <v>406</v>
      </c>
      <c r="J4413" s="1">
        <v>45292</v>
      </c>
      <c r="K4413">
        <v>19647000</v>
      </c>
    </row>
    <row r="4414" spans="5:11" x14ac:dyDescent="0.25">
      <c r="E4414" t="s">
        <v>8653</v>
      </c>
      <c r="F4414">
        <v>1828972</v>
      </c>
      <c r="G4414" s="1">
        <v>45382</v>
      </c>
      <c r="H4414" t="s">
        <v>8654</v>
      </c>
      <c r="I4414" t="s">
        <v>57</v>
      </c>
      <c r="J4414" s="1">
        <v>45292</v>
      </c>
      <c r="K4414">
        <v>-35729000</v>
      </c>
    </row>
    <row r="4415" spans="5:11" x14ac:dyDescent="0.25">
      <c r="E4415" t="s">
        <v>8655</v>
      </c>
      <c r="F4415">
        <v>1829247</v>
      </c>
      <c r="G4415" s="1">
        <v>45382</v>
      </c>
      <c r="H4415" t="s">
        <v>8656</v>
      </c>
      <c r="I4415" t="s">
        <v>299</v>
      </c>
      <c r="J4415" s="1">
        <v>45292</v>
      </c>
      <c r="K4415">
        <v>-1903794</v>
      </c>
    </row>
    <row r="4416" spans="5:11" x14ac:dyDescent="0.25">
      <c r="E4416" t="s">
        <v>8657</v>
      </c>
      <c r="F4416">
        <v>1829280</v>
      </c>
      <c r="G4416" s="1">
        <v>45382</v>
      </c>
      <c r="H4416" t="s">
        <v>8658</v>
      </c>
      <c r="I4416" t="s">
        <v>39</v>
      </c>
      <c r="J4416" s="1">
        <v>45292</v>
      </c>
      <c r="K4416">
        <v>-1212615</v>
      </c>
    </row>
    <row r="4417" spans="5:11" x14ac:dyDescent="0.25">
      <c r="E4417" t="s">
        <v>8659</v>
      </c>
      <c r="F4417">
        <v>1829311</v>
      </c>
      <c r="G4417" s="1">
        <v>45351</v>
      </c>
      <c r="H4417" t="s">
        <v>8660</v>
      </c>
      <c r="I4417" t="s">
        <v>64</v>
      </c>
      <c r="J4417" s="1">
        <v>45261</v>
      </c>
      <c r="K4417">
        <v>-902682</v>
      </c>
    </row>
    <row r="4418" spans="5:11" x14ac:dyDescent="0.25">
      <c r="E4418" t="s">
        <v>8661</v>
      </c>
      <c r="F4418">
        <v>1829576</v>
      </c>
      <c r="G4418" s="1">
        <v>45382</v>
      </c>
      <c r="H4418" t="s">
        <v>8662</v>
      </c>
      <c r="I4418" t="s">
        <v>123</v>
      </c>
      <c r="J4418" s="1">
        <v>45292</v>
      </c>
      <c r="K4418">
        <v>5811000</v>
      </c>
    </row>
    <row r="4419" spans="5:11" x14ac:dyDescent="0.25">
      <c r="E4419" t="s">
        <v>8663</v>
      </c>
      <c r="F4419">
        <v>1829635</v>
      </c>
      <c r="G4419" s="1">
        <v>45382</v>
      </c>
      <c r="H4419" t="s">
        <v>8664</v>
      </c>
      <c r="I4419" t="s">
        <v>24</v>
      </c>
      <c r="J4419" s="1">
        <v>45292</v>
      </c>
      <c r="K4419">
        <v>-3326812</v>
      </c>
    </row>
    <row r="4420" spans="5:11" x14ac:dyDescent="0.25">
      <c r="E4420" t="s">
        <v>8665</v>
      </c>
      <c r="F4420">
        <v>1829794</v>
      </c>
      <c r="G4420" s="1">
        <v>45382</v>
      </c>
      <c r="H4420" t="s">
        <v>8666</v>
      </c>
      <c r="I4420" t="s">
        <v>30</v>
      </c>
      <c r="J4420" s="1">
        <v>45292</v>
      </c>
      <c r="K4420">
        <v>-26048044</v>
      </c>
    </row>
    <row r="4421" spans="5:11" x14ac:dyDescent="0.25">
      <c r="E4421" t="s">
        <v>8667</v>
      </c>
      <c r="F4421">
        <v>1829802</v>
      </c>
      <c r="G4421" s="1">
        <v>45382</v>
      </c>
      <c r="H4421" t="s">
        <v>8668</v>
      </c>
      <c r="I4421" t="s">
        <v>299</v>
      </c>
      <c r="J4421" s="1">
        <v>45292</v>
      </c>
      <c r="K4421">
        <v>-7992000</v>
      </c>
    </row>
    <row r="4422" spans="5:11" x14ac:dyDescent="0.25">
      <c r="E4422" t="s">
        <v>8669</v>
      </c>
      <c r="F4422">
        <v>1829864</v>
      </c>
      <c r="G4422" s="1">
        <v>45382</v>
      </c>
      <c r="H4422" t="s">
        <v>8670</v>
      </c>
      <c r="I4422" t="s">
        <v>30</v>
      </c>
      <c r="J4422" s="1">
        <v>45292</v>
      </c>
      <c r="K4422">
        <v>11714000</v>
      </c>
    </row>
    <row r="4423" spans="5:11" x14ac:dyDescent="0.25">
      <c r="E4423" t="s">
        <v>8671</v>
      </c>
      <c r="F4423">
        <v>1829953</v>
      </c>
      <c r="G4423" s="1">
        <v>45382</v>
      </c>
      <c r="H4423" t="s">
        <v>8672</v>
      </c>
      <c r="I4423" t="s">
        <v>36</v>
      </c>
      <c r="J4423" s="1">
        <v>45292</v>
      </c>
      <c r="K4423">
        <v>-2513203</v>
      </c>
    </row>
    <row r="4424" spans="5:11" x14ac:dyDescent="0.25">
      <c r="E4424" t="s">
        <v>8673</v>
      </c>
      <c r="F4424">
        <v>1829966</v>
      </c>
      <c r="G4424" s="1">
        <v>45382</v>
      </c>
      <c r="H4424" t="s">
        <v>8674</v>
      </c>
      <c r="I4424" t="s">
        <v>142</v>
      </c>
      <c r="J4424" s="1">
        <v>45292</v>
      </c>
      <c r="K4424">
        <v>-5045628</v>
      </c>
    </row>
    <row r="4425" spans="5:11" x14ac:dyDescent="0.25">
      <c r="E4425" t="s">
        <v>8675</v>
      </c>
      <c r="F4425">
        <v>1830029</v>
      </c>
      <c r="G4425" s="1">
        <v>45382</v>
      </c>
      <c r="H4425" t="s">
        <v>8676</v>
      </c>
      <c r="I4425" t="s">
        <v>60</v>
      </c>
      <c r="J4425" s="1">
        <v>45292</v>
      </c>
      <c r="K4425">
        <v>-6478000</v>
      </c>
    </row>
    <row r="4426" spans="5:11" x14ac:dyDescent="0.25">
      <c r="E4426" t="s">
        <v>8677</v>
      </c>
      <c r="F4426">
        <v>1830033</v>
      </c>
      <c r="G4426" s="1">
        <v>45382</v>
      </c>
      <c r="H4426" t="s">
        <v>8678</v>
      </c>
      <c r="I4426" t="s">
        <v>33</v>
      </c>
      <c r="J4426" s="1">
        <v>45292</v>
      </c>
      <c r="K4426">
        <v>-85607000</v>
      </c>
    </row>
    <row r="4427" spans="5:11" x14ac:dyDescent="0.25">
      <c r="E4427" t="s">
        <v>8679</v>
      </c>
      <c r="F4427">
        <v>1830043</v>
      </c>
      <c r="G4427" s="1">
        <v>45382</v>
      </c>
      <c r="H4427" t="s">
        <v>8680</v>
      </c>
      <c r="I4427" t="s">
        <v>30</v>
      </c>
      <c r="J4427" s="1">
        <v>45292</v>
      </c>
      <c r="K4427">
        <v>24617000</v>
      </c>
    </row>
    <row r="4428" spans="5:11" x14ac:dyDescent="0.25">
      <c r="E4428" t="s">
        <v>8681</v>
      </c>
      <c r="F4428">
        <v>1830072</v>
      </c>
      <c r="G4428" s="1">
        <v>45382</v>
      </c>
      <c r="H4428" t="s">
        <v>8682</v>
      </c>
      <c r="I4428" t="s">
        <v>36</v>
      </c>
      <c r="J4428" s="1">
        <v>45292</v>
      </c>
      <c r="K4428">
        <v>1016082</v>
      </c>
    </row>
    <row r="4429" spans="5:11" x14ac:dyDescent="0.25">
      <c r="E4429" t="s">
        <v>8683</v>
      </c>
      <c r="F4429">
        <v>1830081</v>
      </c>
      <c r="G4429" s="1">
        <v>45382</v>
      </c>
      <c r="H4429" t="s">
        <v>8684</v>
      </c>
      <c r="I4429" t="s">
        <v>33</v>
      </c>
      <c r="J4429" s="1">
        <v>45292</v>
      </c>
      <c r="K4429">
        <v>-43290040</v>
      </c>
    </row>
    <row r="4430" spans="5:11" x14ac:dyDescent="0.25">
      <c r="E4430" t="s">
        <v>8685</v>
      </c>
      <c r="F4430">
        <v>1830188</v>
      </c>
      <c r="G4430" s="1">
        <v>45382</v>
      </c>
      <c r="H4430" t="s">
        <v>8686</v>
      </c>
      <c r="I4430" t="s">
        <v>686</v>
      </c>
      <c r="J4430" s="1">
        <v>45292</v>
      </c>
      <c r="K4430">
        <v>24938224</v>
      </c>
    </row>
    <row r="4431" spans="5:11" x14ac:dyDescent="0.25">
      <c r="E4431" t="s">
        <v>8687</v>
      </c>
      <c r="F4431">
        <v>1830210</v>
      </c>
      <c r="G4431" s="1">
        <v>45382</v>
      </c>
      <c r="H4431" t="s">
        <v>8688</v>
      </c>
      <c r="I4431" t="s">
        <v>137</v>
      </c>
      <c r="J4431" s="1">
        <v>45292</v>
      </c>
      <c r="K4431">
        <v>-21283000</v>
      </c>
    </row>
    <row r="4432" spans="5:11" x14ac:dyDescent="0.25">
      <c r="E4432" t="s">
        <v>8689</v>
      </c>
      <c r="F4432">
        <v>1830696</v>
      </c>
      <c r="G4432" s="1">
        <v>45412</v>
      </c>
      <c r="H4432" t="s">
        <v>8690</v>
      </c>
      <c r="I4432" t="s">
        <v>2273</v>
      </c>
      <c r="J4432" s="1">
        <v>45323</v>
      </c>
      <c r="K4432">
        <v>-7770</v>
      </c>
    </row>
    <row r="4433" spans="5:11" x14ac:dyDescent="0.25">
      <c r="E4433" t="s">
        <v>8691</v>
      </c>
      <c r="F4433">
        <v>1830749</v>
      </c>
      <c r="G4433" s="1">
        <v>45382</v>
      </c>
      <c r="H4433" t="s">
        <v>8692</v>
      </c>
      <c r="I4433" t="s">
        <v>594</v>
      </c>
      <c r="J4433" s="1">
        <v>45292</v>
      </c>
      <c r="K4433">
        <v>-12274000</v>
      </c>
    </row>
    <row r="4434" spans="5:11" x14ac:dyDescent="0.25">
      <c r="E4434" t="s">
        <v>8693</v>
      </c>
      <c r="F4434">
        <v>1831006</v>
      </c>
      <c r="G4434" s="1">
        <v>45382</v>
      </c>
      <c r="H4434" t="s">
        <v>8694</v>
      </c>
      <c r="I4434" t="s">
        <v>30</v>
      </c>
      <c r="J4434" s="1">
        <v>45292</v>
      </c>
      <c r="K4434">
        <v>-2537517</v>
      </c>
    </row>
    <row r="4435" spans="5:11" x14ac:dyDescent="0.25">
      <c r="E4435" t="s">
        <v>8695</v>
      </c>
      <c r="F4435">
        <v>1831096</v>
      </c>
      <c r="G4435" s="1">
        <v>45382</v>
      </c>
      <c r="H4435" t="s">
        <v>8696</v>
      </c>
      <c r="I4435" t="s">
        <v>33</v>
      </c>
      <c r="J4435" s="1">
        <v>45292</v>
      </c>
      <c r="K4435">
        <v>-3100000</v>
      </c>
    </row>
    <row r="4436" spans="5:11" x14ac:dyDescent="0.25">
      <c r="E4436" t="s">
        <v>8697</v>
      </c>
      <c r="F4436">
        <v>1831097</v>
      </c>
      <c r="G4436" s="1">
        <v>45382</v>
      </c>
      <c r="H4436" t="s">
        <v>8698</v>
      </c>
      <c r="I4436" t="s">
        <v>30</v>
      </c>
      <c r="J4436" s="1">
        <v>45292</v>
      </c>
      <c r="K4436">
        <v>-6064000</v>
      </c>
    </row>
    <row r="4437" spans="5:11" x14ac:dyDescent="0.25">
      <c r="E4437" t="s">
        <v>8699</v>
      </c>
      <c r="F4437">
        <v>1831114</v>
      </c>
      <c r="G4437" s="1">
        <v>45382</v>
      </c>
      <c r="H4437" t="s">
        <v>8700</v>
      </c>
      <c r="I4437" t="s">
        <v>288</v>
      </c>
      <c r="J4437" s="1">
        <v>45292</v>
      </c>
      <c r="K4437">
        <v>-165878</v>
      </c>
    </row>
    <row r="4438" spans="5:11" x14ac:dyDescent="0.25">
      <c r="E4438" t="s">
        <v>8701</v>
      </c>
      <c r="F4438">
        <v>1831270</v>
      </c>
      <c r="G4438" s="1">
        <v>45382</v>
      </c>
      <c r="H4438" t="s">
        <v>8702</v>
      </c>
      <c r="I4438" t="s">
        <v>19</v>
      </c>
      <c r="J4438" s="1">
        <v>45292</v>
      </c>
      <c r="K4438">
        <v>-24036</v>
      </c>
    </row>
    <row r="4439" spans="5:11" x14ac:dyDescent="0.25">
      <c r="E4439" t="s">
        <v>8703</v>
      </c>
      <c r="F4439">
        <v>1831359</v>
      </c>
      <c r="G4439" s="1">
        <v>45382</v>
      </c>
      <c r="H4439" t="s">
        <v>8704</v>
      </c>
      <c r="I4439" t="s">
        <v>33</v>
      </c>
      <c r="J4439" s="1">
        <v>45292</v>
      </c>
      <c r="K4439">
        <v>-7159904</v>
      </c>
    </row>
    <row r="4440" spans="5:11" x14ac:dyDescent="0.25">
      <c r="E4440" t="s">
        <v>8705</v>
      </c>
      <c r="F4440">
        <v>1831363</v>
      </c>
      <c r="G4440" s="1">
        <v>45382</v>
      </c>
      <c r="H4440" t="s">
        <v>8706</v>
      </c>
      <c r="I4440" t="s">
        <v>36</v>
      </c>
      <c r="J4440" s="1">
        <v>45292</v>
      </c>
      <c r="K4440">
        <v>-22373000</v>
      </c>
    </row>
    <row r="4441" spans="5:11" x14ac:dyDescent="0.25">
      <c r="E4441" t="s">
        <v>8707</v>
      </c>
      <c r="F4441">
        <v>1831481</v>
      </c>
      <c r="G4441" s="1">
        <v>45382</v>
      </c>
      <c r="H4441" t="s">
        <v>8708</v>
      </c>
      <c r="I4441" t="s">
        <v>30</v>
      </c>
      <c r="J4441" s="1">
        <v>45336</v>
      </c>
      <c r="K4441">
        <v>-180105000</v>
      </c>
    </row>
    <row r="4442" spans="5:11" x14ac:dyDescent="0.25">
      <c r="E4442" t="s">
        <v>8709</v>
      </c>
      <c r="F4442">
        <v>1831631</v>
      </c>
      <c r="G4442" s="1">
        <v>45382</v>
      </c>
      <c r="H4442" t="s">
        <v>8710</v>
      </c>
      <c r="I4442" t="s">
        <v>36</v>
      </c>
      <c r="J4442" s="1">
        <v>45292</v>
      </c>
      <c r="K4442">
        <v>-34255000</v>
      </c>
    </row>
    <row r="4443" spans="5:11" x14ac:dyDescent="0.25">
      <c r="E4443" t="s">
        <v>8711</v>
      </c>
      <c r="F4443">
        <v>1831651</v>
      </c>
      <c r="G4443" s="1">
        <v>45382</v>
      </c>
      <c r="H4443" t="s">
        <v>8712</v>
      </c>
      <c r="I4443" t="s">
        <v>69</v>
      </c>
      <c r="J4443" s="1">
        <v>45292</v>
      </c>
      <c r="K4443">
        <v>4774000</v>
      </c>
    </row>
    <row r="4444" spans="5:11" x14ac:dyDescent="0.25">
      <c r="E4444" t="s">
        <v>8713</v>
      </c>
      <c r="F4444">
        <v>1831828</v>
      </c>
      <c r="G4444" s="1">
        <v>45382</v>
      </c>
      <c r="H4444" t="s">
        <v>8714</v>
      </c>
      <c r="I4444" t="s">
        <v>36</v>
      </c>
      <c r="J4444" s="1">
        <v>45292</v>
      </c>
      <c r="K4444">
        <v>-28383000</v>
      </c>
    </row>
    <row r="4445" spans="5:11" x14ac:dyDescent="0.25">
      <c r="E4445" t="s">
        <v>8715</v>
      </c>
      <c r="F4445">
        <v>1831840</v>
      </c>
      <c r="G4445" s="1">
        <v>45382</v>
      </c>
      <c r="H4445" t="s">
        <v>8716</v>
      </c>
      <c r="I4445" t="s">
        <v>24</v>
      </c>
      <c r="J4445" s="1">
        <v>45292</v>
      </c>
      <c r="K4445">
        <v>2138000</v>
      </c>
    </row>
    <row r="4446" spans="5:11" x14ac:dyDescent="0.25">
      <c r="E4446" t="s">
        <v>8717</v>
      </c>
      <c r="F4446">
        <v>1831868</v>
      </c>
      <c r="G4446" s="1">
        <v>45382</v>
      </c>
      <c r="H4446" t="s">
        <v>8718</v>
      </c>
      <c r="I4446" t="s">
        <v>92</v>
      </c>
      <c r="J4446" s="1">
        <v>45292</v>
      </c>
      <c r="K4446">
        <v>-12697000</v>
      </c>
    </row>
    <row r="4447" spans="5:11" x14ac:dyDescent="0.25">
      <c r="E4447" t="s">
        <v>10569</v>
      </c>
      <c r="F4447">
        <v>1831874</v>
      </c>
      <c r="G4447" s="1">
        <v>45382</v>
      </c>
      <c r="H4447" t="s">
        <v>8719</v>
      </c>
      <c r="I4447" t="s">
        <v>2436</v>
      </c>
      <c r="J4447" s="1">
        <v>45292</v>
      </c>
      <c r="K4447">
        <v>-858231</v>
      </c>
    </row>
    <row r="4448" spans="5:11" x14ac:dyDescent="0.25">
      <c r="E4448" t="s">
        <v>8720</v>
      </c>
      <c r="F4448">
        <v>1831964</v>
      </c>
      <c r="G4448" s="1">
        <v>45382</v>
      </c>
      <c r="H4448" t="s">
        <v>8721</v>
      </c>
      <c r="I4448" t="s">
        <v>186</v>
      </c>
      <c r="J4448" s="1">
        <v>45292</v>
      </c>
      <c r="K4448">
        <v>-275936</v>
      </c>
    </row>
    <row r="4449" spans="5:11" x14ac:dyDescent="0.25">
      <c r="E4449" t="s">
        <v>8722</v>
      </c>
      <c r="F4449">
        <v>1831978</v>
      </c>
      <c r="G4449" s="1">
        <v>45382</v>
      </c>
      <c r="H4449" t="s">
        <v>8723</v>
      </c>
      <c r="I4449" t="s">
        <v>24</v>
      </c>
      <c r="J4449" s="1">
        <v>45292</v>
      </c>
      <c r="K4449">
        <v>-186075</v>
      </c>
    </row>
    <row r="4450" spans="5:11" x14ac:dyDescent="0.25">
      <c r="E4450" t="s">
        <v>8724</v>
      </c>
      <c r="F4450">
        <v>1832038</v>
      </c>
      <c r="G4450" s="1">
        <v>45382</v>
      </c>
      <c r="H4450" t="s">
        <v>8725</v>
      </c>
      <c r="I4450" t="s">
        <v>24</v>
      </c>
      <c r="J4450" s="1">
        <v>45292</v>
      </c>
      <c r="K4450">
        <v>-43496000</v>
      </c>
    </row>
    <row r="4451" spans="5:11" x14ac:dyDescent="0.25">
      <c r="E4451" t="s">
        <v>8726</v>
      </c>
      <c r="F4451">
        <v>1832136</v>
      </c>
      <c r="G4451" s="1">
        <v>45382</v>
      </c>
      <c r="H4451" t="s">
        <v>8727</v>
      </c>
      <c r="I4451" t="s">
        <v>57</v>
      </c>
      <c r="J4451" s="1">
        <v>45292</v>
      </c>
      <c r="K4451">
        <v>-551189</v>
      </c>
    </row>
    <row r="4452" spans="5:11" x14ac:dyDescent="0.25">
      <c r="E4452" t="s">
        <v>8728</v>
      </c>
      <c r="F4452">
        <v>1832148</v>
      </c>
      <c r="G4452" s="1">
        <v>45382</v>
      </c>
      <c r="H4452" t="s">
        <v>8729</v>
      </c>
      <c r="I4452" t="s">
        <v>57</v>
      </c>
      <c r="J4452" s="1">
        <v>45292</v>
      </c>
      <c r="K4452">
        <v>870000</v>
      </c>
    </row>
    <row r="4453" spans="5:11" x14ac:dyDescent="0.25">
      <c r="E4453" t="s">
        <v>10570</v>
      </c>
      <c r="F4453">
        <v>1832161</v>
      </c>
      <c r="G4453" s="1">
        <v>45382</v>
      </c>
      <c r="H4453" t="s">
        <v>10571</v>
      </c>
      <c r="I4453" t="s">
        <v>33</v>
      </c>
      <c r="J4453" s="1">
        <v>45292</v>
      </c>
      <c r="K4453">
        <v>-8299051</v>
      </c>
    </row>
    <row r="4454" spans="5:11" x14ac:dyDescent="0.25">
      <c r="E4454" t="s">
        <v>8730</v>
      </c>
      <c r="F4454">
        <v>1832168</v>
      </c>
      <c r="G4454" s="1">
        <v>45382</v>
      </c>
      <c r="H4454" t="s">
        <v>8731</v>
      </c>
      <c r="I4454" t="s">
        <v>36</v>
      </c>
      <c r="J4454" s="1">
        <v>45292</v>
      </c>
      <c r="K4454">
        <v>-14986000</v>
      </c>
    </row>
    <row r="4455" spans="5:11" x14ac:dyDescent="0.25">
      <c r="E4455" t="s">
        <v>8732</v>
      </c>
      <c r="F4455">
        <v>1832332</v>
      </c>
      <c r="G4455" s="1">
        <v>45381</v>
      </c>
      <c r="H4455" t="s">
        <v>8733</v>
      </c>
      <c r="I4455" t="s">
        <v>64</v>
      </c>
      <c r="J4455" s="1">
        <v>45291</v>
      </c>
      <c r="K4455">
        <v>-11172000</v>
      </c>
    </row>
    <row r="4456" spans="5:11" x14ac:dyDescent="0.25">
      <c r="E4456" t="s">
        <v>8734</v>
      </c>
      <c r="F4456">
        <v>1832433</v>
      </c>
      <c r="G4456" s="1">
        <v>45412</v>
      </c>
      <c r="H4456" t="s">
        <v>8735</v>
      </c>
      <c r="I4456" t="s">
        <v>594</v>
      </c>
      <c r="J4456" s="1">
        <v>45323</v>
      </c>
      <c r="K4456">
        <v>443000000</v>
      </c>
    </row>
    <row r="4457" spans="5:11" x14ac:dyDescent="0.25">
      <c r="E4457" t="s">
        <v>8736</v>
      </c>
      <c r="F4457">
        <v>1832466</v>
      </c>
      <c r="G4457" s="1">
        <v>45382</v>
      </c>
      <c r="H4457" t="s">
        <v>8737</v>
      </c>
      <c r="I4457" t="s">
        <v>36</v>
      </c>
      <c r="J4457" s="1">
        <v>45292</v>
      </c>
      <c r="K4457">
        <v>-46521000</v>
      </c>
    </row>
    <row r="4458" spans="5:11" x14ac:dyDescent="0.25">
      <c r="E4458" t="s">
        <v>8738</v>
      </c>
      <c r="F4458">
        <v>1832483</v>
      </c>
      <c r="G4458" s="1">
        <v>45382</v>
      </c>
      <c r="H4458" t="s">
        <v>8739</v>
      </c>
      <c r="I4458" t="s">
        <v>36</v>
      </c>
      <c r="J4458" s="1">
        <v>45292</v>
      </c>
      <c r="K4458">
        <v>-9037971</v>
      </c>
    </row>
    <row r="4459" spans="5:11" x14ac:dyDescent="0.25">
      <c r="E4459" t="s">
        <v>8740</v>
      </c>
      <c r="F4459">
        <v>1832487</v>
      </c>
      <c r="G4459" s="1">
        <v>45382</v>
      </c>
      <c r="H4459" t="s">
        <v>8741</v>
      </c>
      <c r="I4459" t="s">
        <v>172</v>
      </c>
      <c r="J4459" s="1">
        <v>45292</v>
      </c>
      <c r="K4459">
        <v>-3372552</v>
      </c>
    </row>
    <row r="4460" spans="5:11" x14ac:dyDescent="0.25">
      <c r="E4460" t="s">
        <v>8742</v>
      </c>
      <c r="F4460">
        <v>1832511</v>
      </c>
      <c r="G4460" s="1">
        <v>45382</v>
      </c>
      <c r="H4460" t="s">
        <v>8743</v>
      </c>
      <c r="I4460" t="s">
        <v>142</v>
      </c>
      <c r="J4460" s="1">
        <v>45292</v>
      </c>
      <c r="K4460">
        <v>-18700000</v>
      </c>
    </row>
    <row r="4461" spans="5:11" x14ac:dyDescent="0.25">
      <c r="E4461" t="s">
        <v>8744</v>
      </c>
      <c r="F4461">
        <v>1832950</v>
      </c>
      <c r="G4461" s="1">
        <v>45382</v>
      </c>
      <c r="H4461" t="s">
        <v>8745</v>
      </c>
      <c r="I4461" t="s">
        <v>57</v>
      </c>
      <c r="J4461" s="1">
        <v>45292</v>
      </c>
      <c r="K4461">
        <v>-820553</v>
      </c>
    </row>
    <row r="4462" spans="5:11" x14ac:dyDescent="0.25">
      <c r="E4462" t="s">
        <v>8746</v>
      </c>
      <c r="F4462">
        <v>1833197</v>
      </c>
      <c r="G4462" s="1">
        <v>45381</v>
      </c>
      <c r="H4462" t="s">
        <v>8747</v>
      </c>
      <c r="I4462" t="s">
        <v>57</v>
      </c>
      <c r="J4462" s="1">
        <v>45292</v>
      </c>
      <c r="K4462">
        <v>-7864000</v>
      </c>
    </row>
    <row r="4463" spans="5:11" x14ac:dyDescent="0.25">
      <c r="E4463" t="s">
        <v>8748</v>
      </c>
      <c r="F4463">
        <v>1833214</v>
      </c>
      <c r="G4463" s="1">
        <v>45382</v>
      </c>
      <c r="H4463" t="s">
        <v>8749</v>
      </c>
      <c r="I4463" t="s">
        <v>33</v>
      </c>
      <c r="J4463" s="1">
        <v>45292</v>
      </c>
      <c r="K4463">
        <v>-5025745</v>
      </c>
    </row>
    <row r="4464" spans="5:11" x14ac:dyDescent="0.25">
      <c r="E4464" t="s">
        <v>8750</v>
      </c>
      <c r="F4464">
        <v>1833498</v>
      </c>
      <c r="G4464" s="1">
        <v>45382</v>
      </c>
      <c r="H4464" t="s">
        <v>8751</v>
      </c>
      <c r="I4464" t="s">
        <v>30</v>
      </c>
      <c r="J4464" s="1">
        <v>45292</v>
      </c>
      <c r="K4464">
        <v>-3205000</v>
      </c>
    </row>
    <row r="4465" spans="5:11" x14ac:dyDescent="0.25">
      <c r="E4465" t="s">
        <v>8752</v>
      </c>
      <c r="F4465">
        <v>1833756</v>
      </c>
      <c r="G4465" s="1">
        <v>45382</v>
      </c>
      <c r="H4465" t="s">
        <v>8753</v>
      </c>
      <c r="I4465" t="s">
        <v>123</v>
      </c>
      <c r="J4465" s="1">
        <v>45292</v>
      </c>
      <c r="K4465">
        <v>29000000</v>
      </c>
    </row>
    <row r="4466" spans="5:11" x14ac:dyDescent="0.25">
      <c r="E4466" t="s">
        <v>8754</v>
      </c>
      <c r="F4466">
        <v>1833769</v>
      </c>
      <c r="G4466" s="1">
        <v>45382</v>
      </c>
      <c r="H4466" t="s">
        <v>8755</v>
      </c>
      <c r="I4466" t="s">
        <v>27</v>
      </c>
      <c r="J4466" s="1">
        <v>45292</v>
      </c>
      <c r="K4466">
        <v>-9848000</v>
      </c>
    </row>
    <row r="4467" spans="5:11" x14ac:dyDescent="0.25">
      <c r="E4467" t="s">
        <v>8756</v>
      </c>
      <c r="F4467">
        <v>1833835</v>
      </c>
      <c r="G4467" s="1">
        <v>45382</v>
      </c>
      <c r="H4467" t="s">
        <v>8757</v>
      </c>
      <c r="I4467" t="s">
        <v>594</v>
      </c>
      <c r="J4467" s="1">
        <v>45292</v>
      </c>
      <c r="K4467">
        <v>3056000</v>
      </c>
    </row>
    <row r="4468" spans="5:11" x14ac:dyDescent="0.25">
      <c r="E4468" t="s">
        <v>8758</v>
      </c>
      <c r="F4468">
        <v>1834032</v>
      </c>
      <c r="G4468" s="1">
        <v>45382</v>
      </c>
      <c r="H4468" t="s">
        <v>8759</v>
      </c>
      <c r="I4468" t="s">
        <v>57</v>
      </c>
      <c r="J4468" s="1">
        <v>45292</v>
      </c>
      <c r="K4468">
        <v>-494150</v>
      </c>
    </row>
    <row r="4469" spans="5:11" x14ac:dyDescent="0.25">
      <c r="E4469" t="s">
        <v>8760</v>
      </c>
      <c r="F4469">
        <v>1834045</v>
      </c>
      <c r="G4469" s="1">
        <v>45382</v>
      </c>
      <c r="H4469" t="s">
        <v>8761</v>
      </c>
      <c r="I4469" t="s">
        <v>36</v>
      </c>
      <c r="J4469" s="1">
        <v>45292</v>
      </c>
      <c r="K4469">
        <v>-26154000</v>
      </c>
    </row>
    <row r="4470" spans="5:11" x14ac:dyDescent="0.25">
      <c r="E4470" t="s">
        <v>8762</v>
      </c>
      <c r="F4470">
        <v>1834105</v>
      </c>
      <c r="G4470" s="1">
        <v>45382</v>
      </c>
      <c r="H4470" t="s">
        <v>8763</v>
      </c>
      <c r="I4470" t="s">
        <v>57</v>
      </c>
      <c r="J4470" s="1">
        <v>45292</v>
      </c>
      <c r="K4470">
        <v>-998000</v>
      </c>
    </row>
    <row r="4471" spans="5:11" x14ac:dyDescent="0.25">
      <c r="E4471" t="s">
        <v>8764</v>
      </c>
      <c r="F4471">
        <v>1834376</v>
      </c>
      <c r="G4471" s="1">
        <v>45382</v>
      </c>
      <c r="H4471" t="s">
        <v>8765</v>
      </c>
      <c r="I4471" t="s">
        <v>92</v>
      </c>
      <c r="J4471" s="1">
        <v>45292</v>
      </c>
      <c r="K4471">
        <v>-5887000</v>
      </c>
    </row>
    <row r="4472" spans="5:11" x14ac:dyDescent="0.25">
      <c r="E4472" t="s">
        <v>8766</v>
      </c>
      <c r="F4472">
        <v>1834488</v>
      </c>
      <c r="G4472" s="1">
        <v>45382</v>
      </c>
      <c r="H4472" t="s">
        <v>8767</v>
      </c>
      <c r="I4472" t="s">
        <v>24</v>
      </c>
      <c r="J4472" s="1">
        <v>45292</v>
      </c>
      <c r="K4472">
        <v>7456000</v>
      </c>
    </row>
    <row r="4473" spans="5:11" x14ac:dyDescent="0.25">
      <c r="E4473" t="s">
        <v>8768</v>
      </c>
      <c r="F4473">
        <v>1834526</v>
      </c>
      <c r="G4473" s="1">
        <v>45382</v>
      </c>
      <c r="H4473" t="s">
        <v>8769</v>
      </c>
      <c r="I4473" t="s">
        <v>57</v>
      </c>
      <c r="J4473" s="1">
        <v>45292</v>
      </c>
      <c r="K4473">
        <v>-59738</v>
      </c>
    </row>
    <row r="4474" spans="5:11" x14ac:dyDescent="0.25">
      <c r="E4474" t="s">
        <v>8770</v>
      </c>
      <c r="F4474">
        <v>1834584</v>
      </c>
      <c r="G4474" s="1">
        <v>45382</v>
      </c>
      <c r="H4474" t="s">
        <v>8771</v>
      </c>
      <c r="I4474" t="s">
        <v>504</v>
      </c>
      <c r="J4474" s="1">
        <v>45292</v>
      </c>
      <c r="K4474">
        <v>5000000</v>
      </c>
    </row>
    <row r="4475" spans="5:11" x14ac:dyDescent="0.25">
      <c r="E4475" t="s">
        <v>10572</v>
      </c>
      <c r="F4475">
        <v>1834622</v>
      </c>
      <c r="G4475" s="1">
        <v>45381</v>
      </c>
      <c r="H4475" t="s">
        <v>8772</v>
      </c>
      <c r="I4475" t="s">
        <v>172</v>
      </c>
      <c r="J4475" s="1">
        <v>45292</v>
      </c>
      <c r="K4475">
        <v>9840000</v>
      </c>
    </row>
    <row r="4476" spans="5:11" x14ac:dyDescent="0.25">
      <c r="E4476" t="s">
        <v>10573</v>
      </c>
      <c r="F4476">
        <v>1834645</v>
      </c>
      <c r="G4476" s="1">
        <v>45382</v>
      </c>
      <c r="H4476" t="s">
        <v>10574</v>
      </c>
      <c r="I4476" t="s">
        <v>36</v>
      </c>
      <c r="J4476" s="1">
        <v>45292</v>
      </c>
      <c r="K4476">
        <v>-2434701</v>
      </c>
    </row>
    <row r="4477" spans="5:11" x14ac:dyDescent="0.25">
      <c r="E4477" t="s">
        <v>8773</v>
      </c>
      <c r="F4477">
        <v>1835022</v>
      </c>
      <c r="G4477" s="1">
        <v>45382</v>
      </c>
      <c r="H4477" t="s">
        <v>8774</v>
      </c>
      <c r="I4477" t="s">
        <v>30</v>
      </c>
      <c r="J4477" s="1">
        <v>45292</v>
      </c>
      <c r="K4477">
        <v>-5051913</v>
      </c>
    </row>
    <row r="4478" spans="5:11" x14ac:dyDescent="0.25">
      <c r="E4478" t="s">
        <v>8775</v>
      </c>
      <c r="F4478">
        <v>1835256</v>
      </c>
      <c r="G4478" s="1">
        <v>45412</v>
      </c>
      <c r="H4478" t="s">
        <v>8776</v>
      </c>
      <c r="I4478" t="s">
        <v>36</v>
      </c>
      <c r="J4478" s="1">
        <v>45323</v>
      </c>
      <c r="K4478">
        <v>13323000</v>
      </c>
    </row>
    <row r="4479" spans="5:11" x14ac:dyDescent="0.25">
      <c r="E4479" t="s">
        <v>8777</v>
      </c>
      <c r="F4479">
        <v>1835378</v>
      </c>
      <c r="G4479" s="1">
        <v>45382</v>
      </c>
      <c r="H4479" t="s">
        <v>8778</v>
      </c>
      <c r="I4479" t="s">
        <v>57</v>
      </c>
      <c r="J4479" s="1">
        <v>45292</v>
      </c>
      <c r="K4479">
        <v>-6234000</v>
      </c>
    </row>
    <row r="4480" spans="5:11" x14ac:dyDescent="0.25">
      <c r="E4480" t="s">
        <v>8779</v>
      </c>
      <c r="F4480">
        <v>1835385</v>
      </c>
      <c r="G4480" s="1">
        <v>45382</v>
      </c>
      <c r="H4480" t="s">
        <v>8780</v>
      </c>
      <c r="I4480" t="s">
        <v>83</v>
      </c>
      <c r="J4480" s="1">
        <v>45292</v>
      </c>
      <c r="K4480">
        <v>-631127</v>
      </c>
    </row>
    <row r="4481" spans="5:11" x14ac:dyDescent="0.25">
      <c r="E4481" t="s">
        <v>8781</v>
      </c>
      <c r="F4481">
        <v>1835416</v>
      </c>
      <c r="G4481" s="1">
        <v>45382</v>
      </c>
      <c r="H4481" t="s">
        <v>8782</v>
      </c>
      <c r="I4481" t="s">
        <v>57</v>
      </c>
      <c r="J4481" s="1">
        <v>45292</v>
      </c>
      <c r="K4481">
        <v>-200218</v>
      </c>
    </row>
    <row r="4482" spans="5:11" x14ac:dyDescent="0.25">
      <c r="E4482" t="s">
        <v>8783</v>
      </c>
      <c r="F4482">
        <v>1835512</v>
      </c>
      <c r="G4482" s="1">
        <v>45382</v>
      </c>
      <c r="H4482" t="s">
        <v>8784</v>
      </c>
      <c r="I4482" t="s">
        <v>33</v>
      </c>
      <c r="J4482" s="1">
        <v>45292</v>
      </c>
      <c r="K4482">
        <v>-53244000</v>
      </c>
    </row>
    <row r="4483" spans="5:11" x14ac:dyDescent="0.25">
      <c r="E4483" t="s">
        <v>8785</v>
      </c>
      <c r="F4483">
        <v>1835579</v>
      </c>
      <c r="G4483" s="1">
        <v>45382</v>
      </c>
      <c r="H4483" t="s">
        <v>8786</v>
      </c>
      <c r="I4483" t="s">
        <v>24</v>
      </c>
      <c r="J4483" s="1">
        <v>45292</v>
      </c>
      <c r="K4483">
        <v>-16146000</v>
      </c>
    </row>
    <row r="4484" spans="5:11" x14ac:dyDescent="0.25">
      <c r="E4484" t="s">
        <v>8787</v>
      </c>
      <c r="F4484">
        <v>1835591</v>
      </c>
      <c r="G4484" s="1">
        <v>45382</v>
      </c>
      <c r="H4484" t="s">
        <v>8788</v>
      </c>
      <c r="I4484" t="s">
        <v>36</v>
      </c>
      <c r="J4484" s="1">
        <v>45292</v>
      </c>
      <c r="K4484">
        <v>-12100000</v>
      </c>
    </row>
    <row r="4485" spans="5:11" x14ac:dyDescent="0.25">
      <c r="E4485" t="s">
        <v>8789</v>
      </c>
      <c r="F4485">
        <v>1835597</v>
      </c>
      <c r="G4485" s="1">
        <v>45382</v>
      </c>
      <c r="H4485" t="s">
        <v>8790</v>
      </c>
      <c r="I4485" t="s">
        <v>24</v>
      </c>
      <c r="J4485" s="1">
        <v>45292</v>
      </c>
      <c r="K4485">
        <v>-18020000</v>
      </c>
    </row>
    <row r="4486" spans="5:11" x14ac:dyDescent="0.25">
      <c r="E4486" t="s">
        <v>8791</v>
      </c>
      <c r="F4486">
        <v>1835632</v>
      </c>
      <c r="G4486" s="1">
        <v>45416</v>
      </c>
      <c r="H4486" t="s">
        <v>8792</v>
      </c>
      <c r="I4486" t="s">
        <v>186</v>
      </c>
      <c r="J4486" s="1">
        <v>45326</v>
      </c>
      <c r="K4486">
        <v>-215600000</v>
      </c>
    </row>
    <row r="4487" spans="5:11" x14ac:dyDescent="0.25">
      <c r="E4487" t="s">
        <v>8793</v>
      </c>
      <c r="F4487">
        <v>1835681</v>
      </c>
      <c r="G4487" s="1">
        <v>45382</v>
      </c>
      <c r="H4487" t="s">
        <v>8794</v>
      </c>
      <c r="I4487" t="s">
        <v>36</v>
      </c>
      <c r="J4487" s="1">
        <v>45292</v>
      </c>
      <c r="K4487">
        <v>-19558000</v>
      </c>
    </row>
    <row r="4488" spans="5:11" x14ac:dyDescent="0.25">
      <c r="E4488" t="s">
        <v>8795</v>
      </c>
      <c r="F4488">
        <v>1835830</v>
      </c>
      <c r="G4488" s="1">
        <v>45382</v>
      </c>
      <c r="H4488" t="s">
        <v>8796</v>
      </c>
      <c r="I4488" t="s">
        <v>24</v>
      </c>
      <c r="J4488" s="1">
        <v>45292</v>
      </c>
      <c r="K4488">
        <v>-12882000</v>
      </c>
    </row>
    <row r="4489" spans="5:11" x14ac:dyDescent="0.25">
      <c r="E4489" t="s">
        <v>8797</v>
      </c>
      <c r="F4489">
        <v>1835856</v>
      </c>
      <c r="G4489" s="1">
        <v>45382</v>
      </c>
      <c r="H4489" t="s">
        <v>8798</v>
      </c>
      <c r="I4489" t="s">
        <v>57</v>
      </c>
      <c r="J4489" s="1">
        <v>45292</v>
      </c>
      <c r="K4489">
        <v>-51492000</v>
      </c>
    </row>
    <row r="4490" spans="5:11" x14ac:dyDescent="0.25">
      <c r="E4490" t="s">
        <v>8799</v>
      </c>
      <c r="F4490">
        <v>1835972</v>
      </c>
      <c r="G4490" s="1">
        <v>45382</v>
      </c>
      <c r="H4490" t="s">
        <v>8800</v>
      </c>
      <c r="I4490" t="s">
        <v>299</v>
      </c>
      <c r="J4490" s="1">
        <v>45292</v>
      </c>
      <c r="K4490">
        <v>-4236183</v>
      </c>
    </row>
    <row r="4491" spans="5:11" x14ac:dyDescent="0.25">
      <c r="E4491" t="s">
        <v>8801</v>
      </c>
      <c r="F4491">
        <v>1836100</v>
      </c>
      <c r="G4491" s="1">
        <v>45382</v>
      </c>
      <c r="H4491" t="s">
        <v>8802</v>
      </c>
      <c r="I4491" t="s">
        <v>30</v>
      </c>
      <c r="J4491" s="1">
        <v>45292</v>
      </c>
      <c r="K4491">
        <v>-593058</v>
      </c>
    </row>
    <row r="4492" spans="5:11" x14ac:dyDescent="0.25">
      <c r="E4492" t="s">
        <v>8803</v>
      </c>
      <c r="F4492">
        <v>1836176</v>
      </c>
      <c r="G4492" s="1">
        <v>45382</v>
      </c>
      <c r="H4492" t="s">
        <v>8804</v>
      </c>
      <c r="I4492" t="s">
        <v>83</v>
      </c>
      <c r="J4492" s="1">
        <v>45292</v>
      </c>
      <c r="K4492">
        <v>-7359000</v>
      </c>
    </row>
    <row r="4493" spans="5:11" x14ac:dyDescent="0.25">
      <c r="E4493" t="s">
        <v>8805</v>
      </c>
      <c r="F4493">
        <v>1836295</v>
      </c>
      <c r="G4493" s="1">
        <v>45382</v>
      </c>
      <c r="H4493" t="s">
        <v>8806</v>
      </c>
      <c r="I4493" t="s">
        <v>36</v>
      </c>
      <c r="J4493" s="1">
        <v>45292</v>
      </c>
      <c r="K4493">
        <v>-2145876</v>
      </c>
    </row>
    <row r="4494" spans="5:11" x14ac:dyDescent="0.25">
      <c r="E4494" t="s">
        <v>10575</v>
      </c>
      <c r="F4494">
        <v>1836833</v>
      </c>
      <c r="G4494" s="1">
        <v>45412</v>
      </c>
      <c r="H4494" t="s">
        <v>8807</v>
      </c>
      <c r="I4494" t="s">
        <v>36</v>
      </c>
      <c r="J4494" s="1">
        <v>45323</v>
      </c>
      <c r="K4494">
        <v>-29293000</v>
      </c>
    </row>
    <row r="4495" spans="5:11" x14ac:dyDescent="0.25">
      <c r="E4495" t="s">
        <v>8808</v>
      </c>
      <c r="F4495">
        <v>1836875</v>
      </c>
      <c r="G4495" s="1">
        <v>45382</v>
      </c>
      <c r="H4495" t="s">
        <v>8809</v>
      </c>
      <c r="I4495" t="s">
        <v>36</v>
      </c>
      <c r="J4495" s="1">
        <v>45292</v>
      </c>
      <c r="K4495">
        <v>-6714438</v>
      </c>
    </row>
    <row r="4496" spans="5:11" x14ac:dyDescent="0.25">
      <c r="E4496" t="s">
        <v>8810</v>
      </c>
      <c r="F4496">
        <v>1836981</v>
      </c>
      <c r="G4496" s="1">
        <v>45382</v>
      </c>
      <c r="H4496" t="s">
        <v>8811</v>
      </c>
      <c r="I4496" t="s">
        <v>299</v>
      </c>
      <c r="J4496" s="1">
        <v>45292</v>
      </c>
      <c r="K4496">
        <v>-125147000</v>
      </c>
    </row>
    <row r="4497" spans="5:11" x14ac:dyDescent="0.25">
      <c r="E4497" t="s">
        <v>8812</v>
      </c>
      <c r="F4497">
        <v>1837014</v>
      </c>
      <c r="G4497" s="1">
        <v>45382</v>
      </c>
      <c r="H4497" t="s">
        <v>8813</v>
      </c>
      <c r="I4497" t="s">
        <v>113</v>
      </c>
      <c r="J4497" s="1">
        <v>45292</v>
      </c>
      <c r="K4497">
        <v>-7692000</v>
      </c>
    </row>
    <row r="4498" spans="5:11" x14ac:dyDescent="0.25">
      <c r="E4498" t="s">
        <v>8814</v>
      </c>
      <c r="F4498">
        <v>1837240</v>
      </c>
      <c r="G4498" s="1">
        <v>45381</v>
      </c>
      <c r="H4498" t="s">
        <v>8815</v>
      </c>
      <c r="I4498" t="s">
        <v>24</v>
      </c>
      <c r="J4498" s="1">
        <v>45291</v>
      </c>
      <c r="K4498">
        <v>-6580000</v>
      </c>
    </row>
    <row r="4499" spans="5:11" x14ac:dyDescent="0.25">
      <c r="E4499" t="s">
        <v>8816</v>
      </c>
      <c r="F4499">
        <v>1837532</v>
      </c>
      <c r="G4499" s="1">
        <v>45382</v>
      </c>
      <c r="H4499" t="s">
        <v>8817</v>
      </c>
      <c r="I4499" t="s">
        <v>57</v>
      </c>
      <c r="J4499" s="1">
        <v>45292</v>
      </c>
      <c r="K4499">
        <v>165772000</v>
      </c>
    </row>
    <row r="4500" spans="5:11" x14ac:dyDescent="0.25">
      <c r="E4500" t="s">
        <v>8818</v>
      </c>
      <c r="F4500">
        <v>1837607</v>
      </c>
      <c r="G4500" s="1">
        <v>45382</v>
      </c>
      <c r="H4500" t="s">
        <v>8819</v>
      </c>
      <c r="I4500" t="s">
        <v>36</v>
      </c>
      <c r="J4500" s="1">
        <v>45292</v>
      </c>
      <c r="K4500">
        <v>-118018000</v>
      </c>
    </row>
    <row r="4501" spans="5:11" x14ac:dyDescent="0.25">
      <c r="E4501" t="s">
        <v>8820</v>
      </c>
      <c r="F4501">
        <v>1837671</v>
      </c>
      <c r="G4501" s="1">
        <v>45382</v>
      </c>
      <c r="H4501" t="s">
        <v>8821</v>
      </c>
      <c r="I4501" t="s">
        <v>46</v>
      </c>
      <c r="J4501" s="1">
        <v>45292</v>
      </c>
      <c r="K4501">
        <v>17767000</v>
      </c>
    </row>
    <row r="4502" spans="5:11" x14ac:dyDescent="0.25">
      <c r="E4502" t="s">
        <v>8822</v>
      </c>
      <c r="F4502">
        <v>1837686</v>
      </c>
      <c r="G4502" s="1">
        <v>45382</v>
      </c>
      <c r="H4502" t="s">
        <v>8823</v>
      </c>
      <c r="I4502" t="s">
        <v>57</v>
      </c>
      <c r="J4502" s="1">
        <v>45292</v>
      </c>
      <c r="K4502">
        <v>6073000</v>
      </c>
    </row>
    <row r="4503" spans="5:11" x14ac:dyDescent="0.25">
      <c r="E4503" t="s">
        <v>10576</v>
      </c>
      <c r="F4503">
        <v>1837774</v>
      </c>
      <c r="G4503" s="1">
        <v>45382</v>
      </c>
      <c r="H4503" t="s">
        <v>10577</v>
      </c>
      <c r="I4503" t="s">
        <v>33</v>
      </c>
      <c r="J4503" s="1">
        <v>45292</v>
      </c>
      <c r="K4503">
        <v>-3887</v>
      </c>
    </row>
    <row r="4504" spans="5:11" x14ac:dyDescent="0.25">
      <c r="E4504" t="s">
        <v>8824</v>
      </c>
      <c r="F4504">
        <v>1837929</v>
      </c>
      <c r="G4504" s="1">
        <v>45382</v>
      </c>
      <c r="H4504" t="s">
        <v>8825</v>
      </c>
      <c r="I4504" t="s">
        <v>33</v>
      </c>
      <c r="J4504" s="1">
        <v>45292</v>
      </c>
      <c r="K4504">
        <v>199623</v>
      </c>
    </row>
    <row r="4505" spans="5:11" x14ac:dyDescent="0.25">
      <c r="E4505" t="s">
        <v>8826</v>
      </c>
      <c r="F4505">
        <v>1838126</v>
      </c>
      <c r="G4505" s="1">
        <v>45382</v>
      </c>
      <c r="H4505" t="s">
        <v>8827</v>
      </c>
      <c r="I4505" t="s">
        <v>57</v>
      </c>
      <c r="J4505" s="1">
        <v>45292</v>
      </c>
      <c r="K4505">
        <v>215650000</v>
      </c>
    </row>
    <row r="4506" spans="5:11" x14ac:dyDescent="0.25">
      <c r="E4506" t="s">
        <v>8828</v>
      </c>
      <c r="F4506">
        <v>1838128</v>
      </c>
      <c r="G4506" s="1">
        <v>45382</v>
      </c>
      <c r="H4506" t="s">
        <v>8829</v>
      </c>
      <c r="I4506" t="s">
        <v>36</v>
      </c>
      <c r="J4506" s="1">
        <v>45292</v>
      </c>
      <c r="K4506">
        <v>-2889000</v>
      </c>
    </row>
    <row r="4507" spans="5:11" x14ac:dyDescent="0.25">
      <c r="E4507" t="s">
        <v>8830</v>
      </c>
      <c r="F4507">
        <v>1838162</v>
      </c>
      <c r="G4507" s="1">
        <v>45382</v>
      </c>
      <c r="H4507" t="s">
        <v>8831</v>
      </c>
      <c r="I4507" t="s">
        <v>57</v>
      </c>
      <c r="J4507" s="1">
        <v>45292</v>
      </c>
      <c r="K4507">
        <v>-946627</v>
      </c>
    </row>
    <row r="4508" spans="5:11" x14ac:dyDescent="0.25">
      <c r="E4508" t="s">
        <v>8832</v>
      </c>
      <c r="F4508">
        <v>1838163</v>
      </c>
      <c r="G4508" s="1">
        <v>45382</v>
      </c>
      <c r="H4508" t="s">
        <v>8833</v>
      </c>
      <c r="I4508" t="s">
        <v>2138</v>
      </c>
      <c r="J4508" s="1">
        <v>45292</v>
      </c>
      <c r="K4508">
        <v>-6884409</v>
      </c>
    </row>
    <row r="4509" spans="5:11" x14ac:dyDescent="0.25">
      <c r="E4509" t="s">
        <v>8834</v>
      </c>
      <c r="F4509">
        <v>1838293</v>
      </c>
      <c r="G4509" s="1">
        <v>45382</v>
      </c>
      <c r="H4509" t="s">
        <v>8835</v>
      </c>
      <c r="I4509" t="s">
        <v>1245</v>
      </c>
      <c r="J4509" s="1">
        <v>45292</v>
      </c>
      <c r="K4509">
        <v>-2431053</v>
      </c>
    </row>
    <row r="4510" spans="5:11" x14ac:dyDescent="0.25">
      <c r="E4510" t="s">
        <v>8836</v>
      </c>
      <c r="F4510">
        <v>1838359</v>
      </c>
      <c r="G4510" s="1">
        <v>45382</v>
      </c>
      <c r="H4510" t="s">
        <v>8837</v>
      </c>
      <c r="I4510" t="s">
        <v>36</v>
      </c>
      <c r="J4510" s="1">
        <v>45292</v>
      </c>
      <c r="K4510">
        <v>-20773000</v>
      </c>
    </row>
    <row r="4511" spans="5:11" x14ac:dyDescent="0.25">
      <c r="E4511" t="s">
        <v>8838</v>
      </c>
      <c r="F4511">
        <v>1838513</v>
      </c>
      <c r="G4511" s="1">
        <v>45382</v>
      </c>
      <c r="H4511" t="s">
        <v>8839</v>
      </c>
      <c r="I4511" t="s">
        <v>57</v>
      </c>
      <c r="J4511" s="1">
        <v>45292</v>
      </c>
      <c r="K4511">
        <v>-673199</v>
      </c>
    </row>
    <row r="4512" spans="5:11" x14ac:dyDescent="0.25">
      <c r="E4512" t="s">
        <v>8840</v>
      </c>
      <c r="F4512">
        <v>1838615</v>
      </c>
      <c r="G4512" s="1">
        <v>45382</v>
      </c>
      <c r="H4512" t="s">
        <v>8841</v>
      </c>
      <c r="I4512" t="s">
        <v>57</v>
      </c>
      <c r="J4512" s="1">
        <v>45292</v>
      </c>
      <c r="K4512">
        <v>29349000</v>
      </c>
    </row>
    <row r="4513" spans="5:11" x14ac:dyDescent="0.25">
      <c r="E4513" t="s">
        <v>8842</v>
      </c>
      <c r="F4513">
        <v>1838672</v>
      </c>
      <c r="G4513" s="1">
        <v>45382</v>
      </c>
      <c r="H4513" t="s">
        <v>8843</v>
      </c>
      <c r="I4513" t="s">
        <v>57</v>
      </c>
      <c r="J4513" s="1">
        <v>45292</v>
      </c>
      <c r="K4513">
        <v>-9852000</v>
      </c>
    </row>
    <row r="4514" spans="5:11" x14ac:dyDescent="0.25">
      <c r="E4514" t="s">
        <v>8844</v>
      </c>
      <c r="F4514">
        <v>1838821</v>
      </c>
      <c r="G4514" s="1">
        <v>45382</v>
      </c>
      <c r="H4514" t="s">
        <v>8845</v>
      </c>
      <c r="I4514" t="s">
        <v>57</v>
      </c>
      <c r="J4514" s="1">
        <v>45292</v>
      </c>
      <c r="K4514">
        <v>-245847</v>
      </c>
    </row>
    <row r="4515" spans="5:11" x14ac:dyDescent="0.25">
      <c r="E4515" t="s">
        <v>8846</v>
      </c>
      <c r="F4515">
        <v>1838876</v>
      </c>
      <c r="G4515" s="1">
        <v>45382</v>
      </c>
      <c r="H4515" t="s">
        <v>8847</v>
      </c>
      <c r="I4515" t="s">
        <v>92</v>
      </c>
      <c r="J4515" s="1">
        <v>45292</v>
      </c>
      <c r="K4515">
        <v>-429942</v>
      </c>
    </row>
    <row r="4516" spans="5:11" x14ac:dyDescent="0.25">
      <c r="E4516" t="s">
        <v>8848</v>
      </c>
      <c r="F4516">
        <v>1838987</v>
      </c>
      <c r="G4516" s="1">
        <v>45382</v>
      </c>
      <c r="H4516" t="s">
        <v>8849</v>
      </c>
      <c r="I4516" t="s">
        <v>36</v>
      </c>
      <c r="J4516" s="1">
        <v>45292</v>
      </c>
      <c r="K4516">
        <v>-9588000</v>
      </c>
    </row>
    <row r="4517" spans="5:11" x14ac:dyDescent="0.25">
      <c r="E4517" t="s">
        <v>8850</v>
      </c>
      <c r="F4517">
        <v>1839133</v>
      </c>
      <c r="G4517" s="1">
        <v>45382</v>
      </c>
      <c r="H4517" t="s">
        <v>8851</v>
      </c>
      <c r="I4517" t="s">
        <v>1511</v>
      </c>
      <c r="J4517" s="1">
        <v>45292</v>
      </c>
      <c r="K4517">
        <v>-657000</v>
      </c>
    </row>
    <row r="4518" spans="5:11" x14ac:dyDescent="0.25">
      <c r="E4518" t="s">
        <v>8852</v>
      </c>
      <c r="F4518">
        <v>1839285</v>
      </c>
      <c r="G4518" s="1">
        <v>45382</v>
      </c>
      <c r="H4518" t="s">
        <v>8853</v>
      </c>
      <c r="I4518" t="s">
        <v>36</v>
      </c>
      <c r="J4518" s="1">
        <v>45292</v>
      </c>
      <c r="K4518">
        <v>-1862000</v>
      </c>
    </row>
    <row r="4519" spans="5:11" x14ac:dyDescent="0.25">
      <c r="E4519" t="s">
        <v>8854</v>
      </c>
      <c r="F4519">
        <v>1839341</v>
      </c>
      <c r="G4519" s="1">
        <v>45382</v>
      </c>
      <c r="H4519" t="s">
        <v>8855</v>
      </c>
      <c r="I4519" t="s">
        <v>186</v>
      </c>
      <c r="J4519" s="1">
        <v>45292</v>
      </c>
      <c r="K4519">
        <v>210691000</v>
      </c>
    </row>
    <row r="4520" spans="5:11" x14ac:dyDescent="0.25">
      <c r="E4520" t="s">
        <v>8856</v>
      </c>
      <c r="F4520">
        <v>1839439</v>
      </c>
      <c r="G4520" s="1">
        <v>45382</v>
      </c>
      <c r="H4520" t="s">
        <v>8857</v>
      </c>
      <c r="I4520" t="s">
        <v>60</v>
      </c>
      <c r="J4520" s="1">
        <v>45292</v>
      </c>
      <c r="K4520">
        <v>6193000</v>
      </c>
    </row>
    <row r="4521" spans="5:11" x14ac:dyDescent="0.25">
      <c r="E4521" t="s">
        <v>8858</v>
      </c>
      <c r="F4521">
        <v>1839519</v>
      </c>
      <c r="G4521" s="1">
        <v>45382</v>
      </c>
      <c r="H4521" t="s">
        <v>8859</v>
      </c>
      <c r="I4521" t="s">
        <v>57</v>
      </c>
      <c r="J4521" s="1">
        <v>45292</v>
      </c>
      <c r="K4521">
        <v>-4260472</v>
      </c>
    </row>
    <row r="4522" spans="5:11" x14ac:dyDescent="0.25">
      <c r="E4522" t="s">
        <v>8860</v>
      </c>
      <c r="F4522">
        <v>1839530</v>
      </c>
      <c r="G4522" s="1">
        <v>45382</v>
      </c>
      <c r="H4522" t="s">
        <v>8861</v>
      </c>
      <c r="I4522" t="s">
        <v>30</v>
      </c>
      <c r="J4522" s="1">
        <v>45292</v>
      </c>
      <c r="K4522">
        <v>-2208000</v>
      </c>
    </row>
    <row r="4523" spans="5:11" x14ac:dyDescent="0.25">
      <c r="E4523" t="s">
        <v>8862</v>
      </c>
      <c r="F4523">
        <v>1839608</v>
      </c>
      <c r="G4523" s="1">
        <v>45382</v>
      </c>
      <c r="H4523" t="s">
        <v>8863</v>
      </c>
      <c r="I4523" t="s">
        <v>36</v>
      </c>
      <c r="J4523" s="1">
        <v>45292</v>
      </c>
      <c r="K4523">
        <v>-30965000</v>
      </c>
    </row>
    <row r="4524" spans="5:11" x14ac:dyDescent="0.25">
      <c r="E4524" t="s">
        <v>8864</v>
      </c>
      <c r="F4524">
        <v>1839839</v>
      </c>
      <c r="G4524" s="1">
        <v>45381</v>
      </c>
      <c r="H4524" t="s">
        <v>8865</v>
      </c>
      <c r="I4524" t="s">
        <v>64</v>
      </c>
      <c r="J4524" s="1">
        <v>45291</v>
      </c>
      <c r="K4524">
        <v>30700000</v>
      </c>
    </row>
    <row r="4525" spans="5:11" x14ac:dyDescent="0.25">
      <c r="E4525" t="s">
        <v>8866</v>
      </c>
      <c r="F4525">
        <v>1839998</v>
      </c>
      <c r="G4525" s="1">
        <v>45382</v>
      </c>
      <c r="H4525" t="s">
        <v>8867</v>
      </c>
      <c r="I4525" t="s">
        <v>33</v>
      </c>
      <c r="J4525" s="1">
        <v>45292</v>
      </c>
      <c r="K4525">
        <v>-7799000</v>
      </c>
    </row>
    <row r="4526" spans="5:11" x14ac:dyDescent="0.25">
      <c r="E4526" t="s">
        <v>8868</v>
      </c>
      <c r="F4526">
        <v>1840229</v>
      </c>
      <c r="G4526" s="1">
        <v>45382</v>
      </c>
      <c r="H4526" t="s">
        <v>8869</v>
      </c>
      <c r="I4526" t="s">
        <v>57</v>
      </c>
      <c r="J4526" s="1">
        <v>45292</v>
      </c>
      <c r="K4526">
        <v>-3813295</v>
      </c>
    </row>
    <row r="4527" spans="5:11" x14ac:dyDescent="0.25">
      <c r="E4527" t="s">
        <v>8870</v>
      </c>
      <c r="F4527">
        <v>1840233</v>
      </c>
      <c r="G4527" s="1">
        <v>45382</v>
      </c>
      <c r="H4527" t="s">
        <v>8871</v>
      </c>
      <c r="I4527" t="s">
        <v>24</v>
      </c>
      <c r="J4527" s="1">
        <v>45292</v>
      </c>
      <c r="K4527">
        <v>-17203000</v>
      </c>
    </row>
    <row r="4528" spans="5:11" x14ac:dyDescent="0.25">
      <c r="E4528" t="s">
        <v>8872</v>
      </c>
      <c r="F4528">
        <v>1840292</v>
      </c>
      <c r="G4528" s="1">
        <v>45382</v>
      </c>
      <c r="H4528" t="s">
        <v>8873</v>
      </c>
      <c r="I4528" t="s">
        <v>36</v>
      </c>
      <c r="J4528" s="1">
        <v>45292</v>
      </c>
      <c r="K4528">
        <v>-15225000</v>
      </c>
    </row>
    <row r="4529" spans="5:11" x14ac:dyDescent="0.25">
      <c r="E4529" t="s">
        <v>8874</v>
      </c>
      <c r="F4529">
        <v>1840317</v>
      </c>
      <c r="G4529" s="1">
        <v>45382</v>
      </c>
      <c r="H4529" t="s">
        <v>8875</v>
      </c>
      <c r="I4529" t="s">
        <v>36</v>
      </c>
      <c r="J4529" s="1">
        <v>45292</v>
      </c>
      <c r="K4529">
        <v>-4207029</v>
      </c>
    </row>
    <row r="4530" spans="5:11" x14ac:dyDescent="0.25">
      <c r="E4530" t="s">
        <v>8876</v>
      </c>
      <c r="F4530">
        <v>1840425</v>
      </c>
      <c r="G4530" s="1">
        <v>45382</v>
      </c>
      <c r="H4530" t="s">
        <v>8877</v>
      </c>
      <c r="I4530" t="s">
        <v>504</v>
      </c>
      <c r="J4530" s="1">
        <v>45292</v>
      </c>
      <c r="K4530">
        <v>-60430</v>
      </c>
    </row>
    <row r="4531" spans="5:11" x14ac:dyDescent="0.25">
      <c r="E4531" t="s">
        <v>10578</v>
      </c>
      <c r="F4531">
        <v>1840439</v>
      </c>
      <c r="G4531" s="1">
        <v>45382</v>
      </c>
      <c r="H4531" t="s">
        <v>8878</v>
      </c>
      <c r="I4531" t="s">
        <v>36</v>
      </c>
      <c r="J4531" s="1">
        <v>45292</v>
      </c>
      <c r="K4531">
        <v>-39061000</v>
      </c>
    </row>
    <row r="4532" spans="5:11" x14ac:dyDescent="0.25">
      <c r="E4532" t="s">
        <v>8879</v>
      </c>
      <c r="F4532">
        <v>1840502</v>
      </c>
      <c r="G4532" s="1">
        <v>45382</v>
      </c>
      <c r="H4532" t="s">
        <v>8880</v>
      </c>
      <c r="I4532" t="s">
        <v>57</v>
      </c>
      <c r="J4532" s="1">
        <v>45292</v>
      </c>
      <c r="K4532">
        <v>-26158000</v>
      </c>
    </row>
    <row r="4533" spans="5:11" x14ac:dyDescent="0.25">
      <c r="E4533" t="s">
        <v>8881</v>
      </c>
      <c r="F4533">
        <v>1840563</v>
      </c>
      <c r="G4533" s="1">
        <v>45382</v>
      </c>
      <c r="H4533" t="s">
        <v>8882</v>
      </c>
      <c r="I4533" t="s">
        <v>36</v>
      </c>
      <c r="J4533" s="1">
        <v>45292</v>
      </c>
      <c r="K4533">
        <v>-1397250</v>
      </c>
    </row>
    <row r="4534" spans="5:11" x14ac:dyDescent="0.25">
      <c r="E4534" t="s">
        <v>8883</v>
      </c>
      <c r="F4534">
        <v>1840572</v>
      </c>
      <c r="G4534" s="1">
        <v>45382</v>
      </c>
      <c r="H4534" t="s">
        <v>8884</v>
      </c>
      <c r="I4534" t="s">
        <v>123</v>
      </c>
      <c r="J4534" s="1">
        <v>45292</v>
      </c>
      <c r="K4534">
        <v>23846000</v>
      </c>
    </row>
    <row r="4535" spans="5:11" x14ac:dyDescent="0.25">
      <c r="E4535" t="s">
        <v>8885</v>
      </c>
      <c r="F4535">
        <v>1840574</v>
      </c>
      <c r="G4535" s="1">
        <v>45382</v>
      </c>
      <c r="H4535" t="s">
        <v>8886</v>
      </c>
      <c r="I4535" t="s">
        <v>24</v>
      </c>
      <c r="J4535" s="1">
        <v>45292</v>
      </c>
      <c r="K4535">
        <v>-48736000</v>
      </c>
    </row>
    <row r="4536" spans="5:11" x14ac:dyDescent="0.25">
      <c r="E4536" t="s">
        <v>8887</v>
      </c>
      <c r="F4536">
        <v>1840780</v>
      </c>
      <c r="G4536" s="1">
        <v>45382</v>
      </c>
      <c r="H4536" t="s">
        <v>8888</v>
      </c>
      <c r="I4536" t="s">
        <v>772</v>
      </c>
      <c r="J4536" s="1">
        <v>45292</v>
      </c>
      <c r="K4536">
        <v>-24050000</v>
      </c>
    </row>
    <row r="4537" spans="5:11" x14ac:dyDescent="0.25">
      <c r="E4537" t="s">
        <v>8889</v>
      </c>
      <c r="F4537">
        <v>1840856</v>
      </c>
      <c r="G4537" s="1">
        <v>45382</v>
      </c>
      <c r="H4537" t="s">
        <v>8890</v>
      </c>
      <c r="I4537" t="s">
        <v>36</v>
      </c>
      <c r="J4537" s="1">
        <v>45292</v>
      </c>
      <c r="K4537">
        <v>-33009000</v>
      </c>
    </row>
    <row r="4538" spans="5:11" x14ac:dyDescent="0.25">
      <c r="E4538" t="s">
        <v>8891</v>
      </c>
      <c r="F4538">
        <v>1840877</v>
      </c>
      <c r="G4538" s="1">
        <v>45382</v>
      </c>
      <c r="H4538" t="s">
        <v>8892</v>
      </c>
      <c r="I4538" t="s">
        <v>213</v>
      </c>
      <c r="J4538" s="1">
        <v>45292</v>
      </c>
      <c r="K4538">
        <v>-6270000</v>
      </c>
    </row>
    <row r="4539" spans="5:11" x14ac:dyDescent="0.25">
      <c r="E4539" t="s">
        <v>8893</v>
      </c>
      <c r="F4539">
        <v>1840904</v>
      </c>
      <c r="G4539" s="1">
        <v>45382</v>
      </c>
      <c r="H4539" t="s">
        <v>8894</v>
      </c>
      <c r="I4539" t="s">
        <v>8514</v>
      </c>
      <c r="J4539" s="1">
        <v>45292</v>
      </c>
      <c r="K4539">
        <v>-26713000</v>
      </c>
    </row>
    <row r="4540" spans="5:11" x14ac:dyDescent="0.25">
      <c r="E4540" t="s">
        <v>8895</v>
      </c>
      <c r="F4540">
        <v>1841125</v>
      </c>
      <c r="G4540" s="1">
        <v>45382</v>
      </c>
      <c r="H4540" t="s">
        <v>8896</v>
      </c>
      <c r="I4540" t="s">
        <v>57</v>
      </c>
      <c r="J4540" s="1">
        <v>45292</v>
      </c>
      <c r="K4540">
        <v>-1213313</v>
      </c>
    </row>
    <row r="4541" spans="5:11" x14ac:dyDescent="0.25">
      <c r="E4541" t="s">
        <v>8897</v>
      </c>
      <c r="F4541">
        <v>1841156</v>
      </c>
      <c r="G4541" s="1">
        <v>45382</v>
      </c>
      <c r="H4541" t="s">
        <v>8898</v>
      </c>
      <c r="I4541" t="s">
        <v>172</v>
      </c>
      <c r="J4541" s="1">
        <v>45292</v>
      </c>
      <c r="K4541">
        <v>7226000</v>
      </c>
    </row>
    <row r="4542" spans="5:11" x14ac:dyDescent="0.25">
      <c r="E4542" t="s">
        <v>8899</v>
      </c>
      <c r="F4542">
        <v>1841175</v>
      </c>
      <c r="G4542" s="1">
        <v>45382</v>
      </c>
      <c r="H4542" t="s">
        <v>8900</v>
      </c>
      <c r="I4542" t="s">
        <v>69</v>
      </c>
      <c r="J4542" s="1">
        <v>45292</v>
      </c>
      <c r="K4542">
        <v>90673839</v>
      </c>
    </row>
    <row r="4543" spans="5:11" x14ac:dyDescent="0.25">
      <c r="E4543" t="s">
        <v>8901</v>
      </c>
      <c r="F4543">
        <v>1841330</v>
      </c>
      <c r="G4543" s="1">
        <v>45382</v>
      </c>
      <c r="H4543" t="s">
        <v>8902</v>
      </c>
      <c r="I4543" t="s">
        <v>33</v>
      </c>
      <c r="J4543" s="1">
        <v>45292</v>
      </c>
      <c r="K4543">
        <v>-3860840</v>
      </c>
    </row>
    <row r="4544" spans="5:11" x14ac:dyDescent="0.25">
      <c r="E4544" t="s">
        <v>8903</v>
      </c>
      <c r="F4544">
        <v>1841387</v>
      </c>
      <c r="G4544" s="1">
        <v>45382</v>
      </c>
      <c r="H4544" t="s">
        <v>8904</v>
      </c>
      <c r="I4544" t="s">
        <v>24</v>
      </c>
      <c r="J4544" s="1">
        <v>45292</v>
      </c>
      <c r="K4544">
        <v>-8221000</v>
      </c>
    </row>
    <row r="4545" spans="5:11" x14ac:dyDescent="0.25">
      <c r="E4545" t="s">
        <v>8905</v>
      </c>
      <c r="F4545">
        <v>1841408</v>
      </c>
      <c r="G4545" s="1">
        <v>45382</v>
      </c>
      <c r="H4545" t="s">
        <v>8906</v>
      </c>
      <c r="I4545" t="s">
        <v>36</v>
      </c>
      <c r="J4545" s="1">
        <v>45292</v>
      </c>
      <c r="K4545">
        <v>34243000</v>
      </c>
    </row>
    <row r="4546" spans="5:11" x14ac:dyDescent="0.25">
      <c r="E4546" t="s">
        <v>8907</v>
      </c>
      <c r="F4546">
        <v>1841425</v>
      </c>
      <c r="G4546" s="1">
        <v>45382</v>
      </c>
      <c r="H4546" t="s">
        <v>8908</v>
      </c>
      <c r="I4546" t="s">
        <v>30</v>
      </c>
      <c r="J4546" s="1">
        <v>45292</v>
      </c>
      <c r="K4546">
        <v>-772371</v>
      </c>
    </row>
    <row r="4547" spans="5:11" x14ac:dyDescent="0.25">
      <c r="E4547" t="s">
        <v>8909</v>
      </c>
      <c r="F4547">
        <v>1841514</v>
      </c>
      <c r="G4547" s="1">
        <v>45382</v>
      </c>
      <c r="H4547" t="s">
        <v>8910</v>
      </c>
      <c r="I4547" t="s">
        <v>33</v>
      </c>
      <c r="J4547" s="1">
        <v>45292</v>
      </c>
      <c r="K4547">
        <v>11483000</v>
      </c>
    </row>
    <row r="4548" spans="5:11" x14ac:dyDescent="0.25">
      <c r="E4548" t="s">
        <v>8911</v>
      </c>
      <c r="F4548">
        <v>1841761</v>
      </c>
      <c r="G4548" s="1">
        <v>45382</v>
      </c>
      <c r="H4548" t="s">
        <v>8912</v>
      </c>
      <c r="I4548" t="s">
        <v>36</v>
      </c>
      <c r="J4548" s="1">
        <v>45292</v>
      </c>
      <c r="K4548">
        <v>-3391000</v>
      </c>
    </row>
    <row r="4549" spans="5:11" x14ac:dyDescent="0.25">
      <c r="E4549" t="s">
        <v>8913</v>
      </c>
      <c r="F4549">
        <v>1841804</v>
      </c>
      <c r="G4549" s="1">
        <v>45382</v>
      </c>
      <c r="H4549" t="s">
        <v>8914</v>
      </c>
      <c r="I4549" t="s">
        <v>406</v>
      </c>
      <c r="J4549" s="1">
        <v>45292</v>
      </c>
      <c r="K4549">
        <v>-21125000</v>
      </c>
    </row>
    <row r="4550" spans="5:11" x14ac:dyDescent="0.25">
      <c r="E4550" t="s">
        <v>8915</v>
      </c>
      <c r="F4550">
        <v>1841925</v>
      </c>
      <c r="G4550" s="1">
        <v>45382</v>
      </c>
      <c r="H4550" t="s">
        <v>8916</v>
      </c>
      <c r="I4550" t="s">
        <v>36</v>
      </c>
      <c r="J4550" s="1">
        <v>45292</v>
      </c>
      <c r="K4550">
        <v>-31179000</v>
      </c>
    </row>
    <row r="4551" spans="5:11" x14ac:dyDescent="0.25">
      <c r="E4551" t="s">
        <v>8917</v>
      </c>
      <c r="F4551">
        <v>1841968</v>
      </c>
      <c r="G4551" s="1">
        <v>45382</v>
      </c>
      <c r="H4551" t="s">
        <v>8918</v>
      </c>
      <c r="I4551" t="s">
        <v>30</v>
      </c>
      <c r="J4551" s="1">
        <v>45292</v>
      </c>
      <c r="K4551">
        <v>5021000</v>
      </c>
    </row>
    <row r="4552" spans="5:11" x14ac:dyDescent="0.25">
      <c r="E4552" t="s">
        <v>8919</v>
      </c>
      <c r="F4552">
        <v>1842022</v>
      </c>
      <c r="G4552" s="1">
        <v>45382</v>
      </c>
      <c r="H4552" t="s">
        <v>8920</v>
      </c>
      <c r="I4552" t="s">
        <v>329</v>
      </c>
      <c r="J4552" s="1">
        <v>45292</v>
      </c>
      <c r="K4552">
        <v>97000000</v>
      </c>
    </row>
    <row r="4553" spans="5:11" x14ac:dyDescent="0.25">
      <c r="E4553" t="s">
        <v>8921</v>
      </c>
      <c r="F4553">
        <v>1842356</v>
      </c>
      <c r="G4553" s="1">
        <v>45382</v>
      </c>
      <c r="H4553" t="s">
        <v>8922</v>
      </c>
      <c r="I4553" t="s">
        <v>36</v>
      </c>
      <c r="J4553" s="1">
        <v>45292</v>
      </c>
      <c r="K4553">
        <v>-4241000</v>
      </c>
    </row>
    <row r="4554" spans="5:11" x14ac:dyDescent="0.25">
      <c r="E4554" t="s">
        <v>8923</v>
      </c>
      <c r="F4554">
        <v>1842556</v>
      </c>
      <c r="G4554" s="1">
        <v>45382</v>
      </c>
      <c r="H4554" t="s">
        <v>8924</v>
      </c>
      <c r="I4554" t="s">
        <v>30</v>
      </c>
      <c r="J4554" s="1">
        <v>45292</v>
      </c>
      <c r="K4554">
        <v>-5286852</v>
      </c>
    </row>
    <row r="4555" spans="5:11" x14ac:dyDescent="0.25">
      <c r="E4555" t="s">
        <v>8925</v>
      </c>
      <c r="F4555">
        <v>1842563</v>
      </c>
      <c r="G4555" s="1">
        <v>45382</v>
      </c>
      <c r="H4555" t="s">
        <v>8926</v>
      </c>
      <c r="I4555" t="s">
        <v>142</v>
      </c>
      <c r="J4555" s="1">
        <v>45292</v>
      </c>
      <c r="K4555">
        <v>-14509</v>
      </c>
    </row>
    <row r="4556" spans="5:11" x14ac:dyDescent="0.25">
      <c r="E4556" t="s">
        <v>8927</v>
      </c>
      <c r="F4556">
        <v>1842566</v>
      </c>
      <c r="G4556" s="1">
        <v>45382</v>
      </c>
      <c r="H4556" t="s">
        <v>8928</v>
      </c>
      <c r="I4556" t="s">
        <v>3015</v>
      </c>
      <c r="J4556" s="1">
        <v>45292</v>
      </c>
      <c r="K4556">
        <v>-31964469</v>
      </c>
    </row>
    <row r="4557" spans="5:11" x14ac:dyDescent="0.25">
      <c r="E4557" t="s">
        <v>8929</v>
      </c>
      <c r="F4557">
        <v>1842718</v>
      </c>
      <c r="G4557" s="1">
        <v>45382</v>
      </c>
      <c r="H4557" t="s">
        <v>8930</v>
      </c>
      <c r="I4557" t="s">
        <v>57</v>
      </c>
      <c r="J4557" s="1">
        <v>45292</v>
      </c>
      <c r="K4557">
        <v>-1255000</v>
      </c>
    </row>
    <row r="4558" spans="5:11" x14ac:dyDescent="0.25">
      <c r="E4558" t="s">
        <v>8931</v>
      </c>
      <c r="F4558">
        <v>1842937</v>
      </c>
      <c r="G4558" s="1">
        <v>45382</v>
      </c>
      <c r="H4558" t="s">
        <v>8932</v>
      </c>
      <c r="I4558" t="s">
        <v>142</v>
      </c>
      <c r="J4558" s="1">
        <v>45292</v>
      </c>
      <c r="K4558">
        <v>-4268000</v>
      </c>
    </row>
    <row r="4559" spans="5:11" x14ac:dyDescent="0.25">
      <c r="E4559" t="s">
        <v>8933</v>
      </c>
      <c r="F4559">
        <v>1842939</v>
      </c>
      <c r="G4559" s="1">
        <v>45382</v>
      </c>
      <c r="H4559" t="s">
        <v>8934</v>
      </c>
      <c r="I4559" t="s">
        <v>39</v>
      </c>
      <c r="J4559" s="1">
        <v>45292</v>
      </c>
      <c r="K4559">
        <v>-3270959</v>
      </c>
    </row>
    <row r="4560" spans="5:11" x14ac:dyDescent="0.25">
      <c r="E4560" t="s">
        <v>8935</v>
      </c>
      <c r="F4560">
        <v>1842952</v>
      </c>
      <c r="G4560" s="1">
        <v>45382</v>
      </c>
      <c r="H4560" t="s">
        <v>8936</v>
      </c>
      <c r="I4560" t="s">
        <v>39</v>
      </c>
      <c r="J4560" s="1">
        <v>45292</v>
      </c>
      <c r="K4560">
        <v>-3667797</v>
      </c>
    </row>
    <row r="4561" spans="5:11" x14ac:dyDescent="0.25">
      <c r="E4561" t="s">
        <v>8937</v>
      </c>
      <c r="F4561">
        <v>1843162</v>
      </c>
      <c r="G4561" s="1">
        <v>45382</v>
      </c>
      <c r="H4561" t="s">
        <v>8938</v>
      </c>
      <c r="I4561" t="s">
        <v>57</v>
      </c>
      <c r="J4561" s="1">
        <v>45292</v>
      </c>
      <c r="K4561">
        <v>-1033851</v>
      </c>
    </row>
    <row r="4562" spans="5:11" x14ac:dyDescent="0.25">
      <c r="E4562" t="s">
        <v>8939</v>
      </c>
      <c r="F4562">
        <v>1843165</v>
      </c>
      <c r="G4562" s="1">
        <v>45382</v>
      </c>
      <c r="H4562" t="s">
        <v>8940</v>
      </c>
      <c r="I4562" t="s">
        <v>33</v>
      </c>
      <c r="J4562" s="1">
        <v>45292</v>
      </c>
      <c r="K4562">
        <v>-2427392</v>
      </c>
    </row>
    <row r="4563" spans="5:11" x14ac:dyDescent="0.25">
      <c r="E4563" t="s">
        <v>8941</v>
      </c>
      <c r="F4563">
        <v>1843370</v>
      </c>
      <c r="G4563" s="1">
        <v>45382</v>
      </c>
      <c r="H4563" t="s">
        <v>8942</v>
      </c>
      <c r="I4563" t="s">
        <v>57</v>
      </c>
      <c r="J4563" s="1">
        <v>45292</v>
      </c>
      <c r="K4563">
        <v>-370886</v>
      </c>
    </row>
    <row r="4564" spans="5:11" x14ac:dyDescent="0.25">
      <c r="E4564" t="s">
        <v>8943</v>
      </c>
      <c r="F4564">
        <v>1843477</v>
      </c>
      <c r="G4564" s="1">
        <v>45382</v>
      </c>
      <c r="H4564" t="s">
        <v>8944</v>
      </c>
      <c r="I4564" t="s">
        <v>30</v>
      </c>
      <c r="J4564" s="1">
        <v>45292</v>
      </c>
      <c r="K4564">
        <v>1979098</v>
      </c>
    </row>
    <row r="4565" spans="5:11" x14ac:dyDescent="0.25">
      <c r="E4565" t="s">
        <v>8945</v>
      </c>
      <c r="F4565">
        <v>1843656</v>
      </c>
      <c r="G4565" s="1">
        <v>45382</v>
      </c>
      <c r="H4565" t="s">
        <v>8946</v>
      </c>
      <c r="I4565" t="s">
        <v>288</v>
      </c>
      <c r="J4565" s="1">
        <v>45292</v>
      </c>
      <c r="K4565">
        <v>135591</v>
      </c>
    </row>
    <row r="4566" spans="5:11" x14ac:dyDescent="0.25">
      <c r="E4566" t="s">
        <v>8947</v>
      </c>
      <c r="F4566">
        <v>1843714</v>
      </c>
      <c r="G4566" s="1">
        <v>45382</v>
      </c>
      <c r="H4566" t="s">
        <v>8948</v>
      </c>
      <c r="I4566" t="s">
        <v>24</v>
      </c>
      <c r="J4566" s="1">
        <v>45292</v>
      </c>
      <c r="K4566">
        <v>-22320000</v>
      </c>
    </row>
    <row r="4567" spans="5:11" x14ac:dyDescent="0.25">
      <c r="E4567" t="s">
        <v>8949</v>
      </c>
      <c r="F4567">
        <v>1843724</v>
      </c>
      <c r="G4567" s="1">
        <v>45382</v>
      </c>
      <c r="H4567" t="s">
        <v>8950</v>
      </c>
      <c r="I4567" t="s">
        <v>19</v>
      </c>
      <c r="J4567" s="1">
        <v>45292</v>
      </c>
      <c r="K4567">
        <v>-25508000</v>
      </c>
    </row>
    <row r="4568" spans="5:11" x14ac:dyDescent="0.25">
      <c r="E4568" t="s">
        <v>8951</v>
      </c>
      <c r="F4568">
        <v>1843973</v>
      </c>
      <c r="G4568" s="1">
        <v>45382</v>
      </c>
      <c r="H4568" t="s">
        <v>8952</v>
      </c>
      <c r="I4568" t="s">
        <v>172</v>
      </c>
      <c r="J4568" s="1">
        <v>45292</v>
      </c>
      <c r="K4568">
        <v>-5841000</v>
      </c>
    </row>
    <row r="4569" spans="5:11" x14ac:dyDescent="0.25">
      <c r="E4569" t="s">
        <v>8953</v>
      </c>
      <c r="F4569">
        <v>1843993</v>
      </c>
      <c r="G4569" s="1">
        <v>45382</v>
      </c>
      <c r="H4569" t="s">
        <v>8954</v>
      </c>
      <c r="I4569" t="s">
        <v>123</v>
      </c>
      <c r="J4569" s="1">
        <v>45292</v>
      </c>
      <c r="K4569">
        <v>-226874</v>
      </c>
    </row>
    <row r="4570" spans="5:11" x14ac:dyDescent="0.25">
      <c r="E4570" t="s">
        <v>8955</v>
      </c>
      <c r="F4570">
        <v>1844149</v>
      </c>
      <c r="G4570" s="1">
        <v>45382</v>
      </c>
      <c r="H4570" t="s">
        <v>8956</v>
      </c>
      <c r="I4570" t="s">
        <v>24</v>
      </c>
      <c r="J4570" s="1">
        <v>45292</v>
      </c>
      <c r="K4570">
        <v>-2504174</v>
      </c>
    </row>
    <row r="4571" spans="5:11" x14ac:dyDescent="0.25">
      <c r="E4571" t="s">
        <v>8957</v>
      </c>
      <c r="F4571">
        <v>1844392</v>
      </c>
      <c r="G4571" s="1">
        <v>45382</v>
      </c>
      <c r="H4571" t="s">
        <v>8958</v>
      </c>
      <c r="I4571" t="s">
        <v>33</v>
      </c>
      <c r="J4571" s="1">
        <v>45292</v>
      </c>
      <c r="K4571">
        <v>-4346000</v>
      </c>
    </row>
    <row r="4572" spans="5:11" x14ac:dyDescent="0.25">
      <c r="E4572" t="s">
        <v>8959</v>
      </c>
      <c r="F4572">
        <v>1844417</v>
      </c>
      <c r="G4572" s="1">
        <v>45382</v>
      </c>
      <c r="H4572" t="s">
        <v>8960</v>
      </c>
      <c r="I4572" t="s">
        <v>36</v>
      </c>
      <c r="J4572" s="1">
        <v>45292</v>
      </c>
      <c r="K4572">
        <v>-469530</v>
      </c>
    </row>
    <row r="4573" spans="5:11" x14ac:dyDescent="0.25">
      <c r="E4573" t="s">
        <v>10579</v>
      </c>
      <c r="F4573">
        <v>1844419</v>
      </c>
      <c r="G4573" s="1">
        <v>45382</v>
      </c>
      <c r="H4573" t="s">
        <v>8961</v>
      </c>
      <c r="I4573" t="s">
        <v>33</v>
      </c>
      <c r="J4573" s="1">
        <v>45292</v>
      </c>
      <c r="K4573">
        <v>-162958</v>
      </c>
    </row>
    <row r="4574" spans="5:11" x14ac:dyDescent="0.25">
      <c r="E4574" t="s">
        <v>8962</v>
      </c>
      <c r="F4574">
        <v>1844452</v>
      </c>
      <c r="G4574" s="1">
        <v>45382</v>
      </c>
      <c r="H4574" t="s">
        <v>8963</v>
      </c>
      <c r="I4574" t="s">
        <v>30</v>
      </c>
      <c r="J4574" s="1">
        <v>45292</v>
      </c>
      <c r="K4574">
        <v>-98337000</v>
      </c>
    </row>
    <row r="4575" spans="5:11" x14ac:dyDescent="0.25">
      <c r="E4575" t="s">
        <v>8964</v>
      </c>
      <c r="F4575">
        <v>1844505</v>
      </c>
      <c r="G4575" s="1">
        <v>45382</v>
      </c>
      <c r="H4575" t="s">
        <v>8965</v>
      </c>
      <c r="I4575" t="s">
        <v>36</v>
      </c>
      <c r="J4575" s="1">
        <v>45292</v>
      </c>
      <c r="K4575">
        <v>-4298590</v>
      </c>
    </row>
    <row r="4576" spans="5:11" x14ac:dyDescent="0.25">
      <c r="E4576" t="s">
        <v>8966</v>
      </c>
      <c r="F4576">
        <v>1844507</v>
      </c>
      <c r="G4576" s="1">
        <v>45382</v>
      </c>
      <c r="H4576" t="s">
        <v>8967</v>
      </c>
      <c r="I4576" t="s">
        <v>46</v>
      </c>
      <c r="J4576" s="1">
        <v>45292</v>
      </c>
      <c r="K4576">
        <v>-530177</v>
      </c>
    </row>
    <row r="4577" spans="5:11" x14ac:dyDescent="0.25">
      <c r="E4577" t="s">
        <v>8968</v>
      </c>
      <c r="F4577">
        <v>1844817</v>
      </c>
      <c r="G4577" s="1">
        <v>45382</v>
      </c>
      <c r="H4577" t="s">
        <v>8969</v>
      </c>
      <c r="I4577" t="s">
        <v>39</v>
      </c>
      <c r="J4577" s="1">
        <v>45292</v>
      </c>
      <c r="K4577">
        <v>-380846</v>
      </c>
    </row>
    <row r="4578" spans="5:11" x14ac:dyDescent="0.25">
      <c r="E4578" t="s">
        <v>8970</v>
      </c>
      <c r="F4578">
        <v>1844862</v>
      </c>
      <c r="G4578" s="1">
        <v>45382</v>
      </c>
      <c r="H4578" t="s">
        <v>8971</v>
      </c>
      <c r="I4578" t="s">
        <v>92</v>
      </c>
      <c r="J4578" s="1">
        <v>45292</v>
      </c>
      <c r="K4578">
        <v>-21207000</v>
      </c>
    </row>
    <row r="4579" spans="5:11" x14ac:dyDescent="0.25">
      <c r="E4579" t="s">
        <v>8972</v>
      </c>
      <c r="F4579">
        <v>1844971</v>
      </c>
      <c r="G4579" s="1">
        <v>45382</v>
      </c>
      <c r="H4579" t="s">
        <v>8973</v>
      </c>
      <c r="I4579" t="s">
        <v>57</v>
      </c>
      <c r="J4579" s="1">
        <v>45292</v>
      </c>
      <c r="K4579">
        <v>-3944000</v>
      </c>
    </row>
    <row r="4580" spans="5:11" x14ac:dyDescent="0.25">
      <c r="E4580" t="s">
        <v>8974</v>
      </c>
      <c r="F4580">
        <v>1845022</v>
      </c>
      <c r="G4580" s="1">
        <v>45412</v>
      </c>
      <c r="H4580" t="s">
        <v>8975</v>
      </c>
      <c r="I4580" t="s">
        <v>36</v>
      </c>
      <c r="J4580" s="1">
        <v>45323</v>
      </c>
      <c r="K4580">
        <v>-20995000</v>
      </c>
    </row>
    <row r="4581" spans="5:11" x14ac:dyDescent="0.25">
      <c r="E4581" t="s">
        <v>8976</v>
      </c>
      <c r="F4581">
        <v>1845123</v>
      </c>
      <c r="G4581" s="1">
        <v>45382</v>
      </c>
      <c r="H4581" t="s">
        <v>8977</v>
      </c>
      <c r="I4581" t="s">
        <v>36</v>
      </c>
      <c r="J4581" s="1">
        <v>45292</v>
      </c>
      <c r="K4581">
        <v>-91069</v>
      </c>
    </row>
    <row r="4582" spans="5:11" x14ac:dyDescent="0.25">
      <c r="E4582" t="s">
        <v>8978</v>
      </c>
      <c r="F4582">
        <v>1845149</v>
      </c>
      <c r="G4582" s="1">
        <v>45382</v>
      </c>
      <c r="H4582" t="s">
        <v>8979</v>
      </c>
      <c r="I4582" t="s">
        <v>186</v>
      </c>
      <c r="J4582" s="1">
        <v>45292</v>
      </c>
      <c r="K4582">
        <v>-1238211</v>
      </c>
    </row>
    <row r="4583" spans="5:11" x14ac:dyDescent="0.25">
      <c r="E4583" t="s">
        <v>8980</v>
      </c>
      <c r="F4583">
        <v>1845257</v>
      </c>
      <c r="G4583" s="1">
        <v>45382</v>
      </c>
      <c r="H4583" t="s">
        <v>8981</v>
      </c>
      <c r="I4583" t="s">
        <v>113</v>
      </c>
      <c r="J4583" s="1">
        <v>45292</v>
      </c>
      <c r="K4583">
        <v>-21097000</v>
      </c>
    </row>
    <row r="4584" spans="5:11" x14ac:dyDescent="0.25">
      <c r="E4584" t="s">
        <v>10580</v>
      </c>
      <c r="F4584">
        <v>1845337</v>
      </c>
      <c r="G4584" s="1">
        <v>45382</v>
      </c>
      <c r="H4584" t="s">
        <v>8982</v>
      </c>
      <c r="I4584" t="s">
        <v>36</v>
      </c>
      <c r="J4584" s="1">
        <v>45292</v>
      </c>
      <c r="K4584">
        <v>-62412000</v>
      </c>
    </row>
    <row r="4585" spans="5:11" x14ac:dyDescent="0.25">
      <c r="E4585" t="s">
        <v>8983</v>
      </c>
      <c r="F4585">
        <v>1845437</v>
      </c>
      <c r="G4585" s="1">
        <v>45382</v>
      </c>
      <c r="H4585" t="s">
        <v>8984</v>
      </c>
      <c r="I4585" t="s">
        <v>172</v>
      </c>
      <c r="J4585" s="1">
        <v>45292</v>
      </c>
      <c r="K4585">
        <v>-11421000</v>
      </c>
    </row>
    <row r="4586" spans="5:11" x14ac:dyDescent="0.25">
      <c r="E4586" t="s">
        <v>8985</v>
      </c>
      <c r="F4586">
        <v>1845459</v>
      </c>
      <c r="G4586" s="1">
        <v>45382</v>
      </c>
      <c r="H4586" t="s">
        <v>8986</v>
      </c>
      <c r="I4586" t="s">
        <v>36</v>
      </c>
      <c r="J4586" s="1">
        <v>45292</v>
      </c>
      <c r="K4586">
        <v>-5382000</v>
      </c>
    </row>
    <row r="4587" spans="5:11" x14ac:dyDescent="0.25">
      <c r="E4587" t="s">
        <v>8987</v>
      </c>
      <c r="F4587">
        <v>1845550</v>
      </c>
      <c r="G4587" s="1">
        <v>45382</v>
      </c>
      <c r="H4587" t="s">
        <v>8988</v>
      </c>
      <c r="I4587" t="s">
        <v>36</v>
      </c>
      <c r="J4587" s="1">
        <v>45292</v>
      </c>
      <c r="K4587">
        <v>-148236</v>
      </c>
    </row>
    <row r="4588" spans="5:11" x14ac:dyDescent="0.25">
      <c r="E4588" t="s">
        <v>8989</v>
      </c>
      <c r="F4588">
        <v>1845799</v>
      </c>
      <c r="G4588" s="1">
        <v>45382</v>
      </c>
      <c r="H4588" t="s">
        <v>8990</v>
      </c>
      <c r="I4588" t="s">
        <v>1123</v>
      </c>
      <c r="J4588" s="1">
        <v>45292</v>
      </c>
      <c r="K4588">
        <v>714000</v>
      </c>
    </row>
    <row r="4589" spans="5:11" x14ac:dyDescent="0.25">
      <c r="E4589" t="s">
        <v>8991</v>
      </c>
      <c r="F4589">
        <v>1845815</v>
      </c>
      <c r="G4589" s="1">
        <v>45382</v>
      </c>
      <c r="H4589" t="s">
        <v>8992</v>
      </c>
      <c r="I4589" t="s">
        <v>57</v>
      </c>
      <c r="J4589" s="1">
        <v>45292</v>
      </c>
      <c r="K4589">
        <v>28974000</v>
      </c>
    </row>
    <row r="4590" spans="5:11" x14ac:dyDescent="0.25">
      <c r="E4590" t="s">
        <v>8993</v>
      </c>
      <c r="F4590">
        <v>1845942</v>
      </c>
      <c r="G4590" s="1">
        <v>45382</v>
      </c>
      <c r="H4590" t="s">
        <v>8994</v>
      </c>
      <c r="I4590" t="s">
        <v>36</v>
      </c>
      <c r="J4590" s="1">
        <v>45292</v>
      </c>
      <c r="K4590">
        <v>-28219</v>
      </c>
    </row>
    <row r="4591" spans="5:11" x14ac:dyDescent="0.25">
      <c r="E4591" t="s">
        <v>8995</v>
      </c>
      <c r="F4591">
        <v>1846017</v>
      </c>
      <c r="G4591" s="1">
        <v>45382</v>
      </c>
      <c r="H4591" t="s">
        <v>8996</v>
      </c>
      <c r="I4591" t="s">
        <v>46</v>
      </c>
      <c r="J4591" s="1">
        <v>45292</v>
      </c>
      <c r="K4591">
        <v>-2839000</v>
      </c>
    </row>
    <row r="4592" spans="5:11" x14ac:dyDescent="0.25">
      <c r="E4592" t="s">
        <v>8997</v>
      </c>
      <c r="F4592">
        <v>1846069</v>
      </c>
      <c r="G4592" s="1">
        <v>45382</v>
      </c>
      <c r="H4592" t="s">
        <v>8998</v>
      </c>
      <c r="I4592" t="s">
        <v>36</v>
      </c>
      <c r="J4592" s="1">
        <v>45292</v>
      </c>
      <c r="K4592">
        <v>-28261000</v>
      </c>
    </row>
    <row r="4593" spans="5:11" x14ac:dyDescent="0.25">
      <c r="E4593" t="s">
        <v>8999</v>
      </c>
      <c r="F4593">
        <v>1846084</v>
      </c>
      <c r="G4593" s="1">
        <v>45382</v>
      </c>
      <c r="H4593" t="s">
        <v>9000</v>
      </c>
      <c r="I4593" t="s">
        <v>33</v>
      </c>
      <c r="J4593" s="1">
        <v>45292</v>
      </c>
      <c r="K4593">
        <v>-6379000</v>
      </c>
    </row>
    <row r="4594" spans="5:11" x14ac:dyDescent="0.25">
      <c r="E4594" t="s">
        <v>9001</v>
      </c>
      <c r="F4594">
        <v>1846253</v>
      </c>
      <c r="G4594" s="1">
        <v>45382</v>
      </c>
      <c r="H4594" t="s">
        <v>9002</v>
      </c>
      <c r="I4594" t="s">
        <v>36</v>
      </c>
      <c r="J4594" s="1">
        <v>45292</v>
      </c>
      <c r="K4594">
        <v>-18961000</v>
      </c>
    </row>
    <row r="4595" spans="5:11" x14ac:dyDescent="0.25">
      <c r="E4595" t="s">
        <v>9003</v>
      </c>
      <c r="F4595">
        <v>1846510</v>
      </c>
      <c r="G4595" s="1">
        <v>45382</v>
      </c>
      <c r="H4595" t="s">
        <v>9004</v>
      </c>
      <c r="I4595" t="s">
        <v>594</v>
      </c>
      <c r="J4595" s="1">
        <v>45292</v>
      </c>
      <c r="K4595">
        <v>-46040000</v>
      </c>
    </row>
    <row r="4596" spans="5:11" x14ac:dyDescent="0.25">
      <c r="E4596" t="s">
        <v>9005</v>
      </c>
      <c r="F4596">
        <v>1846576</v>
      </c>
      <c r="G4596" s="1">
        <v>45382</v>
      </c>
      <c r="H4596" t="s">
        <v>9006</v>
      </c>
      <c r="I4596" t="s">
        <v>36</v>
      </c>
      <c r="J4596" s="1">
        <v>45292</v>
      </c>
      <c r="K4596">
        <v>1435000</v>
      </c>
    </row>
    <row r="4597" spans="5:11" x14ac:dyDescent="0.25">
      <c r="E4597" t="s">
        <v>9007</v>
      </c>
      <c r="F4597">
        <v>1846809</v>
      </c>
      <c r="G4597" s="1">
        <v>45382</v>
      </c>
      <c r="H4597" t="s">
        <v>9008</v>
      </c>
      <c r="I4597" t="s">
        <v>57</v>
      </c>
      <c r="J4597" s="1">
        <v>45292</v>
      </c>
      <c r="K4597">
        <v>-1603321</v>
      </c>
    </row>
    <row r="4598" spans="5:11" x14ac:dyDescent="0.25">
      <c r="E4598" t="s">
        <v>9009</v>
      </c>
      <c r="F4598">
        <v>1846975</v>
      </c>
      <c r="G4598" s="1">
        <v>45382</v>
      </c>
      <c r="H4598" t="s">
        <v>9010</v>
      </c>
      <c r="I4598" t="s">
        <v>57</v>
      </c>
      <c r="J4598" s="1">
        <v>45292</v>
      </c>
      <c r="K4598">
        <v>-5644970</v>
      </c>
    </row>
    <row r="4599" spans="5:11" x14ac:dyDescent="0.25">
      <c r="E4599" t="s">
        <v>9011</v>
      </c>
      <c r="F4599">
        <v>1847064</v>
      </c>
      <c r="G4599" s="1">
        <v>45382</v>
      </c>
      <c r="H4599" t="s">
        <v>9012</v>
      </c>
      <c r="I4599" t="s">
        <v>33</v>
      </c>
      <c r="J4599" s="1">
        <v>45292</v>
      </c>
      <c r="K4599">
        <v>-12576831</v>
      </c>
    </row>
    <row r="4600" spans="5:11" x14ac:dyDescent="0.25">
      <c r="E4600" t="s">
        <v>9013</v>
      </c>
      <c r="F4600">
        <v>1847112</v>
      </c>
      <c r="G4600" s="1">
        <v>45382</v>
      </c>
      <c r="H4600" t="s">
        <v>9014</v>
      </c>
      <c r="I4600" t="s">
        <v>142</v>
      </c>
      <c r="J4600" s="1">
        <v>45292</v>
      </c>
      <c r="K4600">
        <v>982585</v>
      </c>
    </row>
    <row r="4601" spans="5:11" x14ac:dyDescent="0.25">
      <c r="E4601" t="s">
        <v>9015</v>
      </c>
      <c r="F4601">
        <v>1847241</v>
      </c>
      <c r="G4601" s="1">
        <v>45382</v>
      </c>
      <c r="H4601" t="s">
        <v>9016</v>
      </c>
      <c r="I4601" t="s">
        <v>36</v>
      </c>
      <c r="J4601" s="1">
        <v>45292</v>
      </c>
      <c r="K4601">
        <v>-2858264</v>
      </c>
    </row>
    <row r="4602" spans="5:11" x14ac:dyDescent="0.25">
      <c r="E4602" t="s">
        <v>9017</v>
      </c>
      <c r="F4602">
        <v>1847345</v>
      </c>
      <c r="G4602" s="1">
        <v>45382</v>
      </c>
      <c r="H4602" t="s">
        <v>9018</v>
      </c>
      <c r="I4602" t="s">
        <v>57</v>
      </c>
      <c r="J4602" s="1">
        <v>45292</v>
      </c>
      <c r="K4602">
        <v>-2467101</v>
      </c>
    </row>
    <row r="4603" spans="5:11" x14ac:dyDescent="0.25">
      <c r="E4603" t="s">
        <v>9019</v>
      </c>
      <c r="F4603">
        <v>1847355</v>
      </c>
      <c r="G4603" s="1">
        <v>45382</v>
      </c>
      <c r="H4603" t="s">
        <v>9020</v>
      </c>
      <c r="I4603" t="s">
        <v>2436</v>
      </c>
      <c r="J4603" s="1">
        <v>45292</v>
      </c>
      <c r="K4603">
        <v>-109698</v>
      </c>
    </row>
    <row r="4604" spans="5:11" x14ac:dyDescent="0.25">
      <c r="E4604" t="s">
        <v>9021</v>
      </c>
      <c r="F4604">
        <v>1847360</v>
      </c>
      <c r="G4604" s="1">
        <v>45382</v>
      </c>
      <c r="H4604" t="s">
        <v>9022</v>
      </c>
      <c r="I4604" t="s">
        <v>83</v>
      </c>
      <c r="J4604" s="1">
        <v>45292</v>
      </c>
      <c r="K4604">
        <v>-306000</v>
      </c>
    </row>
    <row r="4605" spans="5:11" x14ac:dyDescent="0.25">
      <c r="E4605" t="s">
        <v>9023</v>
      </c>
      <c r="F4605">
        <v>1847367</v>
      </c>
      <c r="G4605" s="1">
        <v>45382</v>
      </c>
      <c r="H4605" t="s">
        <v>9024</v>
      </c>
      <c r="I4605" t="s">
        <v>36</v>
      </c>
      <c r="J4605" s="1">
        <v>45292</v>
      </c>
      <c r="K4605">
        <v>-49849000</v>
      </c>
    </row>
    <row r="4606" spans="5:11" x14ac:dyDescent="0.25">
      <c r="E4606" t="s">
        <v>9025</v>
      </c>
      <c r="F4606">
        <v>1847398</v>
      </c>
      <c r="G4606" s="1">
        <v>45382</v>
      </c>
      <c r="H4606" t="s">
        <v>9026</v>
      </c>
      <c r="I4606" t="s">
        <v>57</v>
      </c>
      <c r="J4606" s="1">
        <v>45292</v>
      </c>
      <c r="K4606">
        <v>11374000</v>
      </c>
    </row>
    <row r="4607" spans="5:11" x14ac:dyDescent="0.25">
      <c r="E4607" t="s">
        <v>9027</v>
      </c>
      <c r="F4607">
        <v>1847440</v>
      </c>
      <c r="G4607" s="1">
        <v>45382</v>
      </c>
      <c r="H4607" t="s">
        <v>9028</v>
      </c>
      <c r="I4607" t="s">
        <v>142</v>
      </c>
      <c r="J4607" s="1">
        <v>45292</v>
      </c>
      <c r="K4607">
        <v>-241883</v>
      </c>
    </row>
    <row r="4608" spans="5:11" x14ac:dyDescent="0.25">
      <c r="E4608" t="s">
        <v>9029</v>
      </c>
      <c r="F4608">
        <v>1847513</v>
      </c>
      <c r="G4608" s="1">
        <v>45382</v>
      </c>
      <c r="H4608" t="s">
        <v>9030</v>
      </c>
      <c r="I4608" t="s">
        <v>36</v>
      </c>
      <c r="J4608" s="1">
        <v>45292</v>
      </c>
      <c r="K4608">
        <v>-347750</v>
      </c>
    </row>
    <row r="4609" spans="5:11" x14ac:dyDescent="0.25">
      <c r="E4609" t="s">
        <v>9031</v>
      </c>
      <c r="F4609">
        <v>1847577</v>
      </c>
      <c r="G4609" s="1">
        <v>45382</v>
      </c>
      <c r="H4609" t="s">
        <v>9032</v>
      </c>
      <c r="I4609" t="s">
        <v>36</v>
      </c>
      <c r="J4609" s="1">
        <v>45292</v>
      </c>
      <c r="K4609">
        <v>-2153812</v>
      </c>
    </row>
    <row r="4610" spans="5:11" x14ac:dyDescent="0.25">
      <c r="E4610" t="s">
        <v>9033</v>
      </c>
      <c r="F4610">
        <v>1847590</v>
      </c>
      <c r="G4610" s="1">
        <v>45382</v>
      </c>
      <c r="H4610" t="s">
        <v>9034</v>
      </c>
      <c r="I4610" t="s">
        <v>123</v>
      </c>
      <c r="J4610" s="1">
        <v>45292</v>
      </c>
      <c r="K4610">
        <v>-1558000</v>
      </c>
    </row>
    <row r="4611" spans="5:11" x14ac:dyDescent="0.25">
      <c r="E4611" t="s">
        <v>10581</v>
      </c>
      <c r="F4611">
        <v>1847607</v>
      </c>
      <c r="G4611" s="1">
        <v>45382</v>
      </c>
      <c r="H4611" t="s">
        <v>10582</v>
      </c>
      <c r="I4611" t="s">
        <v>1245</v>
      </c>
      <c r="J4611" s="1">
        <v>45292</v>
      </c>
      <c r="K4611">
        <v>41124</v>
      </c>
    </row>
    <row r="4612" spans="5:11" x14ac:dyDescent="0.25">
      <c r="E4612" t="s">
        <v>9035</v>
      </c>
      <c r="F4612">
        <v>1847874</v>
      </c>
      <c r="G4612" s="1">
        <v>45382</v>
      </c>
      <c r="H4612" t="s">
        <v>9036</v>
      </c>
      <c r="I4612" t="s">
        <v>60</v>
      </c>
      <c r="J4612" s="1">
        <v>45292</v>
      </c>
      <c r="K4612">
        <v>-2098000</v>
      </c>
    </row>
    <row r="4613" spans="5:11" x14ac:dyDescent="0.25">
      <c r="E4613" t="s">
        <v>9037</v>
      </c>
      <c r="F4613">
        <v>1847903</v>
      </c>
      <c r="G4613" s="1">
        <v>45382</v>
      </c>
      <c r="H4613" t="s">
        <v>9038</v>
      </c>
      <c r="I4613" t="s">
        <v>594</v>
      </c>
      <c r="J4613" s="1">
        <v>45292</v>
      </c>
      <c r="K4613">
        <v>-38046000</v>
      </c>
    </row>
    <row r="4614" spans="5:11" x14ac:dyDescent="0.25">
      <c r="E4614" t="s">
        <v>9039</v>
      </c>
      <c r="F4614">
        <v>1847986</v>
      </c>
      <c r="G4614" s="1">
        <v>45382</v>
      </c>
      <c r="H4614" t="s">
        <v>9040</v>
      </c>
      <c r="I4614" t="s">
        <v>142</v>
      </c>
      <c r="J4614" s="1">
        <v>45292</v>
      </c>
      <c r="K4614">
        <v>-10367000</v>
      </c>
    </row>
    <row r="4615" spans="5:11" x14ac:dyDescent="0.25">
      <c r="E4615" t="s">
        <v>9041</v>
      </c>
      <c r="F4615">
        <v>1848334</v>
      </c>
      <c r="G4615" s="1">
        <v>45382</v>
      </c>
      <c r="H4615" t="s">
        <v>9042</v>
      </c>
      <c r="I4615" t="s">
        <v>36</v>
      </c>
      <c r="J4615" s="1">
        <v>45292</v>
      </c>
      <c r="K4615">
        <v>-121127</v>
      </c>
    </row>
    <row r="4616" spans="5:11" x14ac:dyDescent="0.25">
      <c r="E4616" t="s">
        <v>9043</v>
      </c>
      <c r="F4616">
        <v>1848416</v>
      </c>
      <c r="G4616" s="1">
        <v>45382</v>
      </c>
      <c r="H4616" t="s">
        <v>9044</v>
      </c>
      <c r="I4616" t="s">
        <v>19</v>
      </c>
      <c r="J4616" s="1">
        <v>45292</v>
      </c>
      <c r="K4616">
        <v>-4822000</v>
      </c>
    </row>
    <row r="4617" spans="5:11" x14ac:dyDescent="0.25">
      <c r="E4617" t="s">
        <v>9045</v>
      </c>
      <c r="F4617">
        <v>1848437</v>
      </c>
      <c r="G4617" s="1">
        <v>45382</v>
      </c>
      <c r="H4617" t="s">
        <v>9046</v>
      </c>
      <c r="I4617" t="s">
        <v>57</v>
      </c>
      <c r="J4617" s="1">
        <v>45292</v>
      </c>
      <c r="K4617">
        <v>-3902244</v>
      </c>
    </row>
    <row r="4618" spans="5:11" x14ac:dyDescent="0.25">
      <c r="E4618" t="s">
        <v>9047</v>
      </c>
      <c r="F4618">
        <v>1848672</v>
      </c>
      <c r="G4618" s="1">
        <v>45412</v>
      </c>
      <c r="H4618" t="s">
        <v>9048</v>
      </c>
      <c r="I4618" t="s">
        <v>36</v>
      </c>
      <c r="J4618" s="1">
        <v>45323</v>
      </c>
      <c r="K4618">
        <v>-6859</v>
      </c>
    </row>
    <row r="4619" spans="5:11" x14ac:dyDescent="0.25">
      <c r="E4619" t="s">
        <v>9049</v>
      </c>
      <c r="F4619">
        <v>1848756</v>
      </c>
      <c r="G4619" s="1">
        <v>45382</v>
      </c>
      <c r="H4619" t="s">
        <v>9050</v>
      </c>
      <c r="I4619" t="s">
        <v>30</v>
      </c>
      <c r="J4619" s="1">
        <v>45292</v>
      </c>
      <c r="K4619">
        <v>1939948</v>
      </c>
    </row>
    <row r="4620" spans="5:11" x14ac:dyDescent="0.25">
      <c r="E4620" t="s">
        <v>9051</v>
      </c>
      <c r="F4620">
        <v>1848861</v>
      </c>
      <c r="G4620" s="1">
        <v>45382</v>
      </c>
      <c r="H4620" t="s">
        <v>9052</v>
      </c>
      <c r="I4620" t="s">
        <v>186</v>
      </c>
      <c r="J4620" s="1">
        <v>45292</v>
      </c>
      <c r="K4620">
        <v>-466716</v>
      </c>
    </row>
    <row r="4621" spans="5:11" x14ac:dyDescent="0.25">
      <c r="E4621" t="s">
        <v>9053</v>
      </c>
      <c r="F4621">
        <v>1848898</v>
      </c>
      <c r="G4621" s="1">
        <v>45382</v>
      </c>
      <c r="H4621" t="s">
        <v>9054</v>
      </c>
      <c r="I4621" t="s">
        <v>57</v>
      </c>
      <c r="J4621" s="1">
        <v>45292</v>
      </c>
      <c r="K4621">
        <v>-12663598</v>
      </c>
    </row>
    <row r="4622" spans="5:11" x14ac:dyDescent="0.25">
      <c r="E4622" t="s">
        <v>9055</v>
      </c>
      <c r="F4622">
        <v>1849056</v>
      </c>
      <c r="G4622" s="1">
        <v>45382</v>
      </c>
      <c r="H4622" t="s">
        <v>9056</v>
      </c>
      <c r="I4622" t="s">
        <v>36</v>
      </c>
      <c r="J4622" s="1">
        <v>45292</v>
      </c>
      <c r="K4622">
        <v>-24022085</v>
      </c>
    </row>
    <row r="4623" spans="5:11" x14ac:dyDescent="0.25">
      <c r="E4623" t="s">
        <v>9057</v>
      </c>
      <c r="F4623">
        <v>1849058</v>
      </c>
      <c r="G4623" s="1">
        <v>45382</v>
      </c>
      <c r="H4623" t="s">
        <v>9058</v>
      </c>
      <c r="I4623" t="s">
        <v>33</v>
      </c>
      <c r="J4623" s="1">
        <v>45292</v>
      </c>
      <c r="K4623">
        <v>-343135</v>
      </c>
    </row>
    <row r="4624" spans="5:11" x14ac:dyDescent="0.25">
      <c r="E4624" t="s">
        <v>9059</v>
      </c>
      <c r="F4624">
        <v>1849089</v>
      </c>
      <c r="G4624" s="1">
        <v>45382</v>
      </c>
      <c r="H4624" t="s">
        <v>9060</v>
      </c>
      <c r="I4624" t="s">
        <v>33</v>
      </c>
      <c r="J4624" s="1">
        <v>45292</v>
      </c>
      <c r="K4624">
        <v>7868000</v>
      </c>
    </row>
    <row r="4625" spans="5:11" x14ac:dyDescent="0.25">
      <c r="E4625" t="s">
        <v>9061</v>
      </c>
      <c r="F4625">
        <v>1849253</v>
      </c>
      <c r="G4625" s="1">
        <v>45382</v>
      </c>
      <c r="H4625" t="s">
        <v>9062</v>
      </c>
      <c r="I4625" t="s">
        <v>19</v>
      </c>
      <c r="J4625" s="1">
        <v>45292</v>
      </c>
      <c r="K4625">
        <v>16535000</v>
      </c>
    </row>
    <row r="4626" spans="5:11" x14ac:dyDescent="0.25">
      <c r="E4626" t="s">
        <v>9063</v>
      </c>
      <c r="F4626">
        <v>1849294</v>
      </c>
      <c r="G4626" s="1">
        <v>45382</v>
      </c>
      <c r="H4626" t="s">
        <v>9064</v>
      </c>
      <c r="I4626" t="s">
        <v>33</v>
      </c>
      <c r="J4626" s="1">
        <v>45292</v>
      </c>
      <c r="K4626">
        <v>-487166</v>
      </c>
    </row>
    <row r="4627" spans="5:11" x14ac:dyDescent="0.25">
      <c r="E4627" t="s">
        <v>9065</v>
      </c>
      <c r="F4627">
        <v>1849466</v>
      </c>
      <c r="G4627" s="1">
        <v>45382</v>
      </c>
      <c r="H4627" t="s">
        <v>9066</v>
      </c>
      <c r="I4627" t="s">
        <v>30</v>
      </c>
      <c r="J4627" s="1">
        <v>45292</v>
      </c>
      <c r="K4627">
        <v>-2685000</v>
      </c>
    </row>
    <row r="4628" spans="5:11" x14ac:dyDescent="0.25">
      <c r="E4628" t="s">
        <v>9067</v>
      </c>
      <c r="F4628">
        <v>1849548</v>
      </c>
      <c r="G4628" s="1">
        <v>45382</v>
      </c>
      <c r="H4628" t="s">
        <v>9068</v>
      </c>
      <c r="I4628" t="s">
        <v>57</v>
      </c>
      <c r="J4628" s="1">
        <v>45292</v>
      </c>
      <c r="K4628">
        <v>-230941</v>
      </c>
    </row>
    <row r="4629" spans="5:11" x14ac:dyDescent="0.25">
      <c r="E4629" t="s">
        <v>9069</v>
      </c>
      <c r="F4629">
        <v>1849635</v>
      </c>
      <c r="G4629" s="1">
        <v>45382</v>
      </c>
      <c r="H4629" t="s">
        <v>9070</v>
      </c>
      <c r="I4629" t="s">
        <v>33</v>
      </c>
      <c r="J4629" s="1">
        <v>45292</v>
      </c>
      <c r="K4629">
        <v>-327599700</v>
      </c>
    </row>
    <row r="4630" spans="5:11" x14ac:dyDescent="0.25">
      <c r="E4630" t="s">
        <v>9071</v>
      </c>
      <c r="F4630">
        <v>1849670</v>
      </c>
      <c r="G4630" s="1">
        <v>45382</v>
      </c>
      <c r="H4630" t="s">
        <v>9072</v>
      </c>
      <c r="I4630" t="s">
        <v>39</v>
      </c>
      <c r="J4630" s="1">
        <v>45292</v>
      </c>
      <c r="K4630">
        <v>317000</v>
      </c>
    </row>
    <row r="4631" spans="5:11" x14ac:dyDescent="0.25">
      <c r="E4631" t="s">
        <v>9073</v>
      </c>
      <c r="F4631">
        <v>1849737</v>
      </c>
      <c r="G4631" s="1">
        <v>45382</v>
      </c>
      <c r="H4631" t="s">
        <v>9074</v>
      </c>
      <c r="I4631" t="s">
        <v>2436</v>
      </c>
      <c r="J4631" s="1">
        <v>45292</v>
      </c>
      <c r="K4631">
        <v>1420470</v>
      </c>
    </row>
    <row r="4632" spans="5:11" x14ac:dyDescent="0.25">
      <c r="E4632" t="s">
        <v>9075</v>
      </c>
      <c r="F4632">
        <v>1849820</v>
      </c>
      <c r="G4632" s="1">
        <v>45382</v>
      </c>
      <c r="H4632" t="s">
        <v>9076</v>
      </c>
      <c r="I4632" t="s">
        <v>30</v>
      </c>
      <c r="J4632" s="1">
        <v>45292</v>
      </c>
      <c r="K4632">
        <v>413612</v>
      </c>
    </row>
    <row r="4633" spans="5:11" x14ac:dyDescent="0.25">
      <c r="E4633" t="s">
        <v>9077</v>
      </c>
      <c r="F4633">
        <v>1849867</v>
      </c>
      <c r="G4633" s="1">
        <v>45382</v>
      </c>
      <c r="H4633" t="s">
        <v>9078</v>
      </c>
      <c r="I4633" t="s">
        <v>179</v>
      </c>
      <c r="J4633" s="1">
        <v>45292</v>
      </c>
      <c r="K4633">
        <v>-4677000</v>
      </c>
    </row>
    <row r="4634" spans="5:11" x14ac:dyDescent="0.25">
      <c r="E4634" t="s">
        <v>9079</v>
      </c>
      <c r="F4634">
        <v>1849894</v>
      </c>
      <c r="G4634" s="1">
        <v>45382</v>
      </c>
      <c r="H4634" t="s">
        <v>9080</v>
      </c>
      <c r="I4634" t="s">
        <v>57</v>
      </c>
      <c r="J4634" s="1">
        <v>45292</v>
      </c>
      <c r="K4634">
        <v>47308000</v>
      </c>
    </row>
    <row r="4635" spans="5:11" x14ac:dyDescent="0.25">
      <c r="E4635" t="s">
        <v>9081</v>
      </c>
      <c r="F4635">
        <v>1849902</v>
      </c>
      <c r="G4635" s="1">
        <v>45382</v>
      </c>
      <c r="H4635" t="s">
        <v>9082</v>
      </c>
      <c r="I4635" t="s">
        <v>30</v>
      </c>
      <c r="J4635" s="1">
        <v>45292</v>
      </c>
      <c r="K4635">
        <v>-3044060</v>
      </c>
    </row>
    <row r="4636" spans="5:11" x14ac:dyDescent="0.25">
      <c r="E4636" t="s">
        <v>9083</v>
      </c>
      <c r="F4636">
        <v>1850079</v>
      </c>
      <c r="G4636" s="1">
        <v>45382</v>
      </c>
      <c r="H4636" t="s">
        <v>9084</v>
      </c>
      <c r="I4636" t="s">
        <v>36</v>
      </c>
      <c r="J4636" s="1">
        <v>45292</v>
      </c>
      <c r="K4636">
        <v>-8637000</v>
      </c>
    </row>
    <row r="4637" spans="5:11" x14ac:dyDescent="0.25">
      <c r="E4637" t="s">
        <v>9085</v>
      </c>
      <c r="F4637">
        <v>1850119</v>
      </c>
      <c r="G4637" s="1">
        <v>45382</v>
      </c>
      <c r="H4637" t="s">
        <v>9086</v>
      </c>
      <c r="I4637" t="s">
        <v>39</v>
      </c>
      <c r="J4637" s="1">
        <v>45292</v>
      </c>
      <c r="K4637">
        <v>-28062000</v>
      </c>
    </row>
    <row r="4638" spans="5:11" x14ac:dyDescent="0.25">
      <c r="E4638" t="s">
        <v>9087</v>
      </c>
      <c r="F4638">
        <v>1850262</v>
      </c>
      <c r="G4638" s="1">
        <v>45382</v>
      </c>
      <c r="H4638" t="s">
        <v>9088</v>
      </c>
      <c r="I4638" t="s">
        <v>57</v>
      </c>
      <c r="J4638" s="1">
        <v>45292</v>
      </c>
      <c r="K4638">
        <v>-260035</v>
      </c>
    </row>
    <row r="4639" spans="5:11" x14ac:dyDescent="0.25">
      <c r="E4639" t="s">
        <v>9089</v>
      </c>
      <c r="F4639">
        <v>1850266</v>
      </c>
      <c r="G4639" s="1">
        <v>45382</v>
      </c>
      <c r="H4639" t="s">
        <v>9090</v>
      </c>
      <c r="I4639" t="s">
        <v>24</v>
      </c>
      <c r="J4639" s="1">
        <v>45292</v>
      </c>
      <c r="K4639">
        <v>-9763000</v>
      </c>
    </row>
    <row r="4640" spans="5:11" x14ac:dyDescent="0.25">
      <c r="E4640" t="s">
        <v>9091</v>
      </c>
      <c r="F4640">
        <v>1850270</v>
      </c>
      <c r="G4640" s="1">
        <v>45382</v>
      </c>
      <c r="H4640" t="s">
        <v>9092</v>
      </c>
      <c r="I4640" t="s">
        <v>172</v>
      </c>
      <c r="J4640" s="1">
        <v>45292</v>
      </c>
      <c r="K4640">
        <v>-9492000</v>
      </c>
    </row>
    <row r="4641" spans="5:11" x14ac:dyDescent="0.25">
      <c r="E4641" t="s">
        <v>9093</v>
      </c>
      <c r="F4641">
        <v>1850398</v>
      </c>
      <c r="G4641" s="1">
        <v>45382</v>
      </c>
      <c r="H4641" t="s">
        <v>9094</v>
      </c>
      <c r="I4641" t="s">
        <v>64</v>
      </c>
      <c r="J4641" s="1">
        <v>45292</v>
      </c>
      <c r="K4641">
        <v>22237</v>
      </c>
    </row>
    <row r="4642" spans="5:11" x14ac:dyDescent="0.25">
      <c r="E4642" t="s">
        <v>9095</v>
      </c>
      <c r="F4642">
        <v>1850502</v>
      </c>
      <c r="G4642" s="1">
        <v>45382</v>
      </c>
      <c r="H4642" t="s">
        <v>9096</v>
      </c>
      <c r="I4642" t="s">
        <v>57</v>
      </c>
      <c r="J4642" s="1">
        <v>45292</v>
      </c>
      <c r="K4642">
        <v>547537</v>
      </c>
    </row>
    <row r="4643" spans="5:11" x14ac:dyDescent="0.25">
      <c r="E4643" t="s">
        <v>9097</v>
      </c>
      <c r="F4643">
        <v>1850767</v>
      </c>
      <c r="G4643" s="1">
        <v>45382</v>
      </c>
      <c r="H4643" t="s">
        <v>9098</v>
      </c>
      <c r="I4643" t="s">
        <v>57</v>
      </c>
      <c r="J4643" s="1">
        <v>45292</v>
      </c>
      <c r="K4643">
        <v>-526602</v>
      </c>
    </row>
    <row r="4644" spans="5:11" x14ac:dyDescent="0.25">
      <c r="E4644" t="s">
        <v>9099</v>
      </c>
      <c r="F4644">
        <v>1850787</v>
      </c>
      <c r="G4644" s="1">
        <v>45382</v>
      </c>
      <c r="H4644" t="s">
        <v>9100</v>
      </c>
      <c r="I4644" t="s">
        <v>30</v>
      </c>
      <c r="J4644" s="1">
        <v>45292</v>
      </c>
      <c r="K4644">
        <v>6533000</v>
      </c>
    </row>
    <row r="4645" spans="5:11" x14ac:dyDescent="0.25">
      <c r="E4645" t="s">
        <v>9101</v>
      </c>
      <c r="F4645">
        <v>1850838</v>
      </c>
      <c r="G4645" s="1">
        <v>45382</v>
      </c>
      <c r="H4645" t="s">
        <v>9102</v>
      </c>
      <c r="I4645" t="s">
        <v>24</v>
      </c>
      <c r="J4645" s="1">
        <v>45292</v>
      </c>
      <c r="K4645">
        <v>-20129000</v>
      </c>
    </row>
    <row r="4646" spans="5:11" x14ac:dyDescent="0.25">
      <c r="E4646" t="s">
        <v>9103</v>
      </c>
      <c r="F4646">
        <v>1850902</v>
      </c>
      <c r="G4646" s="1">
        <v>45382</v>
      </c>
      <c r="H4646" t="s">
        <v>9104</v>
      </c>
      <c r="I4646" t="s">
        <v>36</v>
      </c>
      <c r="J4646" s="1">
        <v>45292</v>
      </c>
      <c r="K4646">
        <v>-8097000</v>
      </c>
    </row>
    <row r="4647" spans="5:11" x14ac:dyDescent="0.25">
      <c r="E4647" t="s">
        <v>9105</v>
      </c>
      <c r="F4647">
        <v>1850906</v>
      </c>
      <c r="G4647" s="1">
        <v>45382</v>
      </c>
      <c r="H4647" t="s">
        <v>9106</v>
      </c>
      <c r="I4647" t="s">
        <v>36</v>
      </c>
      <c r="J4647" s="1">
        <v>45292</v>
      </c>
      <c r="K4647">
        <v>-25024000</v>
      </c>
    </row>
    <row r="4648" spans="5:11" x14ac:dyDescent="0.25">
      <c r="E4648" t="s">
        <v>9107</v>
      </c>
      <c r="F4648">
        <v>1850938</v>
      </c>
      <c r="G4648" s="1">
        <v>45382</v>
      </c>
      <c r="H4648" t="s">
        <v>9108</v>
      </c>
      <c r="I4648" t="s">
        <v>36</v>
      </c>
      <c r="J4648" s="1">
        <v>45292</v>
      </c>
      <c r="K4648">
        <v>9464060</v>
      </c>
    </row>
    <row r="4649" spans="5:11" x14ac:dyDescent="0.25">
      <c r="E4649" t="s">
        <v>9109</v>
      </c>
      <c r="F4649">
        <v>1851003</v>
      </c>
      <c r="G4649" s="1">
        <v>45382</v>
      </c>
      <c r="H4649" t="s">
        <v>9110</v>
      </c>
      <c r="I4649" t="s">
        <v>57</v>
      </c>
      <c r="J4649" s="1">
        <v>45292</v>
      </c>
      <c r="K4649">
        <v>-39566000</v>
      </c>
    </row>
    <row r="4650" spans="5:11" x14ac:dyDescent="0.25">
      <c r="E4650" t="s">
        <v>9111</v>
      </c>
      <c r="F4650">
        <v>1851048</v>
      </c>
      <c r="G4650" s="1">
        <v>45382</v>
      </c>
      <c r="H4650" t="s">
        <v>9112</v>
      </c>
      <c r="I4650" t="s">
        <v>30</v>
      </c>
      <c r="J4650" s="1">
        <v>45292</v>
      </c>
      <c r="K4650">
        <v>-2311761</v>
      </c>
    </row>
    <row r="4651" spans="5:11" x14ac:dyDescent="0.25">
      <c r="E4651" t="s">
        <v>9113</v>
      </c>
      <c r="F4651">
        <v>1851194</v>
      </c>
      <c r="G4651" s="1">
        <v>45382</v>
      </c>
      <c r="H4651" t="s">
        <v>9114</v>
      </c>
      <c r="I4651" t="s">
        <v>36</v>
      </c>
      <c r="J4651" s="1">
        <v>45292</v>
      </c>
      <c r="K4651">
        <v>-38572000</v>
      </c>
    </row>
    <row r="4652" spans="5:11" x14ac:dyDescent="0.25">
      <c r="E4652" t="s">
        <v>9115</v>
      </c>
      <c r="F4652">
        <v>1851277</v>
      </c>
      <c r="G4652" s="1">
        <v>45382</v>
      </c>
      <c r="H4652" t="s">
        <v>9116</v>
      </c>
      <c r="I4652" t="s">
        <v>57</v>
      </c>
      <c r="J4652" s="1">
        <v>45292</v>
      </c>
      <c r="K4652">
        <v>7874000</v>
      </c>
    </row>
    <row r="4653" spans="5:11" x14ac:dyDescent="0.25">
      <c r="E4653" t="s">
        <v>9117</v>
      </c>
      <c r="F4653">
        <v>1851322</v>
      </c>
      <c r="G4653" s="1">
        <v>45382</v>
      </c>
      <c r="H4653" t="s">
        <v>9118</v>
      </c>
      <c r="I4653" t="s">
        <v>57</v>
      </c>
      <c r="J4653" s="1">
        <v>45292</v>
      </c>
      <c r="K4653">
        <v>53731000</v>
      </c>
    </row>
    <row r="4654" spans="5:11" x14ac:dyDescent="0.25">
      <c r="E4654" t="s">
        <v>9119</v>
      </c>
      <c r="F4654">
        <v>1851484</v>
      </c>
      <c r="G4654" s="1">
        <v>45382</v>
      </c>
      <c r="H4654" t="s">
        <v>9120</v>
      </c>
      <c r="I4654" t="s">
        <v>57</v>
      </c>
      <c r="J4654" s="1">
        <v>45292</v>
      </c>
      <c r="K4654">
        <v>489829</v>
      </c>
    </row>
    <row r="4655" spans="5:11" x14ac:dyDescent="0.25">
      <c r="E4655" t="s">
        <v>9121</v>
      </c>
      <c r="F4655">
        <v>1851612</v>
      </c>
      <c r="G4655" s="1">
        <v>45382</v>
      </c>
      <c r="H4655" t="s">
        <v>9122</v>
      </c>
      <c r="I4655" t="s">
        <v>57</v>
      </c>
      <c r="J4655" s="1">
        <v>45292</v>
      </c>
      <c r="K4655">
        <v>-2504756</v>
      </c>
    </row>
    <row r="4656" spans="5:11" x14ac:dyDescent="0.25">
      <c r="E4656" t="s">
        <v>9123</v>
      </c>
      <c r="F4656">
        <v>1851909</v>
      </c>
      <c r="G4656" s="1">
        <v>45382</v>
      </c>
      <c r="H4656" t="s">
        <v>9124</v>
      </c>
      <c r="I4656" t="s">
        <v>142</v>
      </c>
      <c r="J4656" s="1">
        <v>45292</v>
      </c>
      <c r="K4656">
        <v>-113190</v>
      </c>
    </row>
    <row r="4657" spans="5:11" x14ac:dyDescent="0.25">
      <c r="E4657" t="s">
        <v>10583</v>
      </c>
      <c r="F4657">
        <v>1851959</v>
      </c>
      <c r="G4657" s="1">
        <v>45382</v>
      </c>
      <c r="H4657" t="s">
        <v>9125</v>
      </c>
      <c r="I4657" t="s">
        <v>57</v>
      </c>
      <c r="J4657" s="1">
        <v>45292</v>
      </c>
      <c r="K4657">
        <v>689518</v>
      </c>
    </row>
    <row r="4658" spans="5:11" x14ac:dyDescent="0.25">
      <c r="E4658" t="s">
        <v>9126</v>
      </c>
      <c r="F4658">
        <v>1851961</v>
      </c>
      <c r="G4658" s="1">
        <v>45382</v>
      </c>
      <c r="H4658" t="s">
        <v>9127</v>
      </c>
      <c r="I4658" t="s">
        <v>36</v>
      </c>
      <c r="J4658" s="1">
        <v>45292</v>
      </c>
      <c r="K4658">
        <v>757000</v>
      </c>
    </row>
    <row r="4659" spans="5:11" x14ac:dyDescent="0.25">
      <c r="E4659" t="s">
        <v>9128</v>
      </c>
      <c r="F4659">
        <v>1852016</v>
      </c>
      <c r="G4659" s="1">
        <v>45382</v>
      </c>
      <c r="H4659" t="s">
        <v>9129</v>
      </c>
      <c r="I4659" t="s">
        <v>57</v>
      </c>
      <c r="J4659" s="1">
        <v>45292</v>
      </c>
      <c r="K4659">
        <v>-1259880</v>
      </c>
    </row>
    <row r="4660" spans="5:11" x14ac:dyDescent="0.25">
      <c r="E4660" t="s">
        <v>9130</v>
      </c>
      <c r="F4660">
        <v>1852019</v>
      </c>
      <c r="G4660" s="1">
        <v>45382</v>
      </c>
      <c r="H4660" t="s">
        <v>9131</v>
      </c>
      <c r="I4660" t="s">
        <v>594</v>
      </c>
      <c r="J4660" s="1">
        <v>45292</v>
      </c>
      <c r="K4660">
        <v>-721742</v>
      </c>
    </row>
    <row r="4661" spans="5:11" x14ac:dyDescent="0.25">
      <c r="E4661" t="s">
        <v>9132</v>
      </c>
      <c r="F4661">
        <v>1852061</v>
      </c>
      <c r="G4661" s="1">
        <v>45382</v>
      </c>
      <c r="H4661" t="s">
        <v>9133</v>
      </c>
      <c r="I4661" t="s">
        <v>2436</v>
      </c>
      <c r="J4661" s="1">
        <v>45292</v>
      </c>
      <c r="K4661">
        <v>-238124</v>
      </c>
    </row>
    <row r="4662" spans="5:11" x14ac:dyDescent="0.25">
      <c r="E4662" t="s">
        <v>9134</v>
      </c>
      <c r="F4662">
        <v>1852244</v>
      </c>
      <c r="G4662" s="1">
        <v>45382</v>
      </c>
      <c r="H4662" t="s">
        <v>9135</v>
      </c>
      <c r="I4662" t="s">
        <v>27</v>
      </c>
      <c r="J4662" s="1">
        <v>45292</v>
      </c>
      <c r="K4662">
        <v>-37000000</v>
      </c>
    </row>
    <row r="4663" spans="5:11" x14ac:dyDescent="0.25">
      <c r="E4663" t="s">
        <v>9136</v>
      </c>
      <c r="F4663">
        <v>1852633</v>
      </c>
      <c r="G4663" s="1">
        <v>45410</v>
      </c>
      <c r="H4663" t="s">
        <v>9137</v>
      </c>
      <c r="I4663" t="s">
        <v>19</v>
      </c>
      <c r="J4663" s="1">
        <v>45299</v>
      </c>
      <c r="K4663">
        <v>-6789000</v>
      </c>
    </row>
    <row r="4664" spans="5:11" x14ac:dyDescent="0.25">
      <c r="E4664" t="s">
        <v>9138</v>
      </c>
      <c r="F4664">
        <v>1852736</v>
      </c>
      <c r="G4664" s="1">
        <v>45382</v>
      </c>
      <c r="H4664" t="s">
        <v>9139</v>
      </c>
      <c r="I4664" t="s">
        <v>24</v>
      </c>
      <c r="J4664" s="1">
        <v>45292</v>
      </c>
      <c r="K4664">
        <v>-152809</v>
      </c>
    </row>
    <row r="4665" spans="5:11" x14ac:dyDescent="0.25">
      <c r="E4665" t="s">
        <v>9140</v>
      </c>
      <c r="F4665">
        <v>1852749</v>
      </c>
      <c r="G4665" s="1">
        <v>45382</v>
      </c>
      <c r="H4665" t="s">
        <v>9141</v>
      </c>
      <c r="I4665" t="s">
        <v>686</v>
      </c>
      <c r="J4665" s="1">
        <v>45292</v>
      </c>
      <c r="K4665">
        <v>-1616057</v>
      </c>
    </row>
    <row r="4666" spans="5:11" x14ac:dyDescent="0.25">
      <c r="E4666" t="s">
        <v>9142</v>
      </c>
      <c r="F4666">
        <v>1852889</v>
      </c>
      <c r="G4666" s="1">
        <v>45382</v>
      </c>
      <c r="H4666" t="s">
        <v>9143</v>
      </c>
      <c r="I4666" t="s">
        <v>2436</v>
      </c>
      <c r="J4666" s="1">
        <v>45292</v>
      </c>
      <c r="K4666">
        <v>334529</v>
      </c>
    </row>
    <row r="4667" spans="5:11" x14ac:dyDescent="0.25">
      <c r="E4667" t="s">
        <v>9144</v>
      </c>
      <c r="F4667">
        <v>1852973</v>
      </c>
      <c r="G4667" s="1">
        <v>45382</v>
      </c>
      <c r="H4667" t="s">
        <v>9145</v>
      </c>
      <c r="I4667" t="s">
        <v>912</v>
      </c>
      <c r="J4667" s="1">
        <v>45292</v>
      </c>
      <c r="K4667">
        <v>-8431622</v>
      </c>
    </row>
    <row r="4668" spans="5:11" x14ac:dyDescent="0.25">
      <c r="E4668" t="s">
        <v>9146</v>
      </c>
      <c r="F4668">
        <v>1853047</v>
      </c>
      <c r="G4668" s="1">
        <v>45382</v>
      </c>
      <c r="H4668" t="s">
        <v>9147</v>
      </c>
      <c r="I4668" t="s">
        <v>57</v>
      </c>
      <c r="J4668" s="1">
        <v>45292</v>
      </c>
      <c r="K4668">
        <v>-82504</v>
      </c>
    </row>
    <row r="4669" spans="5:11" x14ac:dyDescent="0.25">
      <c r="E4669" t="s">
        <v>9148</v>
      </c>
      <c r="F4669">
        <v>1853070</v>
      </c>
      <c r="G4669" s="1">
        <v>45382</v>
      </c>
      <c r="H4669" t="s">
        <v>9149</v>
      </c>
      <c r="I4669" t="s">
        <v>64</v>
      </c>
      <c r="J4669" s="1">
        <v>45292</v>
      </c>
      <c r="K4669">
        <v>-17390000</v>
      </c>
    </row>
    <row r="4670" spans="5:11" x14ac:dyDescent="0.25">
      <c r="E4670" t="s">
        <v>9150</v>
      </c>
      <c r="F4670">
        <v>1853138</v>
      </c>
      <c r="G4670" s="1">
        <v>45382</v>
      </c>
      <c r="H4670" t="s">
        <v>9151</v>
      </c>
      <c r="I4670" t="s">
        <v>57</v>
      </c>
      <c r="J4670" s="1">
        <v>45292</v>
      </c>
      <c r="K4670">
        <v>6393390</v>
      </c>
    </row>
    <row r="4671" spans="5:11" x14ac:dyDescent="0.25">
      <c r="E4671" t="s">
        <v>9152</v>
      </c>
      <c r="F4671">
        <v>1853145</v>
      </c>
      <c r="G4671" s="1">
        <v>45382</v>
      </c>
      <c r="H4671" t="s">
        <v>9153</v>
      </c>
      <c r="I4671" t="s">
        <v>92</v>
      </c>
      <c r="J4671" s="1">
        <v>45292</v>
      </c>
      <c r="K4671">
        <v>-16324000</v>
      </c>
    </row>
    <row r="4672" spans="5:11" x14ac:dyDescent="0.25">
      <c r="E4672" t="s">
        <v>10584</v>
      </c>
      <c r="F4672">
        <v>1853513</v>
      </c>
      <c r="G4672" s="1">
        <v>45382</v>
      </c>
      <c r="H4672" t="s">
        <v>9154</v>
      </c>
      <c r="I4672" t="s">
        <v>113</v>
      </c>
      <c r="J4672" s="1">
        <v>45292</v>
      </c>
      <c r="K4672">
        <v>16637000</v>
      </c>
    </row>
    <row r="4673" spans="5:11" x14ac:dyDescent="0.25">
      <c r="E4673" t="s">
        <v>9155</v>
      </c>
      <c r="F4673">
        <v>1853717</v>
      </c>
      <c r="G4673" s="1">
        <v>45382</v>
      </c>
      <c r="H4673" t="s">
        <v>9156</v>
      </c>
      <c r="I4673" t="s">
        <v>3015</v>
      </c>
      <c r="J4673" s="1">
        <v>45292</v>
      </c>
      <c r="K4673">
        <v>35615000</v>
      </c>
    </row>
    <row r="4674" spans="5:11" x14ac:dyDescent="0.25">
      <c r="E4674" t="s">
        <v>9157</v>
      </c>
      <c r="F4674">
        <v>1853816</v>
      </c>
      <c r="G4674" s="1">
        <v>45382</v>
      </c>
      <c r="H4674" t="s">
        <v>9158</v>
      </c>
      <c r="I4674" t="s">
        <v>36</v>
      </c>
      <c r="J4674" s="1">
        <v>45292</v>
      </c>
      <c r="K4674">
        <v>-3134262</v>
      </c>
    </row>
    <row r="4675" spans="5:11" x14ac:dyDescent="0.25">
      <c r="E4675" t="s">
        <v>9159</v>
      </c>
      <c r="F4675">
        <v>1853825</v>
      </c>
      <c r="G4675" s="1">
        <v>45382</v>
      </c>
      <c r="H4675" t="s">
        <v>9160</v>
      </c>
      <c r="I4675" t="s">
        <v>36</v>
      </c>
      <c r="J4675" s="1">
        <v>45292</v>
      </c>
      <c r="K4675">
        <v>-327947</v>
      </c>
    </row>
    <row r="4676" spans="5:11" x14ac:dyDescent="0.25">
      <c r="E4676" t="s">
        <v>9161</v>
      </c>
      <c r="F4676">
        <v>1854149</v>
      </c>
      <c r="G4676" s="1">
        <v>45382</v>
      </c>
      <c r="H4676" t="s">
        <v>9162</v>
      </c>
      <c r="I4676" t="s">
        <v>57</v>
      </c>
      <c r="J4676" s="1">
        <v>45292</v>
      </c>
      <c r="K4676">
        <v>4136680</v>
      </c>
    </row>
    <row r="4677" spans="5:11" x14ac:dyDescent="0.25">
      <c r="E4677" t="s">
        <v>9163</v>
      </c>
      <c r="F4677">
        <v>1854270</v>
      </c>
      <c r="G4677" s="1">
        <v>45382</v>
      </c>
      <c r="H4677" t="s">
        <v>9164</v>
      </c>
      <c r="I4677" t="s">
        <v>36</v>
      </c>
      <c r="J4677" s="1">
        <v>45292</v>
      </c>
      <c r="K4677">
        <v>-12111000</v>
      </c>
    </row>
    <row r="4678" spans="5:11" x14ac:dyDescent="0.25">
      <c r="E4678" t="s">
        <v>9165</v>
      </c>
      <c r="F4678">
        <v>1854401</v>
      </c>
      <c r="G4678" s="1">
        <v>45382</v>
      </c>
      <c r="H4678" t="s">
        <v>9166</v>
      </c>
      <c r="I4678" t="s">
        <v>406</v>
      </c>
      <c r="J4678" s="1">
        <v>45292</v>
      </c>
      <c r="K4678">
        <v>9818000</v>
      </c>
    </row>
    <row r="4679" spans="5:11" x14ac:dyDescent="0.25">
      <c r="E4679" t="s">
        <v>9167</v>
      </c>
      <c r="F4679">
        <v>1854445</v>
      </c>
      <c r="G4679" s="1">
        <v>45382</v>
      </c>
      <c r="H4679" t="s">
        <v>9168</v>
      </c>
      <c r="I4679" t="s">
        <v>57</v>
      </c>
      <c r="J4679" s="1">
        <v>45292</v>
      </c>
      <c r="K4679">
        <v>-1542256</v>
      </c>
    </row>
    <row r="4680" spans="5:11" x14ac:dyDescent="0.25">
      <c r="E4680" t="s">
        <v>9169</v>
      </c>
      <c r="F4680">
        <v>1854463</v>
      </c>
      <c r="G4680" s="1">
        <v>45382</v>
      </c>
      <c r="H4680" t="s">
        <v>9170</v>
      </c>
      <c r="I4680" t="s">
        <v>24</v>
      </c>
      <c r="J4680" s="1">
        <v>45292</v>
      </c>
      <c r="K4680">
        <v>-106446</v>
      </c>
    </row>
    <row r="4681" spans="5:11" x14ac:dyDescent="0.25">
      <c r="E4681" t="s">
        <v>9171</v>
      </c>
      <c r="F4681">
        <v>1854480</v>
      </c>
      <c r="G4681" s="1">
        <v>45382</v>
      </c>
      <c r="H4681" t="s">
        <v>9172</v>
      </c>
      <c r="I4681" t="s">
        <v>57</v>
      </c>
      <c r="J4681" s="1">
        <v>45292</v>
      </c>
      <c r="K4681">
        <v>-2234269</v>
      </c>
    </row>
    <row r="4682" spans="5:11" x14ac:dyDescent="0.25">
      <c r="E4682" t="s">
        <v>9173</v>
      </c>
      <c r="F4682">
        <v>1854526</v>
      </c>
      <c r="G4682" s="1">
        <v>45382</v>
      </c>
      <c r="H4682" t="s">
        <v>9174</v>
      </c>
      <c r="I4682" t="s">
        <v>19</v>
      </c>
      <c r="J4682" s="1">
        <v>45292</v>
      </c>
      <c r="K4682">
        <v>-95656</v>
      </c>
    </row>
    <row r="4683" spans="5:11" x14ac:dyDescent="0.25">
      <c r="E4683" t="s">
        <v>9175</v>
      </c>
      <c r="F4683">
        <v>1854583</v>
      </c>
      <c r="G4683" s="1">
        <v>45382</v>
      </c>
      <c r="H4683" t="s">
        <v>9176</v>
      </c>
      <c r="I4683" t="s">
        <v>57</v>
      </c>
      <c r="J4683" s="1">
        <v>45292</v>
      </c>
      <c r="K4683">
        <v>-1211381</v>
      </c>
    </row>
    <row r="4684" spans="5:11" x14ac:dyDescent="0.25">
      <c r="E4684" t="s">
        <v>10585</v>
      </c>
      <c r="F4684">
        <v>1854795</v>
      </c>
      <c r="G4684" s="1">
        <v>45382</v>
      </c>
      <c r="H4684" t="s">
        <v>10586</v>
      </c>
      <c r="I4684" t="s">
        <v>33</v>
      </c>
      <c r="J4684" s="1">
        <v>45292</v>
      </c>
      <c r="K4684">
        <v>2292526</v>
      </c>
    </row>
    <row r="4685" spans="5:11" x14ac:dyDescent="0.25">
      <c r="E4685" t="s">
        <v>9177</v>
      </c>
      <c r="F4685">
        <v>1854963</v>
      </c>
      <c r="G4685" s="1">
        <v>45382</v>
      </c>
      <c r="H4685" t="s">
        <v>9178</v>
      </c>
      <c r="I4685" t="s">
        <v>92</v>
      </c>
      <c r="J4685" s="1">
        <v>45292</v>
      </c>
      <c r="K4685">
        <v>2049676</v>
      </c>
    </row>
    <row r="4686" spans="5:11" x14ac:dyDescent="0.25">
      <c r="E4686" t="s">
        <v>9179</v>
      </c>
      <c r="F4686">
        <v>1854964</v>
      </c>
      <c r="G4686" s="1">
        <v>45382</v>
      </c>
      <c r="H4686" t="s">
        <v>9180</v>
      </c>
      <c r="I4686" t="s">
        <v>27</v>
      </c>
      <c r="J4686" s="1">
        <v>45292</v>
      </c>
      <c r="K4686">
        <v>6869000</v>
      </c>
    </row>
    <row r="4687" spans="5:11" x14ac:dyDescent="0.25">
      <c r="E4687" t="s">
        <v>9181</v>
      </c>
      <c r="F4687">
        <v>1855175</v>
      </c>
      <c r="G4687" s="1">
        <v>45382</v>
      </c>
      <c r="H4687" t="s">
        <v>9182</v>
      </c>
      <c r="I4687" t="s">
        <v>36</v>
      </c>
      <c r="J4687" s="1">
        <v>45292</v>
      </c>
      <c r="K4687">
        <v>-8417000</v>
      </c>
    </row>
    <row r="4688" spans="5:11" x14ac:dyDescent="0.25">
      <c r="E4688" t="s">
        <v>9183</v>
      </c>
      <c r="F4688">
        <v>1855447</v>
      </c>
      <c r="G4688" s="1">
        <v>45382</v>
      </c>
      <c r="H4688" t="s">
        <v>9184</v>
      </c>
      <c r="I4688" t="s">
        <v>36</v>
      </c>
      <c r="J4688" s="1">
        <v>45292</v>
      </c>
      <c r="K4688">
        <v>-11506000</v>
      </c>
    </row>
    <row r="4689" spans="5:11" x14ac:dyDescent="0.25">
      <c r="E4689" t="s">
        <v>9185</v>
      </c>
      <c r="F4689">
        <v>1855457</v>
      </c>
      <c r="G4689" s="1">
        <v>45382</v>
      </c>
      <c r="H4689" t="s">
        <v>9186</v>
      </c>
      <c r="I4689" t="s">
        <v>64</v>
      </c>
      <c r="J4689" s="1">
        <v>45292</v>
      </c>
      <c r="K4689">
        <v>-17587000</v>
      </c>
    </row>
    <row r="4690" spans="5:11" x14ac:dyDescent="0.25">
      <c r="E4690" t="s">
        <v>9187</v>
      </c>
      <c r="F4690">
        <v>1855467</v>
      </c>
      <c r="G4690" s="1">
        <v>45382</v>
      </c>
      <c r="H4690" t="s">
        <v>9188</v>
      </c>
      <c r="I4690" t="s">
        <v>36</v>
      </c>
      <c r="J4690" s="1">
        <v>45292</v>
      </c>
      <c r="K4690">
        <v>-1753000</v>
      </c>
    </row>
    <row r="4691" spans="5:11" x14ac:dyDescent="0.25">
      <c r="E4691" t="s">
        <v>10587</v>
      </c>
      <c r="F4691">
        <v>1855474</v>
      </c>
      <c r="G4691" s="1">
        <v>45382</v>
      </c>
      <c r="H4691" t="s">
        <v>10588</v>
      </c>
      <c r="I4691" t="s">
        <v>772</v>
      </c>
      <c r="J4691" s="1">
        <v>45292</v>
      </c>
      <c r="K4691">
        <v>181555292</v>
      </c>
    </row>
    <row r="4692" spans="5:11" x14ac:dyDescent="0.25">
      <c r="E4692" t="s">
        <v>9189</v>
      </c>
      <c r="F4692">
        <v>1855485</v>
      </c>
      <c r="G4692" s="1">
        <v>45382</v>
      </c>
      <c r="H4692" t="s">
        <v>9190</v>
      </c>
      <c r="I4692" t="s">
        <v>36</v>
      </c>
      <c r="J4692" s="1">
        <v>45292</v>
      </c>
      <c r="K4692">
        <v>-7225000</v>
      </c>
    </row>
    <row r="4693" spans="5:11" x14ac:dyDescent="0.25">
      <c r="E4693" t="s">
        <v>9191</v>
      </c>
      <c r="F4693">
        <v>1855509</v>
      </c>
      <c r="G4693" s="1">
        <v>45382</v>
      </c>
      <c r="H4693" t="s">
        <v>9192</v>
      </c>
      <c r="I4693" t="s">
        <v>33</v>
      </c>
      <c r="J4693" s="1">
        <v>45292</v>
      </c>
      <c r="K4693">
        <v>-1686227</v>
      </c>
    </row>
    <row r="4694" spans="5:11" x14ac:dyDescent="0.25">
      <c r="E4694" t="s">
        <v>9193</v>
      </c>
      <c r="F4694">
        <v>1855631</v>
      </c>
      <c r="G4694" s="1">
        <v>45382</v>
      </c>
      <c r="H4694" t="s">
        <v>9194</v>
      </c>
      <c r="I4694" t="s">
        <v>36</v>
      </c>
      <c r="J4694" s="1">
        <v>45292</v>
      </c>
      <c r="K4694">
        <v>8926531</v>
      </c>
    </row>
    <row r="4695" spans="5:11" x14ac:dyDescent="0.25">
      <c r="E4695" t="s">
        <v>9195</v>
      </c>
      <c r="F4695">
        <v>1855644</v>
      </c>
      <c r="G4695" s="1">
        <v>45382</v>
      </c>
      <c r="H4695" t="s">
        <v>9196</v>
      </c>
      <c r="I4695" t="s">
        <v>142</v>
      </c>
      <c r="J4695" s="1">
        <v>45292</v>
      </c>
      <c r="K4695">
        <v>-7747000</v>
      </c>
    </row>
    <row r="4696" spans="5:11" x14ac:dyDescent="0.25">
      <c r="E4696" t="s">
        <v>9197</v>
      </c>
      <c r="F4696">
        <v>1855747</v>
      </c>
      <c r="G4696" s="1">
        <v>45382</v>
      </c>
      <c r="H4696" t="s">
        <v>9198</v>
      </c>
      <c r="I4696" t="s">
        <v>36</v>
      </c>
      <c r="J4696" s="1">
        <v>45292</v>
      </c>
      <c r="K4696">
        <v>-20668000</v>
      </c>
    </row>
    <row r="4697" spans="5:11" x14ac:dyDescent="0.25">
      <c r="E4697" t="s">
        <v>9199</v>
      </c>
      <c r="F4697">
        <v>1855781</v>
      </c>
      <c r="G4697" s="1">
        <v>45382</v>
      </c>
      <c r="H4697" t="s">
        <v>9200</v>
      </c>
      <c r="I4697" t="s">
        <v>19</v>
      </c>
      <c r="J4697" s="1">
        <v>45292</v>
      </c>
      <c r="K4697">
        <v>185816967</v>
      </c>
    </row>
    <row r="4698" spans="5:11" x14ac:dyDescent="0.25">
      <c r="E4698" t="s">
        <v>9201</v>
      </c>
      <c r="F4698">
        <v>1856028</v>
      </c>
      <c r="G4698" s="1">
        <v>45382</v>
      </c>
      <c r="H4698" t="s">
        <v>9202</v>
      </c>
      <c r="I4698" t="s">
        <v>57</v>
      </c>
      <c r="J4698" s="1">
        <v>45292</v>
      </c>
      <c r="K4698">
        <v>4924002</v>
      </c>
    </row>
    <row r="4699" spans="5:11" x14ac:dyDescent="0.25">
      <c r="E4699" t="s">
        <v>9203</v>
      </c>
      <c r="F4699">
        <v>1856031</v>
      </c>
      <c r="G4699" s="1">
        <v>45382</v>
      </c>
      <c r="H4699" t="s">
        <v>9204</v>
      </c>
      <c r="I4699" t="s">
        <v>19</v>
      </c>
      <c r="J4699" s="1">
        <v>45292</v>
      </c>
      <c r="K4699">
        <v>6077000</v>
      </c>
    </row>
    <row r="4700" spans="5:11" x14ac:dyDescent="0.25">
      <c r="E4700" t="s">
        <v>9205</v>
      </c>
      <c r="F4700">
        <v>1856161</v>
      </c>
      <c r="G4700" s="1">
        <v>45382</v>
      </c>
      <c r="H4700" t="s">
        <v>9206</v>
      </c>
      <c r="I4700" t="s">
        <v>57</v>
      </c>
      <c r="J4700" s="1">
        <v>45292</v>
      </c>
      <c r="K4700">
        <v>-320912</v>
      </c>
    </row>
    <row r="4701" spans="5:11" x14ac:dyDescent="0.25">
      <c r="E4701" t="s">
        <v>9207</v>
      </c>
      <c r="F4701">
        <v>1856236</v>
      </c>
      <c r="G4701" s="1">
        <v>45388</v>
      </c>
      <c r="H4701" t="s">
        <v>9208</v>
      </c>
      <c r="I4701" t="s">
        <v>30</v>
      </c>
      <c r="J4701" s="1">
        <v>45298</v>
      </c>
      <c r="K4701">
        <v>2821000</v>
      </c>
    </row>
    <row r="4702" spans="5:11" x14ac:dyDescent="0.25">
      <c r="E4702" t="s">
        <v>9209</v>
      </c>
      <c r="F4702">
        <v>1856314</v>
      </c>
      <c r="G4702" s="1">
        <v>45382</v>
      </c>
      <c r="H4702" t="s">
        <v>9210</v>
      </c>
      <c r="I4702" t="s">
        <v>57</v>
      </c>
      <c r="J4702" s="1">
        <v>45292</v>
      </c>
      <c r="K4702">
        <v>18806000</v>
      </c>
    </row>
    <row r="4703" spans="5:11" x14ac:dyDescent="0.25">
      <c r="E4703" t="s">
        <v>9211</v>
      </c>
      <c r="F4703">
        <v>1856365</v>
      </c>
      <c r="G4703" s="1">
        <v>45382</v>
      </c>
      <c r="H4703" t="s">
        <v>9212</v>
      </c>
      <c r="I4703" t="s">
        <v>406</v>
      </c>
      <c r="J4703" s="1">
        <v>45292</v>
      </c>
      <c r="K4703">
        <v>3315000</v>
      </c>
    </row>
    <row r="4704" spans="5:11" x14ac:dyDescent="0.25">
      <c r="E4704" t="s">
        <v>9213</v>
      </c>
      <c r="F4704">
        <v>1856430</v>
      </c>
      <c r="G4704" s="1">
        <v>45380</v>
      </c>
      <c r="H4704" t="s">
        <v>9214</v>
      </c>
      <c r="I4704" t="s">
        <v>172</v>
      </c>
      <c r="J4704" s="1">
        <v>45290</v>
      </c>
      <c r="K4704">
        <v>-22933000</v>
      </c>
    </row>
    <row r="4705" spans="5:11" x14ac:dyDescent="0.25">
      <c r="E4705" t="s">
        <v>9215</v>
      </c>
      <c r="F4705">
        <v>1856437</v>
      </c>
      <c r="G4705" s="1">
        <v>45416</v>
      </c>
      <c r="H4705" t="s">
        <v>9216</v>
      </c>
      <c r="I4705" t="s">
        <v>60</v>
      </c>
      <c r="J4705" s="1">
        <v>45326</v>
      </c>
      <c r="K4705">
        <v>-4000000</v>
      </c>
    </row>
    <row r="4706" spans="5:11" x14ac:dyDescent="0.25">
      <c r="E4706" t="s">
        <v>9217</v>
      </c>
      <c r="F4706">
        <v>1856485</v>
      </c>
      <c r="G4706" s="1">
        <v>45382</v>
      </c>
      <c r="H4706" t="s">
        <v>9218</v>
      </c>
      <c r="I4706" t="s">
        <v>69</v>
      </c>
      <c r="J4706" s="1">
        <v>45292</v>
      </c>
      <c r="K4706">
        <v>43000000</v>
      </c>
    </row>
    <row r="4707" spans="5:11" x14ac:dyDescent="0.25">
      <c r="E4707" t="s">
        <v>9219</v>
      </c>
      <c r="F4707">
        <v>1856525</v>
      </c>
      <c r="G4707" s="1">
        <v>45410</v>
      </c>
      <c r="H4707" t="s">
        <v>9220</v>
      </c>
      <c r="I4707" t="s">
        <v>137</v>
      </c>
      <c r="J4707" s="1">
        <v>45320</v>
      </c>
      <c r="K4707">
        <v>95000000</v>
      </c>
    </row>
    <row r="4708" spans="5:11" x14ac:dyDescent="0.25">
      <c r="E4708" t="s">
        <v>9221</v>
      </c>
      <c r="F4708">
        <v>1856725</v>
      </c>
      <c r="G4708" s="1">
        <v>45382</v>
      </c>
      <c r="H4708" t="s">
        <v>9222</v>
      </c>
      <c r="I4708" t="s">
        <v>36</v>
      </c>
      <c r="J4708" s="1">
        <v>45292</v>
      </c>
      <c r="K4708">
        <v>-7483000</v>
      </c>
    </row>
    <row r="4709" spans="5:11" x14ac:dyDescent="0.25">
      <c r="E4709" t="s">
        <v>9223</v>
      </c>
      <c r="F4709">
        <v>1856961</v>
      </c>
      <c r="G4709" s="1">
        <v>45382</v>
      </c>
      <c r="H4709" t="s">
        <v>9224</v>
      </c>
      <c r="I4709" t="s">
        <v>299</v>
      </c>
      <c r="J4709" s="1">
        <v>45292</v>
      </c>
      <c r="K4709">
        <v>-96276</v>
      </c>
    </row>
    <row r="4710" spans="5:11" x14ac:dyDescent="0.25">
      <c r="E4710" t="s">
        <v>9225</v>
      </c>
      <c r="F4710">
        <v>1856995</v>
      </c>
      <c r="G4710" s="1">
        <v>45382</v>
      </c>
      <c r="H4710" t="s">
        <v>9226</v>
      </c>
      <c r="I4710" t="s">
        <v>186</v>
      </c>
      <c r="J4710" s="1">
        <v>45292</v>
      </c>
      <c r="K4710">
        <v>873545</v>
      </c>
    </row>
    <row r="4711" spans="5:11" x14ac:dyDescent="0.25">
      <c r="E4711" t="s">
        <v>9227</v>
      </c>
      <c r="F4711">
        <v>1857044</v>
      </c>
      <c r="G4711" s="1">
        <v>45382</v>
      </c>
      <c r="H4711" t="s">
        <v>9228</v>
      </c>
      <c r="I4711" t="s">
        <v>57</v>
      </c>
      <c r="J4711" s="1">
        <v>45292</v>
      </c>
      <c r="K4711">
        <v>-3806677</v>
      </c>
    </row>
    <row r="4712" spans="5:11" x14ac:dyDescent="0.25">
      <c r="E4712" t="s">
        <v>9229</v>
      </c>
      <c r="F4712">
        <v>1857086</v>
      </c>
      <c r="G4712" s="1">
        <v>45382</v>
      </c>
      <c r="H4712" t="s">
        <v>9230</v>
      </c>
      <c r="I4712" t="s">
        <v>406</v>
      </c>
      <c r="J4712" s="1">
        <v>45292</v>
      </c>
      <c r="K4712">
        <v>-1301864</v>
      </c>
    </row>
    <row r="4713" spans="5:11" x14ac:dyDescent="0.25">
      <c r="E4713" t="s">
        <v>9231</v>
      </c>
      <c r="F4713">
        <v>1857154</v>
      </c>
      <c r="G4713" s="1">
        <v>45382</v>
      </c>
      <c r="H4713" t="s">
        <v>9232</v>
      </c>
      <c r="I4713" t="s">
        <v>172</v>
      </c>
      <c r="J4713" s="1">
        <v>45292</v>
      </c>
      <c r="K4713">
        <v>-8534000</v>
      </c>
    </row>
    <row r="4714" spans="5:11" x14ac:dyDescent="0.25">
      <c r="E4714" t="s">
        <v>9233</v>
      </c>
      <c r="F4714">
        <v>1857410</v>
      </c>
      <c r="G4714" s="1">
        <v>45382</v>
      </c>
      <c r="H4714" t="s">
        <v>9234</v>
      </c>
      <c r="I4714" t="s">
        <v>2436</v>
      </c>
      <c r="J4714" s="1">
        <v>45292</v>
      </c>
      <c r="K4714">
        <v>4556525</v>
      </c>
    </row>
    <row r="4715" spans="5:11" x14ac:dyDescent="0.25">
      <c r="E4715" t="s">
        <v>9235</v>
      </c>
      <c r="F4715">
        <v>1857475</v>
      </c>
      <c r="G4715" s="1">
        <v>45382</v>
      </c>
      <c r="H4715" t="s">
        <v>9236</v>
      </c>
      <c r="I4715" t="s">
        <v>172</v>
      </c>
      <c r="J4715" s="1">
        <v>45292</v>
      </c>
      <c r="K4715">
        <v>70143000</v>
      </c>
    </row>
    <row r="4716" spans="5:11" x14ac:dyDescent="0.25">
      <c r="E4716" t="s">
        <v>9237</v>
      </c>
      <c r="F4716">
        <v>1857803</v>
      </c>
      <c r="G4716" s="1">
        <v>45382</v>
      </c>
      <c r="H4716" t="s">
        <v>9238</v>
      </c>
      <c r="I4716" t="s">
        <v>24</v>
      </c>
      <c r="J4716" s="1">
        <v>45292</v>
      </c>
      <c r="K4716">
        <v>-238649</v>
      </c>
    </row>
    <row r="4717" spans="5:11" x14ac:dyDescent="0.25">
      <c r="E4717" t="s">
        <v>9239</v>
      </c>
      <c r="F4717">
        <v>1857816</v>
      </c>
      <c r="G4717" s="1">
        <v>45382</v>
      </c>
      <c r="H4717" t="s">
        <v>9240</v>
      </c>
      <c r="I4717" t="s">
        <v>36</v>
      </c>
      <c r="J4717" s="1">
        <v>45292</v>
      </c>
      <c r="K4717">
        <v>27195000</v>
      </c>
    </row>
    <row r="4718" spans="5:11" x14ac:dyDescent="0.25">
      <c r="E4718" t="s">
        <v>9241</v>
      </c>
      <c r="F4718">
        <v>1857853</v>
      </c>
      <c r="G4718" s="1">
        <v>45382</v>
      </c>
      <c r="H4718" t="s">
        <v>9242</v>
      </c>
      <c r="I4718" t="s">
        <v>406</v>
      </c>
      <c r="J4718" s="1">
        <v>45292</v>
      </c>
      <c r="K4718">
        <v>-4683000</v>
      </c>
    </row>
    <row r="4719" spans="5:11" x14ac:dyDescent="0.25">
      <c r="E4719" t="s">
        <v>9243</v>
      </c>
      <c r="F4719">
        <v>1857855</v>
      </c>
      <c r="G4719" s="1">
        <v>45382</v>
      </c>
      <c r="H4719" t="s">
        <v>9244</v>
      </c>
      <c r="I4719" t="s">
        <v>24</v>
      </c>
      <c r="J4719" s="1">
        <v>45292</v>
      </c>
      <c r="K4719">
        <v>242095</v>
      </c>
    </row>
    <row r="4720" spans="5:11" x14ac:dyDescent="0.25">
      <c r="E4720" t="s">
        <v>9245</v>
      </c>
      <c r="F4720">
        <v>1858028</v>
      </c>
      <c r="G4720" s="1">
        <v>45382</v>
      </c>
      <c r="H4720" t="s">
        <v>9246</v>
      </c>
      <c r="I4720" t="s">
        <v>1245</v>
      </c>
      <c r="J4720" s="1">
        <v>45292</v>
      </c>
      <c r="K4720">
        <v>-40066</v>
      </c>
    </row>
    <row r="4721" spans="5:11" x14ac:dyDescent="0.25">
      <c r="E4721" t="s">
        <v>9247</v>
      </c>
      <c r="F4721">
        <v>1858257</v>
      </c>
      <c r="G4721" s="1">
        <v>45382</v>
      </c>
      <c r="H4721" t="s">
        <v>9248</v>
      </c>
      <c r="I4721" t="s">
        <v>172</v>
      </c>
      <c r="J4721" s="1">
        <v>45292</v>
      </c>
      <c r="K4721">
        <v>-1009000</v>
      </c>
    </row>
    <row r="4722" spans="5:11" x14ac:dyDescent="0.25">
      <c r="E4722" t="s">
        <v>9249</v>
      </c>
      <c r="F4722">
        <v>1858681</v>
      </c>
      <c r="G4722" s="1">
        <v>45382</v>
      </c>
      <c r="H4722" t="s">
        <v>9250</v>
      </c>
      <c r="I4722" t="s">
        <v>57</v>
      </c>
      <c r="J4722" s="1">
        <v>45292</v>
      </c>
      <c r="K4722">
        <v>1427000000</v>
      </c>
    </row>
    <row r="4723" spans="5:11" x14ac:dyDescent="0.25">
      <c r="E4723" t="s">
        <v>9251</v>
      </c>
      <c r="F4723">
        <v>1858685</v>
      </c>
      <c r="G4723" s="1">
        <v>45382</v>
      </c>
      <c r="H4723" t="s">
        <v>9252</v>
      </c>
      <c r="I4723" t="s">
        <v>24</v>
      </c>
      <c r="J4723" s="1">
        <v>45292</v>
      </c>
      <c r="K4723">
        <v>-10437000</v>
      </c>
    </row>
    <row r="4724" spans="5:11" x14ac:dyDescent="0.25">
      <c r="E4724" t="s">
        <v>9253</v>
      </c>
      <c r="F4724">
        <v>1858848</v>
      </c>
      <c r="G4724" s="1">
        <v>45382</v>
      </c>
      <c r="H4724" t="s">
        <v>9254</v>
      </c>
      <c r="I4724" t="s">
        <v>36</v>
      </c>
      <c r="J4724" s="1">
        <v>45292</v>
      </c>
      <c r="K4724">
        <v>-32228000</v>
      </c>
    </row>
    <row r="4725" spans="5:11" x14ac:dyDescent="0.25">
      <c r="E4725" t="s">
        <v>9255</v>
      </c>
      <c r="F4725">
        <v>1859007</v>
      </c>
      <c r="G4725" s="1">
        <v>45382</v>
      </c>
      <c r="H4725" t="s">
        <v>9256</v>
      </c>
      <c r="I4725" t="s">
        <v>33</v>
      </c>
      <c r="J4725" s="1">
        <v>45292</v>
      </c>
      <c r="K4725">
        <v>-2826737</v>
      </c>
    </row>
    <row r="4726" spans="5:11" x14ac:dyDescent="0.25">
      <c r="E4726" t="s">
        <v>9257</v>
      </c>
      <c r="F4726">
        <v>1859035</v>
      </c>
      <c r="G4726" s="1">
        <v>45382</v>
      </c>
      <c r="H4726" t="s">
        <v>9258</v>
      </c>
      <c r="I4726" t="s">
        <v>57</v>
      </c>
      <c r="J4726" s="1">
        <v>45292</v>
      </c>
      <c r="K4726">
        <v>-25537</v>
      </c>
    </row>
    <row r="4727" spans="5:11" x14ac:dyDescent="0.25">
      <c r="E4727" t="s">
        <v>9259</v>
      </c>
      <c r="F4727">
        <v>1859199</v>
      </c>
      <c r="G4727" s="1">
        <v>45382</v>
      </c>
      <c r="H4727" t="s">
        <v>9260</v>
      </c>
      <c r="I4727" t="s">
        <v>60</v>
      </c>
      <c r="J4727" s="1">
        <v>45292</v>
      </c>
      <c r="K4727">
        <v>-1418980</v>
      </c>
    </row>
    <row r="4728" spans="5:11" x14ac:dyDescent="0.25">
      <c r="E4728" t="s">
        <v>9261</v>
      </c>
      <c r="F4728">
        <v>1859285</v>
      </c>
      <c r="G4728" s="1">
        <v>45382</v>
      </c>
      <c r="H4728" t="s">
        <v>9262</v>
      </c>
      <c r="I4728" t="s">
        <v>69</v>
      </c>
      <c r="J4728" s="1">
        <v>45292</v>
      </c>
      <c r="K4728">
        <v>-3271000</v>
      </c>
    </row>
    <row r="4729" spans="5:11" x14ac:dyDescent="0.25">
      <c r="E4729" t="s">
        <v>9263</v>
      </c>
      <c r="F4729">
        <v>1859686</v>
      </c>
      <c r="G4729" s="1">
        <v>45382</v>
      </c>
      <c r="H4729" t="s">
        <v>9264</v>
      </c>
      <c r="I4729" t="s">
        <v>30</v>
      </c>
      <c r="J4729" s="1">
        <v>45292</v>
      </c>
      <c r="K4729">
        <v>1201367</v>
      </c>
    </row>
    <row r="4730" spans="5:11" x14ac:dyDescent="0.25">
      <c r="E4730" t="s">
        <v>9265</v>
      </c>
      <c r="F4730">
        <v>1859807</v>
      </c>
      <c r="G4730" s="1">
        <v>45382</v>
      </c>
      <c r="H4730" t="s">
        <v>9266</v>
      </c>
      <c r="I4730" t="s">
        <v>57</v>
      </c>
      <c r="J4730" s="1">
        <v>45292</v>
      </c>
      <c r="K4730">
        <v>-820277</v>
      </c>
    </row>
    <row r="4731" spans="5:11" x14ac:dyDescent="0.25">
      <c r="E4731" t="s">
        <v>9267</v>
      </c>
      <c r="F4731">
        <v>1859919</v>
      </c>
      <c r="G4731" s="1">
        <v>45382</v>
      </c>
      <c r="H4731" t="s">
        <v>9268</v>
      </c>
      <c r="I4731" t="s">
        <v>172</v>
      </c>
      <c r="J4731" s="1">
        <v>45292</v>
      </c>
      <c r="K4731">
        <v>51398000</v>
      </c>
    </row>
    <row r="4732" spans="5:11" x14ac:dyDescent="0.25">
      <c r="E4732" t="s">
        <v>9269</v>
      </c>
      <c r="F4732">
        <v>1860424</v>
      </c>
      <c r="G4732" s="1">
        <v>45382</v>
      </c>
      <c r="H4732" t="s">
        <v>9270</v>
      </c>
      <c r="I4732" t="s">
        <v>46</v>
      </c>
      <c r="J4732" s="1">
        <v>45292</v>
      </c>
      <c r="K4732">
        <v>8146574</v>
      </c>
    </row>
    <row r="4733" spans="5:11" x14ac:dyDescent="0.25">
      <c r="E4733" t="s">
        <v>9271</v>
      </c>
      <c r="F4733">
        <v>1860514</v>
      </c>
      <c r="G4733" s="1">
        <v>45382</v>
      </c>
      <c r="H4733" t="s">
        <v>9272</v>
      </c>
      <c r="I4733" t="s">
        <v>33</v>
      </c>
      <c r="J4733" s="1">
        <v>45292</v>
      </c>
      <c r="K4733">
        <v>279184</v>
      </c>
    </row>
    <row r="4734" spans="5:11" x14ac:dyDescent="0.25">
      <c r="E4734" t="s">
        <v>9273</v>
      </c>
      <c r="F4734">
        <v>1860543</v>
      </c>
      <c r="G4734" s="1">
        <v>45382</v>
      </c>
      <c r="H4734" t="s">
        <v>9274</v>
      </c>
      <c r="I4734" t="s">
        <v>33</v>
      </c>
      <c r="J4734" s="1">
        <v>45292</v>
      </c>
      <c r="K4734">
        <v>6928000</v>
      </c>
    </row>
    <row r="4735" spans="5:11" x14ac:dyDescent="0.25">
      <c r="E4735" t="s">
        <v>9275</v>
      </c>
      <c r="F4735">
        <v>1860657</v>
      </c>
      <c r="G4735" s="1">
        <v>45382</v>
      </c>
      <c r="H4735" t="s">
        <v>9276</v>
      </c>
      <c r="I4735" t="s">
        <v>24</v>
      </c>
      <c r="J4735" s="1">
        <v>45292</v>
      </c>
      <c r="K4735">
        <v>-3843000</v>
      </c>
    </row>
    <row r="4736" spans="5:11" x14ac:dyDescent="0.25">
      <c r="E4736" t="s">
        <v>9277</v>
      </c>
      <c r="F4736">
        <v>1860742</v>
      </c>
      <c r="G4736" s="1">
        <v>45382</v>
      </c>
      <c r="H4736" t="s">
        <v>9278</v>
      </c>
      <c r="I4736" t="s">
        <v>912</v>
      </c>
      <c r="J4736" s="1">
        <v>45292</v>
      </c>
      <c r="K4736">
        <v>-167000000</v>
      </c>
    </row>
    <row r="4737" spans="5:11" x14ac:dyDescent="0.25">
      <c r="E4737" t="s">
        <v>9279</v>
      </c>
      <c r="F4737">
        <v>1860782</v>
      </c>
      <c r="G4737" s="1">
        <v>45382</v>
      </c>
      <c r="H4737" t="s">
        <v>9280</v>
      </c>
      <c r="I4737" t="s">
        <v>24</v>
      </c>
      <c r="J4737" s="1">
        <v>45292</v>
      </c>
      <c r="K4737">
        <v>-52673000</v>
      </c>
    </row>
    <row r="4738" spans="5:11" x14ac:dyDescent="0.25">
      <c r="E4738" t="s">
        <v>9281</v>
      </c>
      <c r="F4738">
        <v>1860871</v>
      </c>
      <c r="G4738" s="1">
        <v>45382</v>
      </c>
      <c r="H4738" t="s">
        <v>9282</v>
      </c>
      <c r="I4738" t="s">
        <v>46</v>
      </c>
      <c r="J4738" s="1">
        <v>45292</v>
      </c>
      <c r="K4738">
        <v>11264842</v>
      </c>
    </row>
    <row r="4739" spans="5:11" x14ac:dyDescent="0.25">
      <c r="E4739" t="s">
        <v>9283</v>
      </c>
      <c r="F4739">
        <v>1861063</v>
      </c>
      <c r="G4739" s="1">
        <v>45382</v>
      </c>
      <c r="H4739" t="s">
        <v>9284</v>
      </c>
      <c r="I4739" t="s">
        <v>57</v>
      </c>
      <c r="J4739" s="1">
        <v>45292</v>
      </c>
      <c r="K4739">
        <v>98814</v>
      </c>
    </row>
    <row r="4740" spans="5:11" x14ac:dyDescent="0.25">
      <c r="E4740" t="s">
        <v>9285</v>
      </c>
      <c r="F4740">
        <v>1861522</v>
      </c>
      <c r="G4740" s="1">
        <v>45381</v>
      </c>
      <c r="H4740" t="s">
        <v>9286</v>
      </c>
      <c r="I4740" t="s">
        <v>57</v>
      </c>
      <c r="J4740" s="1">
        <v>45291</v>
      </c>
      <c r="K4740">
        <v>-1769411</v>
      </c>
    </row>
    <row r="4741" spans="5:11" x14ac:dyDescent="0.25">
      <c r="E4741" t="s">
        <v>9287</v>
      </c>
      <c r="F4741">
        <v>1861560</v>
      </c>
      <c r="G4741" s="1">
        <v>45382</v>
      </c>
      <c r="H4741" t="s">
        <v>9288</v>
      </c>
      <c r="I4741" t="s">
        <v>24</v>
      </c>
      <c r="J4741" s="1">
        <v>45292</v>
      </c>
      <c r="K4741">
        <v>-44482000</v>
      </c>
    </row>
    <row r="4742" spans="5:11" x14ac:dyDescent="0.25">
      <c r="E4742" t="s">
        <v>9289</v>
      </c>
      <c r="F4742">
        <v>1861622</v>
      </c>
      <c r="G4742" s="1">
        <v>45382</v>
      </c>
      <c r="H4742" t="s">
        <v>9290</v>
      </c>
      <c r="I4742" t="s">
        <v>142</v>
      </c>
      <c r="J4742" s="1">
        <v>45292</v>
      </c>
      <c r="K4742">
        <v>-3229049</v>
      </c>
    </row>
    <row r="4743" spans="5:11" x14ac:dyDescent="0.25">
      <c r="E4743" t="s">
        <v>9291</v>
      </c>
      <c r="F4743">
        <v>1861657</v>
      </c>
      <c r="G4743" s="1">
        <v>45382</v>
      </c>
      <c r="H4743" t="s">
        <v>9292</v>
      </c>
      <c r="I4743" t="s">
        <v>46</v>
      </c>
      <c r="J4743" s="1">
        <v>45292</v>
      </c>
      <c r="K4743">
        <v>-2256109</v>
      </c>
    </row>
    <row r="4744" spans="5:11" x14ac:dyDescent="0.25">
      <c r="E4744" t="s">
        <v>9293</v>
      </c>
      <c r="F4744">
        <v>1861795</v>
      </c>
      <c r="G4744" s="1">
        <v>45382</v>
      </c>
      <c r="H4744" t="s">
        <v>9294</v>
      </c>
      <c r="I4744" t="s">
        <v>24</v>
      </c>
      <c r="J4744" s="1">
        <v>45292</v>
      </c>
      <c r="K4744">
        <v>-9518000</v>
      </c>
    </row>
    <row r="4745" spans="5:11" x14ac:dyDescent="0.25">
      <c r="E4745" t="s">
        <v>9295</v>
      </c>
      <c r="F4745">
        <v>1862068</v>
      </c>
      <c r="G4745" s="1">
        <v>45382</v>
      </c>
      <c r="H4745" t="s">
        <v>9296</v>
      </c>
      <c r="I4745" t="s">
        <v>64</v>
      </c>
      <c r="J4745" s="1">
        <v>45292</v>
      </c>
      <c r="K4745">
        <v>-17979000</v>
      </c>
    </row>
    <row r="4746" spans="5:11" x14ac:dyDescent="0.25">
      <c r="E4746" t="s">
        <v>9297</v>
      </c>
      <c r="F4746">
        <v>1862150</v>
      </c>
      <c r="G4746" s="1">
        <v>45382</v>
      </c>
      <c r="H4746" t="s">
        <v>9298</v>
      </c>
      <c r="I4746" t="s">
        <v>106</v>
      </c>
      <c r="J4746" s="1">
        <v>45292</v>
      </c>
      <c r="K4746">
        <v>-2972477</v>
      </c>
    </row>
    <row r="4747" spans="5:11" x14ac:dyDescent="0.25">
      <c r="E4747" t="s">
        <v>9299</v>
      </c>
      <c r="F4747">
        <v>1862463</v>
      </c>
      <c r="G4747" s="1">
        <v>45382</v>
      </c>
      <c r="H4747" t="s">
        <v>9300</v>
      </c>
      <c r="I4747" t="s">
        <v>57</v>
      </c>
      <c r="J4747" s="1">
        <v>45292</v>
      </c>
      <c r="K4747">
        <v>-633846</v>
      </c>
    </row>
    <row r="4748" spans="5:11" x14ac:dyDescent="0.25">
      <c r="E4748" t="s">
        <v>9301</v>
      </c>
      <c r="F4748">
        <v>1862935</v>
      </c>
      <c r="G4748" s="1">
        <v>45382</v>
      </c>
      <c r="H4748" t="s">
        <v>9302</v>
      </c>
      <c r="I4748" t="s">
        <v>57</v>
      </c>
      <c r="J4748" s="1">
        <v>45292</v>
      </c>
      <c r="K4748">
        <v>590103</v>
      </c>
    </row>
    <row r="4749" spans="5:11" x14ac:dyDescent="0.25">
      <c r="E4749" t="s">
        <v>9303</v>
      </c>
      <c r="F4749">
        <v>1862993</v>
      </c>
      <c r="G4749" s="1">
        <v>45382</v>
      </c>
      <c r="H4749" t="s">
        <v>9304</v>
      </c>
      <c r="I4749" t="s">
        <v>1245</v>
      </c>
      <c r="J4749" s="1">
        <v>45292</v>
      </c>
      <c r="K4749">
        <v>1097530</v>
      </c>
    </row>
    <row r="4750" spans="5:11" x14ac:dyDescent="0.25">
      <c r="E4750" t="s">
        <v>9305</v>
      </c>
      <c r="F4750">
        <v>1863127</v>
      </c>
      <c r="G4750" s="1">
        <v>45382</v>
      </c>
      <c r="H4750" t="s">
        <v>9306</v>
      </c>
      <c r="I4750" t="s">
        <v>36</v>
      </c>
      <c r="J4750" s="1">
        <v>45292</v>
      </c>
      <c r="K4750">
        <v>-18192000</v>
      </c>
    </row>
    <row r="4751" spans="5:11" x14ac:dyDescent="0.25">
      <c r="E4751" t="s">
        <v>9307</v>
      </c>
      <c r="F4751">
        <v>1863719</v>
      </c>
      <c r="G4751" s="1">
        <v>45382</v>
      </c>
      <c r="H4751" t="s">
        <v>9308</v>
      </c>
      <c r="I4751" t="s">
        <v>36</v>
      </c>
      <c r="J4751" s="1">
        <v>45292</v>
      </c>
      <c r="K4751">
        <v>-1199055</v>
      </c>
    </row>
    <row r="4752" spans="5:11" x14ac:dyDescent="0.25">
      <c r="E4752" t="s">
        <v>9309</v>
      </c>
      <c r="F4752">
        <v>1863990</v>
      </c>
      <c r="G4752" s="1">
        <v>45382</v>
      </c>
      <c r="H4752" t="s">
        <v>9310</v>
      </c>
      <c r="I4752" t="s">
        <v>30</v>
      </c>
      <c r="J4752" s="1">
        <v>45292</v>
      </c>
      <c r="K4752">
        <v>-3922000</v>
      </c>
    </row>
    <row r="4753" spans="5:11" x14ac:dyDescent="0.25">
      <c r="E4753" t="s">
        <v>9311</v>
      </c>
      <c r="F4753">
        <v>1864032</v>
      </c>
      <c r="G4753" s="1">
        <v>45382</v>
      </c>
      <c r="H4753" t="s">
        <v>9312</v>
      </c>
      <c r="I4753" t="s">
        <v>142</v>
      </c>
      <c r="J4753" s="1">
        <v>45292</v>
      </c>
      <c r="K4753">
        <v>-309811</v>
      </c>
    </row>
    <row r="4754" spans="5:11" x14ac:dyDescent="0.25">
      <c r="E4754" t="s">
        <v>9313</v>
      </c>
      <c r="F4754">
        <v>1864531</v>
      </c>
      <c r="G4754" s="1">
        <v>45382</v>
      </c>
      <c r="H4754" t="s">
        <v>9314</v>
      </c>
      <c r="I4754" t="s">
        <v>33</v>
      </c>
      <c r="J4754" s="1">
        <v>45292</v>
      </c>
      <c r="K4754">
        <v>-2811</v>
      </c>
    </row>
    <row r="4755" spans="5:11" x14ac:dyDescent="0.25">
      <c r="E4755" t="s">
        <v>9315</v>
      </c>
      <c r="F4755">
        <v>1864943</v>
      </c>
      <c r="G4755" s="1">
        <v>45382</v>
      </c>
      <c r="H4755" t="s">
        <v>9316</v>
      </c>
      <c r="I4755" t="s">
        <v>46</v>
      </c>
      <c r="J4755" s="1">
        <v>45292</v>
      </c>
      <c r="K4755">
        <v>-412189</v>
      </c>
    </row>
    <row r="4756" spans="5:11" x14ac:dyDescent="0.25">
      <c r="E4756" t="s">
        <v>9317</v>
      </c>
      <c r="F4756">
        <v>1865107</v>
      </c>
      <c r="G4756" s="1">
        <v>45382</v>
      </c>
      <c r="H4756" t="s">
        <v>9318</v>
      </c>
      <c r="I4756" t="s">
        <v>36</v>
      </c>
      <c r="J4756" s="1">
        <v>45292</v>
      </c>
      <c r="K4756">
        <v>-8933000</v>
      </c>
    </row>
    <row r="4757" spans="5:11" x14ac:dyDescent="0.25">
      <c r="E4757" t="s">
        <v>9319</v>
      </c>
      <c r="F4757">
        <v>1865111</v>
      </c>
      <c r="G4757" s="1">
        <v>45382</v>
      </c>
      <c r="H4757" t="s">
        <v>9320</v>
      </c>
      <c r="I4757" t="s">
        <v>57</v>
      </c>
      <c r="J4757" s="1">
        <v>45292</v>
      </c>
      <c r="K4757">
        <v>724045</v>
      </c>
    </row>
    <row r="4758" spans="5:11" x14ac:dyDescent="0.25">
      <c r="E4758" t="s">
        <v>9321</v>
      </c>
      <c r="F4758">
        <v>1865120</v>
      </c>
      <c r="G4758" s="1">
        <v>45382</v>
      </c>
      <c r="H4758" t="s">
        <v>9322</v>
      </c>
      <c r="I4758" t="s">
        <v>30</v>
      </c>
      <c r="J4758" s="1">
        <v>45292</v>
      </c>
      <c r="K4758">
        <v>-533432</v>
      </c>
    </row>
    <row r="4759" spans="5:11" x14ac:dyDescent="0.25">
      <c r="E4759" t="s">
        <v>9323</v>
      </c>
      <c r="F4759">
        <v>1865187</v>
      </c>
      <c r="G4759" s="1">
        <v>45382</v>
      </c>
      <c r="H4759" t="s">
        <v>9324</v>
      </c>
      <c r="I4759" t="s">
        <v>30</v>
      </c>
      <c r="J4759" s="1">
        <v>45292</v>
      </c>
      <c r="K4759">
        <v>7623000</v>
      </c>
    </row>
    <row r="4760" spans="5:11" x14ac:dyDescent="0.25">
      <c r="E4760" t="s">
        <v>9325</v>
      </c>
      <c r="F4760">
        <v>1865200</v>
      </c>
      <c r="G4760" s="1">
        <v>45382</v>
      </c>
      <c r="H4760" t="s">
        <v>9326</v>
      </c>
      <c r="I4760" t="s">
        <v>27</v>
      </c>
      <c r="J4760" s="1">
        <v>45292</v>
      </c>
      <c r="K4760">
        <v>261607</v>
      </c>
    </row>
    <row r="4761" spans="5:11" x14ac:dyDescent="0.25">
      <c r="E4761" t="s">
        <v>9327</v>
      </c>
      <c r="F4761">
        <v>1865407</v>
      </c>
      <c r="G4761" s="1">
        <v>45382</v>
      </c>
      <c r="H4761" t="s">
        <v>9328</v>
      </c>
      <c r="I4761" t="s">
        <v>57</v>
      </c>
      <c r="J4761" s="1">
        <v>45292</v>
      </c>
      <c r="K4761">
        <v>2157456</v>
      </c>
    </row>
    <row r="4762" spans="5:11" x14ac:dyDescent="0.25">
      <c r="E4762" t="s">
        <v>9329</v>
      </c>
      <c r="F4762">
        <v>1865468</v>
      </c>
      <c r="G4762" s="1">
        <v>45382</v>
      </c>
      <c r="H4762" t="s">
        <v>9330</v>
      </c>
      <c r="I4762" t="s">
        <v>1245</v>
      </c>
      <c r="J4762" s="1">
        <v>45292</v>
      </c>
      <c r="K4762">
        <v>46544</v>
      </c>
    </row>
    <row r="4763" spans="5:11" x14ac:dyDescent="0.25">
      <c r="E4763" t="s">
        <v>9331</v>
      </c>
      <c r="F4763">
        <v>1865494</v>
      </c>
      <c r="G4763" s="1">
        <v>45382</v>
      </c>
      <c r="H4763" t="s">
        <v>9332</v>
      </c>
      <c r="I4763" t="s">
        <v>4063</v>
      </c>
      <c r="J4763" s="1">
        <v>45292</v>
      </c>
      <c r="K4763">
        <v>-19457000</v>
      </c>
    </row>
    <row r="4764" spans="5:11" x14ac:dyDescent="0.25">
      <c r="E4764" t="s">
        <v>9333</v>
      </c>
      <c r="F4764">
        <v>1865506</v>
      </c>
      <c r="G4764" s="1">
        <v>45382</v>
      </c>
      <c r="H4764" t="s">
        <v>9334</v>
      </c>
      <c r="I4764" t="s">
        <v>33</v>
      </c>
      <c r="J4764" s="1">
        <v>45292</v>
      </c>
      <c r="K4764">
        <v>-1244191</v>
      </c>
    </row>
    <row r="4765" spans="5:11" x14ac:dyDescent="0.25">
      <c r="E4765" t="s">
        <v>9335</v>
      </c>
      <c r="F4765">
        <v>1865631</v>
      </c>
      <c r="G4765" s="1">
        <v>45382</v>
      </c>
      <c r="H4765" t="s">
        <v>9336</v>
      </c>
      <c r="I4765" t="s">
        <v>123</v>
      </c>
      <c r="J4765" s="1">
        <v>45292</v>
      </c>
      <c r="K4765">
        <v>-31610000</v>
      </c>
    </row>
    <row r="4766" spans="5:11" x14ac:dyDescent="0.25">
      <c r="E4766" t="s">
        <v>9337</v>
      </c>
      <c r="F4766">
        <v>1865697</v>
      </c>
      <c r="G4766" s="1">
        <v>45382</v>
      </c>
      <c r="H4766" t="s">
        <v>9338</v>
      </c>
      <c r="I4766" t="s">
        <v>2162</v>
      </c>
      <c r="J4766" s="1">
        <v>45292</v>
      </c>
      <c r="K4766">
        <v>-267511</v>
      </c>
    </row>
    <row r="4767" spans="5:11" x14ac:dyDescent="0.25">
      <c r="E4767" t="s">
        <v>9339</v>
      </c>
      <c r="F4767">
        <v>1865782</v>
      </c>
      <c r="G4767" s="1">
        <v>45382</v>
      </c>
      <c r="H4767" t="s">
        <v>9340</v>
      </c>
      <c r="I4767" t="s">
        <v>190</v>
      </c>
      <c r="J4767" s="1">
        <v>45292</v>
      </c>
      <c r="K4767">
        <v>-45750000</v>
      </c>
    </row>
    <row r="4768" spans="5:11" x14ac:dyDescent="0.25">
      <c r="E4768" t="s">
        <v>9341</v>
      </c>
      <c r="F4768">
        <v>1865852</v>
      </c>
      <c r="G4768" s="1">
        <v>45382</v>
      </c>
      <c r="H4768" t="s">
        <v>9342</v>
      </c>
      <c r="I4768" t="s">
        <v>19</v>
      </c>
      <c r="J4768" s="1">
        <v>45292</v>
      </c>
      <c r="K4768">
        <v>-2547000</v>
      </c>
    </row>
    <row r="4769" spans="5:11" x14ac:dyDescent="0.25">
      <c r="E4769" t="s">
        <v>9343</v>
      </c>
      <c r="F4769">
        <v>1865861</v>
      </c>
      <c r="G4769" s="1">
        <v>45382</v>
      </c>
      <c r="H4769" t="s">
        <v>9344</v>
      </c>
      <c r="I4769" t="s">
        <v>46</v>
      </c>
      <c r="J4769" s="1">
        <v>45292</v>
      </c>
      <c r="K4769">
        <v>37000</v>
      </c>
    </row>
    <row r="4770" spans="5:11" x14ac:dyDescent="0.25">
      <c r="E4770" t="s">
        <v>9345</v>
      </c>
      <c r="F4770">
        <v>1866001</v>
      </c>
      <c r="G4770" s="1">
        <v>45382</v>
      </c>
      <c r="H4770" t="s">
        <v>9346</v>
      </c>
      <c r="I4770" t="s">
        <v>2273</v>
      </c>
      <c r="J4770" s="1">
        <v>45292</v>
      </c>
      <c r="K4770">
        <v>330961</v>
      </c>
    </row>
    <row r="4771" spans="5:11" x14ac:dyDescent="0.25">
      <c r="E4771" t="s">
        <v>9347</v>
      </c>
      <c r="F4771">
        <v>1866175</v>
      </c>
      <c r="G4771" s="1">
        <v>45382</v>
      </c>
      <c r="H4771" t="s">
        <v>9348</v>
      </c>
      <c r="I4771" t="s">
        <v>30</v>
      </c>
      <c r="J4771" s="1">
        <v>45292</v>
      </c>
      <c r="K4771">
        <v>-24168000</v>
      </c>
    </row>
    <row r="4772" spans="5:11" x14ac:dyDescent="0.25">
      <c r="E4772" t="s">
        <v>9349</v>
      </c>
      <c r="F4772">
        <v>1866226</v>
      </c>
      <c r="G4772" s="1">
        <v>45382</v>
      </c>
      <c r="H4772" t="s">
        <v>9350</v>
      </c>
      <c r="I4772" t="s">
        <v>19</v>
      </c>
      <c r="J4772" s="1">
        <v>45292</v>
      </c>
      <c r="K4772">
        <v>-70160</v>
      </c>
    </row>
    <row r="4773" spans="5:11" x14ac:dyDescent="0.25">
      <c r="E4773" t="s">
        <v>9351</v>
      </c>
      <c r="F4773">
        <v>1866368</v>
      </c>
      <c r="G4773" s="1">
        <v>45382</v>
      </c>
      <c r="H4773" t="s">
        <v>9352</v>
      </c>
      <c r="I4773" t="s">
        <v>1071</v>
      </c>
      <c r="J4773" s="1">
        <v>45292</v>
      </c>
      <c r="K4773">
        <v>1898000</v>
      </c>
    </row>
    <row r="4774" spans="5:11" x14ac:dyDescent="0.25">
      <c r="E4774" t="s">
        <v>9353</v>
      </c>
      <c r="F4774">
        <v>1866547</v>
      </c>
      <c r="G4774" s="1">
        <v>45382</v>
      </c>
      <c r="H4774" t="s">
        <v>9354</v>
      </c>
      <c r="I4774" t="s">
        <v>27</v>
      </c>
      <c r="J4774" s="1">
        <v>45292</v>
      </c>
      <c r="K4774">
        <v>-83777</v>
      </c>
    </row>
    <row r="4775" spans="5:11" x14ac:dyDescent="0.25">
      <c r="E4775" t="s">
        <v>9355</v>
      </c>
      <c r="F4775">
        <v>1866550</v>
      </c>
      <c r="G4775" s="1">
        <v>45382</v>
      </c>
      <c r="H4775" t="s">
        <v>9356</v>
      </c>
      <c r="I4775" t="s">
        <v>19</v>
      </c>
      <c r="J4775" s="1">
        <v>45292</v>
      </c>
      <c r="K4775">
        <v>-30882000</v>
      </c>
    </row>
    <row r="4776" spans="5:11" x14ac:dyDescent="0.25">
      <c r="E4776" t="s">
        <v>9357</v>
      </c>
      <c r="F4776">
        <v>1866581</v>
      </c>
      <c r="G4776" s="1">
        <v>45382</v>
      </c>
      <c r="H4776" t="s">
        <v>9358</v>
      </c>
      <c r="I4776" t="s">
        <v>963</v>
      </c>
      <c r="J4776" s="1">
        <v>45292</v>
      </c>
      <c r="K4776">
        <v>7062000</v>
      </c>
    </row>
    <row r="4777" spans="5:11" x14ac:dyDescent="0.25">
      <c r="E4777" t="s">
        <v>9359</v>
      </c>
      <c r="F4777">
        <v>1866633</v>
      </c>
      <c r="G4777" s="1">
        <v>45382</v>
      </c>
      <c r="H4777" t="s">
        <v>9360</v>
      </c>
      <c r="I4777" t="s">
        <v>36</v>
      </c>
      <c r="J4777" s="1">
        <v>45292</v>
      </c>
      <c r="K4777">
        <v>26370000</v>
      </c>
    </row>
    <row r="4778" spans="5:11" x14ac:dyDescent="0.25">
      <c r="E4778" t="s">
        <v>9361</v>
      </c>
      <c r="F4778">
        <v>1866692</v>
      </c>
      <c r="G4778" s="1">
        <v>45382</v>
      </c>
      <c r="H4778" t="s">
        <v>9362</v>
      </c>
      <c r="I4778" t="s">
        <v>36</v>
      </c>
      <c r="J4778" s="1">
        <v>45292</v>
      </c>
      <c r="K4778">
        <v>-21460000</v>
      </c>
    </row>
    <row r="4779" spans="5:11" x14ac:dyDescent="0.25">
      <c r="E4779" t="s">
        <v>9363</v>
      </c>
      <c r="F4779">
        <v>1866757</v>
      </c>
      <c r="G4779" s="1">
        <v>45382</v>
      </c>
      <c r="H4779" t="s">
        <v>9364</v>
      </c>
      <c r="I4779" t="s">
        <v>36</v>
      </c>
      <c r="J4779" s="1">
        <v>45292</v>
      </c>
      <c r="K4779">
        <v>139000</v>
      </c>
    </row>
    <row r="4780" spans="5:11" x14ac:dyDescent="0.25">
      <c r="E4780" t="s">
        <v>9365</v>
      </c>
      <c r="F4780">
        <v>1866816</v>
      </c>
      <c r="G4780" s="1">
        <v>45382</v>
      </c>
      <c r="H4780" t="s">
        <v>9366</v>
      </c>
      <c r="I4780" t="s">
        <v>57</v>
      </c>
      <c r="J4780" s="1">
        <v>45292</v>
      </c>
      <c r="K4780">
        <v>-1209143</v>
      </c>
    </row>
    <row r="4781" spans="5:11" x14ac:dyDescent="0.25">
      <c r="E4781" t="s">
        <v>9367</v>
      </c>
      <c r="F4781">
        <v>1866838</v>
      </c>
      <c r="G4781" s="1">
        <v>45382</v>
      </c>
      <c r="H4781" t="s">
        <v>9368</v>
      </c>
      <c r="I4781" t="s">
        <v>57</v>
      </c>
      <c r="J4781" s="1">
        <v>45292</v>
      </c>
      <c r="K4781">
        <v>128029</v>
      </c>
    </row>
    <row r="4782" spans="5:11" x14ac:dyDescent="0.25">
      <c r="E4782" t="s">
        <v>9369</v>
      </c>
      <c r="F4782">
        <v>1867066</v>
      </c>
      <c r="G4782" s="1">
        <v>45382</v>
      </c>
      <c r="H4782" t="s">
        <v>9370</v>
      </c>
      <c r="I4782" t="s">
        <v>113</v>
      </c>
      <c r="J4782" s="1">
        <v>45292</v>
      </c>
      <c r="K4782">
        <v>-10442000</v>
      </c>
    </row>
    <row r="4783" spans="5:11" x14ac:dyDescent="0.25">
      <c r="E4783" t="s">
        <v>9371</v>
      </c>
      <c r="F4783">
        <v>1867096</v>
      </c>
      <c r="G4783" s="1">
        <v>45382</v>
      </c>
      <c r="H4783" t="s">
        <v>9372</v>
      </c>
      <c r="I4783" t="s">
        <v>19</v>
      </c>
      <c r="J4783" s="1">
        <v>45292</v>
      </c>
      <c r="K4783">
        <v>-18980000</v>
      </c>
    </row>
    <row r="4784" spans="5:11" x14ac:dyDescent="0.25">
      <c r="E4784" t="s">
        <v>9373</v>
      </c>
      <c r="F4784">
        <v>1867443</v>
      </c>
      <c r="G4784" s="1">
        <v>45382</v>
      </c>
      <c r="H4784" t="s">
        <v>9374</v>
      </c>
      <c r="I4784" t="s">
        <v>36</v>
      </c>
      <c r="J4784" s="1">
        <v>45292</v>
      </c>
      <c r="K4784">
        <v>-121409</v>
      </c>
    </row>
    <row r="4785" spans="5:11" x14ac:dyDescent="0.25">
      <c r="E4785" t="s">
        <v>9375</v>
      </c>
      <c r="F4785">
        <v>1867949</v>
      </c>
      <c r="G4785" s="1">
        <v>45382</v>
      </c>
      <c r="H4785" t="s">
        <v>9376</v>
      </c>
      <c r="I4785" t="s">
        <v>33</v>
      </c>
      <c r="J4785" s="1">
        <v>45292</v>
      </c>
      <c r="K4785">
        <v>8730003</v>
      </c>
    </row>
    <row r="4786" spans="5:11" x14ac:dyDescent="0.25">
      <c r="E4786" t="s">
        <v>9377</v>
      </c>
      <c r="F4786">
        <v>1867956</v>
      </c>
      <c r="G4786" s="1">
        <v>45351</v>
      </c>
      <c r="H4786" t="s">
        <v>9378</v>
      </c>
      <c r="I4786" t="s">
        <v>9379</v>
      </c>
      <c r="J4786" s="1">
        <v>45261</v>
      </c>
      <c r="K4786">
        <v>-2850</v>
      </c>
    </row>
    <row r="4787" spans="5:11" x14ac:dyDescent="0.25">
      <c r="E4787" t="s">
        <v>9380</v>
      </c>
      <c r="F4787">
        <v>1868269</v>
      </c>
      <c r="G4787" s="1">
        <v>45382</v>
      </c>
      <c r="H4787" t="s">
        <v>9381</v>
      </c>
      <c r="I4787" t="s">
        <v>1245</v>
      </c>
      <c r="J4787" s="1">
        <v>45292</v>
      </c>
      <c r="K4787">
        <v>-741316</v>
      </c>
    </row>
    <row r="4788" spans="5:11" x14ac:dyDescent="0.25">
      <c r="E4788" t="s">
        <v>9382</v>
      </c>
      <c r="F4788">
        <v>1868275</v>
      </c>
      <c r="G4788" s="1">
        <v>45382</v>
      </c>
      <c r="H4788" t="s">
        <v>9383</v>
      </c>
      <c r="I4788" t="s">
        <v>299</v>
      </c>
      <c r="J4788" s="1">
        <v>45292</v>
      </c>
      <c r="K4788">
        <v>883000000</v>
      </c>
    </row>
    <row r="4789" spans="5:11" x14ac:dyDescent="0.25">
      <c r="E4789" t="s">
        <v>9384</v>
      </c>
      <c r="F4789">
        <v>1868279</v>
      </c>
      <c r="G4789" s="1">
        <v>45382</v>
      </c>
      <c r="H4789" t="s">
        <v>9385</v>
      </c>
      <c r="I4789" t="s">
        <v>39</v>
      </c>
      <c r="J4789" s="1">
        <v>45292</v>
      </c>
      <c r="K4789">
        <v>-17417000</v>
      </c>
    </row>
    <row r="4790" spans="5:11" x14ac:dyDescent="0.25">
      <c r="E4790" t="s">
        <v>9386</v>
      </c>
      <c r="F4790">
        <v>1868419</v>
      </c>
      <c r="G4790" s="1">
        <v>45382</v>
      </c>
      <c r="H4790" t="s">
        <v>9387</v>
      </c>
      <c r="I4790" t="s">
        <v>57</v>
      </c>
      <c r="J4790" s="1">
        <v>45292</v>
      </c>
      <c r="K4790">
        <v>408380</v>
      </c>
    </row>
    <row r="4791" spans="5:11" x14ac:dyDescent="0.25">
      <c r="E4791" t="s">
        <v>9388</v>
      </c>
      <c r="F4791">
        <v>1868573</v>
      </c>
      <c r="G4791" s="1">
        <v>45382</v>
      </c>
      <c r="H4791" t="s">
        <v>9389</v>
      </c>
      <c r="I4791" t="s">
        <v>9390</v>
      </c>
      <c r="J4791" s="1">
        <v>45292</v>
      </c>
      <c r="K4791">
        <v>-2249261</v>
      </c>
    </row>
    <row r="4792" spans="5:11" x14ac:dyDescent="0.25">
      <c r="E4792" t="s">
        <v>9391</v>
      </c>
      <c r="F4792">
        <v>1868726</v>
      </c>
      <c r="G4792" s="1">
        <v>45382</v>
      </c>
      <c r="H4792" t="s">
        <v>9392</v>
      </c>
      <c r="I4792" t="s">
        <v>57</v>
      </c>
      <c r="J4792" s="1">
        <v>45292</v>
      </c>
      <c r="K4792">
        <v>7746000</v>
      </c>
    </row>
    <row r="4793" spans="5:11" x14ac:dyDescent="0.25">
      <c r="E4793" t="s">
        <v>9393</v>
      </c>
      <c r="F4793">
        <v>1868778</v>
      </c>
      <c r="G4793" s="1">
        <v>45382</v>
      </c>
      <c r="H4793" t="s">
        <v>9394</v>
      </c>
      <c r="I4793" t="s">
        <v>36</v>
      </c>
      <c r="J4793" s="1">
        <v>45292</v>
      </c>
      <c r="K4793">
        <v>9334000</v>
      </c>
    </row>
    <row r="4794" spans="5:11" x14ac:dyDescent="0.25">
      <c r="E4794" t="s">
        <v>9395</v>
      </c>
      <c r="F4794">
        <v>1868878</v>
      </c>
      <c r="G4794" s="1">
        <v>45382</v>
      </c>
      <c r="H4794" t="s">
        <v>9396</v>
      </c>
      <c r="I4794" t="s">
        <v>57</v>
      </c>
      <c r="J4794" s="1">
        <v>45292</v>
      </c>
      <c r="K4794">
        <v>13710000</v>
      </c>
    </row>
    <row r="4795" spans="5:11" x14ac:dyDescent="0.25">
      <c r="E4795" t="s">
        <v>9397</v>
      </c>
      <c r="F4795">
        <v>1868912</v>
      </c>
      <c r="G4795" s="1">
        <v>45382</v>
      </c>
      <c r="H4795" t="s">
        <v>9398</v>
      </c>
      <c r="I4795" t="s">
        <v>19</v>
      </c>
      <c r="J4795" s="1">
        <v>45292</v>
      </c>
      <c r="K4795">
        <v>-539000</v>
      </c>
    </row>
    <row r="4796" spans="5:11" x14ac:dyDescent="0.25">
      <c r="E4796" t="s">
        <v>9399</v>
      </c>
      <c r="F4796">
        <v>1868941</v>
      </c>
      <c r="G4796" s="1">
        <v>45382</v>
      </c>
      <c r="H4796" t="s">
        <v>9400</v>
      </c>
      <c r="I4796" t="s">
        <v>123</v>
      </c>
      <c r="J4796" s="1">
        <v>45292</v>
      </c>
      <c r="K4796">
        <v>-9169000</v>
      </c>
    </row>
    <row r="4797" spans="5:11" x14ac:dyDescent="0.25">
      <c r="E4797" t="s">
        <v>9401</v>
      </c>
      <c r="F4797">
        <v>1869105</v>
      </c>
      <c r="G4797" s="1">
        <v>45382</v>
      </c>
      <c r="H4797" t="s">
        <v>9402</v>
      </c>
      <c r="I4797" t="s">
        <v>24</v>
      </c>
      <c r="J4797" s="1">
        <v>45292</v>
      </c>
      <c r="K4797">
        <v>1100442</v>
      </c>
    </row>
    <row r="4798" spans="5:11" x14ac:dyDescent="0.25">
      <c r="E4798" t="s">
        <v>9403</v>
      </c>
      <c r="F4798">
        <v>1869198</v>
      </c>
      <c r="G4798" s="1">
        <v>45382</v>
      </c>
      <c r="H4798" t="s">
        <v>9404</v>
      </c>
      <c r="I4798" t="s">
        <v>213</v>
      </c>
      <c r="J4798" s="1">
        <v>45292</v>
      </c>
      <c r="K4798">
        <v>24917000</v>
      </c>
    </row>
    <row r="4799" spans="5:11" x14ac:dyDescent="0.25">
      <c r="E4799" t="s">
        <v>9405</v>
      </c>
      <c r="F4799">
        <v>1869453</v>
      </c>
      <c r="G4799" s="1">
        <v>45382</v>
      </c>
      <c r="H4799" t="s">
        <v>9406</v>
      </c>
      <c r="I4799" t="s">
        <v>57</v>
      </c>
      <c r="J4799" s="1">
        <v>45292</v>
      </c>
      <c r="K4799">
        <v>60847000</v>
      </c>
    </row>
    <row r="4800" spans="5:11" x14ac:dyDescent="0.25">
      <c r="E4800" t="s">
        <v>9407</v>
      </c>
      <c r="F4800">
        <v>1869601</v>
      </c>
      <c r="G4800" s="1">
        <v>45382</v>
      </c>
      <c r="H4800" t="s">
        <v>9408</v>
      </c>
      <c r="I4800" t="s">
        <v>36</v>
      </c>
      <c r="J4800" s="1">
        <v>45292</v>
      </c>
      <c r="K4800">
        <v>307277</v>
      </c>
    </row>
    <row r="4801" spans="5:11" x14ac:dyDescent="0.25">
      <c r="E4801" t="s">
        <v>9409</v>
      </c>
      <c r="F4801">
        <v>1869699</v>
      </c>
      <c r="G4801" s="1">
        <v>45382</v>
      </c>
      <c r="H4801" t="s">
        <v>9410</v>
      </c>
      <c r="I4801" t="s">
        <v>57</v>
      </c>
      <c r="J4801" s="1">
        <v>45292</v>
      </c>
      <c r="K4801">
        <v>844610000</v>
      </c>
    </row>
    <row r="4802" spans="5:11" x14ac:dyDescent="0.25">
      <c r="E4802" t="s">
        <v>9411</v>
      </c>
      <c r="F4802">
        <v>1870143</v>
      </c>
      <c r="G4802" s="1">
        <v>45382</v>
      </c>
      <c r="H4802" t="s">
        <v>9412</v>
      </c>
      <c r="I4802" t="s">
        <v>213</v>
      </c>
      <c r="J4802" s="1">
        <v>45292</v>
      </c>
      <c r="K4802">
        <v>-92983</v>
      </c>
    </row>
    <row r="4803" spans="5:11" x14ac:dyDescent="0.25">
      <c r="E4803" t="s">
        <v>9413</v>
      </c>
      <c r="F4803">
        <v>1870144</v>
      </c>
      <c r="G4803" s="1">
        <v>45382</v>
      </c>
      <c r="H4803" t="s">
        <v>9414</v>
      </c>
      <c r="I4803" t="s">
        <v>19</v>
      </c>
      <c r="J4803" s="1">
        <v>45292</v>
      </c>
      <c r="K4803">
        <v>-4163584</v>
      </c>
    </row>
    <row r="4804" spans="5:11" x14ac:dyDescent="0.25">
      <c r="E4804" t="s">
        <v>9415</v>
      </c>
      <c r="F4804">
        <v>1870267</v>
      </c>
      <c r="G4804" s="1">
        <v>45382</v>
      </c>
      <c r="H4804" t="s">
        <v>9416</v>
      </c>
      <c r="I4804" t="s">
        <v>57</v>
      </c>
      <c r="J4804" s="1">
        <v>45292</v>
      </c>
      <c r="K4804">
        <v>13867000</v>
      </c>
    </row>
    <row r="4805" spans="5:11" x14ac:dyDescent="0.25">
      <c r="E4805" t="s">
        <v>9417</v>
      </c>
      <c r="F4805">
        <v>1870404</v>
      </c>
      <c r="G4805" s="1">
        <v>45382</v>
      </c>
      <c r="H4805" t="s">
        <v>9418</v>
      </c>
      <c r="I4805" t="s">
        <v>36</v>
      </c>
      <c r="J4805" s="1">
        <v>45336</v>
      </c>
      <c r="K4805">
        <v>-1727483</v>
      </c>
    </row>
    <row r="4806" spans="5:11" x14ac:dyDescent="0.25">
      <c r="E4806" t="s">
        <v>9419</v>
      </c>
      <c r="F4806">
        <v>1870940</v>
      </c>
      <c r="G4806" s="1">
        <v>45382</v>
      </c>
      <c r="H4806" t="s">
        <v>9420</v>
      </c>
      <c r="I4806" t="s">
        <v>33</v>
      </c>
      <c r="J4806" s="1">
        <v>45292</v>
      </c>
      <c r="K4806">
        <v>6029000</v>
      </c>
    </row>
    <row r="4807" spans="5:11" x14ac:dyDescent="0.25">
      <c r="E4807" t="s">
        <v>9421</v>
      </c>
      <c r="F4807">
        <v>1871181</v>
      </c>
      <c r="G4807" s="1">
        <v>45382</v>
      </c>
      <c r="H4807" t="s">
        <v>9422</v>
      </c>
      <c r="I4807" t="s">
        <v>92</v>
      </c>
      <c r="J4807" s="1">
        <v>45292</v>
      </c>
      <c r="K4807">
        <v>-16160</v>
      </c>
    </row>
    <row r="4808" spans="5:11" x14ac:dyDescent="0.25">
      <c r="E4808" t="s">
        <v>9423</v>
      </c>
      <c r="F4808">
        <v>1871509</v>
      </c>
      <c r="G4808" s="1">
        <v>45382</v>
      </c>
      <c r="H4808" t="s">
        <v>9424</v>
      </c>
      <c r="I4808" t="s">
        <v>19</v>
      </c>
      <c r="J4808" s="1">
        <v>45292</v>
      </c>
      <c r="K4808">
        <v>4562000</v>
      </c>
    </row>
    <row r="4809" spans="5:11" x14ac:dyDescent="0.25">
      <c r="E4809" t="s">
        <v>9425</v>
      </c>
      <c r="F4809">
        <v>1871638</v>
      </c>
      <c r="G4809" s="1">
        <v>45382</v>
      </c>
      <c r="H4809" t="s">
        <v>9426</v>
      </c>
      <c r="I4809" t="s">
        <v>899</v>
      </c>
      <c r="J4809" s="1">
        <v>45292</v>
      </c>
      <c r="K4809">
        <v>-10633</v>
      </c>
    </row>
    <row r="4810" spans="5:11" x14ac:dyDescent="0.25">
      <c r="E4810" t="s">
        <v>9427</v>
      </c>
      <c r="F4810">
        <v>1871745</v>
      </c>
      <c r="G4810" s="1">
        <v>45382</v>
      </c>
      <c r="H4810" t="s">
        <v>9428</v>
      </c>
      <c r="I4810" t="s">
        <v>30</v>
      </c>
      <c r="J4810" s="1">
        <v>45292</v>
      </c>
      <c r="K4810">
        <v>-4829436</v>
      </c>
    </row>
    <row r="4811" spans="5:11" x14ac:dyDescent="0.25">
      <c r="E4811" t="s">
        <v>9429</v>
      </c>
      <c r="F4811">
        <v>1872066</v>
      </c>
      <c r="G4811" s="1">
        <v>45382</v>
      </c>
      <c r="H4811" t="s">
        <v>9430</v>
      </c>
      <c r="I4811" t="s">
        <v>33</v>
      </c>
      <c r="J4811" s="1">
        <v>45292</v>
      </c>
      <c r="K4811">
        <v>-127417</v>
      </c>
    </row>
    <row r="4812" spans="5:11" x14ac:dyDescent="0.25">
      <c r="E4812" t="s">
        <v>9431</v>
      </c>
      <c r="F4812">
        <v>1872292</v>
      </c>
      <c r="G4812" s="1">
        <v>45382</v>
      </c>
      <c r="H4812" t="s">
        <v>9432</v>
      </c>
      <c r="I4812" t="s">
        <v>912</v>
      </c>
      <c r="J4812" s="1">
        <v>45292</v>
      </c>
      <c r="K4812">
        <v>-265418</v>
      </c>
    </row>
    <row r="4813" spans="5:11" x14ac:dyDescent="0.25">
      <c r="E4813" t="s">
        <v>9433</v>
      </c>
      <c r="F4813">
        <v>1872371</v>
      </c>
      <c r="G4813" s="1">
        <v>45382</v>
      </c>
      <c r="H4813" t="s">
        <v>9434</v>
      </c>
      <c r="I4813" t="s">
        <v>36</v>
      </c>
      <c r="J4813" s="1">
        <v>45292</v>
      </c>
      <c r="K4813">
        <v>56477000</v>
      </c>
    </row>
    <row r="4814" spans="5:11" x14ac:dyDescent="0.25">
      <c r="E4814" t="s">
        <v>9435</v>
      </c>
      <c r="F4814">
        <v>1872789</v>
      </c>
      <c r="G4814" s="1">
        <v>45382</v>
      </c>
      <c r="H4814" t="s">
        <v>9436</v>
      </c>
      <c r="I4814" t="s">
        <v>46</v>
      </c>
      <c r="J4814" s="1">
        <v>45292</v>
      </c>
      <c r="K4814">
        <v>28900000</v>
      </c>
    </row>
    <row r="4815" spans="5:11" x14ac:dyDescent="0.25">
      <c r="E4815" t="s">
        <v>9437</v>
      </c>
      <c r="F4815">
        <v>1873213</v>
      </c>
      <c r="G4815" s="1">
        <v>45412</v>
      </c>
      <c r="H4815" t="s">
        <v>9438</v>
      </c>
      <c r="I4815" t="s">
        <v>9439</v>
      </c>
      <c r="J4815" s="1">
        <v>45323</v>
      </c>
      <c r="K4815">
        <v>-4606</v>
      </c>
    </row>
    <row r="4816" spans="5:11" x14ac:dyDescent="0.25">
      <c r="E4816" t="s">
        <v>9440</v>
      </c>
      <c r="F4816">
        <v>1873441</v>
      </c>
      <c r="G4816" s="1">
        <v>45382</v>
      </c>
      <c r="H4816" t="s">
        <v>9441</v>
      </c>
      <c r="I4816" t="s">
        <v>2436</v>
      </c>
      <c r="J4816" s="1">
        <v>45292</v>
      </c>
      <c r="K4816">
        <v>1853095</v>
      </c>
    </row>
    <row r="4817" spans="5:11" x14ac:dyDescent="0.25">
      <c r="E4817" t="s">
        <v>9442</v>
      </c>
      <c r="F4817">
        <v>1873722</v>
      </c>
      <c r="G4817" s="1">
        <v>45382</v>
      </c>
      <c r="H4817" t="s">
        <v>9443</v>
      </c>
      <c r="I4817" t="s">
        <v>2138</v>
      </c>
      <c r="J4817" s="1">
        <v>45292</v>
      </c>
      <c r="K4817">
        <v>-460867</v>
      </c>
    </row>
    <row r="4818" spans="5:11" x14ac:dyDescent="0.25">
      <c r="E4818" t="s">
        <v>9444</v>
      </c>
      <c r="F4818">
        <v>1873835</v>
      </c>
      <c r="G4818" s="1">
        <v>45382</v>
      </c>
      <c r="H4818" t="s">
        <v>9445</v>
      </c>
      <c r="I4818" t="s">
        <v>36</v>
      </c>
      <c r="J4818" s="1">
        <v>45292</v>
      </c>
      <c r="K4818">
        <v>-5258991</v>
      </c>
    </row>
    <row r="4819" spans="5:11" x14ac:dyDescent="0.25">
      <c r="E4819" t="s">
        <v>9446</v>
      </c>
      <c r="F4819">
        <v>1873875</v>
      </c>
      <c r="G4819" s="1">
        <v>45382</v>
      </c>
      <c r="H4819" t="s">
        <v>9447</v>
      </c>
      <c r="I4819" t="s">
        <v>5013</v>
      </c>
      <c r="J4819" s="1">
        <v>45292</v>
      </c>
      <c r="K4819">
        <v>-6031000</v>
      </c>
    </row>
    <row r="4820" spans="5:11" x14ac:dyDescent="0.25">
      <c r="E4820" t="s">
        <v>9448</v>
      </c>
      <c r="F4820">
        <v>1873923</v>
      </c>
      <c r="G4820" s="1">
        <v>45382</v>
      </c>
      <c r="H4820" t="s">
        <v>9449</v>
      </c>
      <c r="I4820" t="s">
        <v>113</v>
      </c>
      <c r="J4820" s="1">
        <v>45292</v>
      </c>
      <c r="K4820">
        <v>-26232000</v>
      </c>
    </row>
    <row r="4821" spans="5:11" x14ac:dyDescent="0.25">
      <c r="E4821" t="s">
        <v>9450</v>
      </c>
      <c r="F4821">
        <v>1874071</v>
      </c>
      <c r="G4821" s="1">
        <v>45382</v>
      </c>
      <c r="H4821" t="s">
        <v>9451</v>
      </c>
      <c r="I4821" t="s">
        <v>57</v>
      </c>
      <c r="J4821" s="1">
        <v>45292</v>
      </c>
      <c r="K4821">
        <v>2414000</v>
      </c>
    </row>
    <row r="4822" spans="5:11" x14ac:dyDescent="0.25">
      <c r="E4822" t="s">
        <v>9452</v>
      </c>
      <c r="F4822">
        <v>1874097</v>
      </c>
      <c r="G4822" s="1">
        <v>45382</v>
      </c>
      <c r="H4822" t="s">
        <v>9453</v>
      </c>
      <c r="I4822" t="s">
        <v>36</v>
      </c>
      <c r="J4822" s="1">
        <v>45292</v>
      </c>
      <c r="K4822">
        <v>-5970079</v>
      </c>
    </row>
    <row r="4823" spans="5:11" x14ac:dyDescent="0.25">
      <c r="E4823" t="s">
        <v>9454</v>
      </c>
      <c r="F4823">
        <v>1874178</v>
      </c>
      <c r="G4823" s="1">
        <v>45382</v>
      </c>
      <c r="H4823" t="s">
        <v>9455</v>
      </c>
      <c r="I4823" t="s">
        <v>36</v>
      </c>
      <c r="J4823" s="1">
        <v>45292</v>
      </c>
      <c r="K4823">
        <v>-1446000000</v>
      </c>
    </row>
    <row r="4824" spans="5:11" x14ac:dyDescent="0.25">
      <c r="E4824" t="s">
        <v>9456</v>
      </c>
      <c r="F4824">
        <v>1874875</v>
      </c>
      <c r="G4824" s="1">
        <v>45382</v>
      </c>
      <c r="H4824" t="s">
        <v>9457</v>
      </c>
      <c r="I4824" t="s">
        <v>123</v>
      </c>
      <c r="J4824" s="1">
        <v>45292</v>
      </c>
      <c r="K4824">
        <v>1065814</v>
      </c>
    </row>
    <row r="4825" spans="5:11" x14ac:dyDescent="0.25">
      <c r="E4825" t="s">
        <v>9458</v>
      </c>
      <c r="F4825">
        <v>1874944</v>
      </c>
      <c r="G4825" s="1">
        <v>45382</v>
      </c>
      <c r="H4825" t="s">
        <v>9459</v>
      </c>
      <c r="I4825" t="s">
        <v>963</v>
      </c>
      <c r="J4825" s="1">
        <v>45292</v>
      </c>
      <c r="K4825">
        <v>-140916000</v>
      </c>
    </row>
    <row r="4826" spans="5:11" x14ac:dyDescent="0.25">
      <c r="E4826" t="s">
        <v>9460</v>
      </c>
      <c r="F4826">
        <v>1874999</v>
      </c>
      <c r="G4826" s="1">
        <v>45382</v>
      </c>
      <c r="H4826" t="s">
        <v>9461</v>
      </c>
      <c r="I4826" t="s">
        <v>33</v>
      </c>
      <c r="J4826" s="1">
        <v>45292</v>
      </c>
      <c r="K4826">
        <v>-3334</v>
      </c>
    </row>
    <row r="4827" spans="5:11" x14ac:dyDescent="0.25">
      <c r="E4827" t="s">
        <v>9462</v>
      </c>
      <c r="F4827">
        <v>1875493</v>
      </c>
      <c r="G4827" s="1">
        <v>45382</v>
      </c>
      <c r="H4827" t="s">
        <v>9463</v>
      </c>
      <c r="I4827" t="s">
        <v>33</v>
      </c>
      <c r="J4827" s="1">
        <v>45292</v>
      </c>
      <c r="K4827">
        <v>148092</v>
      </c>
    </row>
    <row r="4828" spans="5:11" x14ac:dyDescent="0.25">
      <c r="E4828" t="s">
        <v>9464</v>
      </c>
      <c r="F4828">
        <v>1875558</v>
      </c>
      <c r="G4828" s="1">
        <v>45382</v>
      </c>
      <c r="H4828" t="s">
        <v>9465</v>
      </c>
      <c r="I4828" t="s">
        <v>46</v>
      </c>
      <c r="J4828" s="1">
        <v>45292</v>
      </c>
      <c r="K4828">
        <v>-4171000</v>
      </c>
    </row>
    <row r="4829" spans="5:11" x14ac:dyDescent="0.25">
      <c r="E4829" t="s">
        <v>9466</v>
      </c>
      <c r="F4829">
        <v>1876255</v>
      </c>
      <c r="G4829" s="1">
        <v>45382</v>
      </c>
      <c r="H4829" t="s">
        <v>9467</v>
      </c>
      <c r="I4829" t="s">
        <v>57</v>
      </c>
      <c r="J4829" s="1">
        <v>45292</v>
      </c>
      <c r="K4829">
        <v>3991000</v>
      </c>
    </row>
    <row r="4830" spans="5:11" x14ac:dyDescent="0.25">
      <c r="E4830" t="s">
        <v>9468</v>
      </c>
      <c r="F4830">
        <v>1876716</v>
      </c>
      <c r="G4830" s="1">
        <v>45382</v>
      </c>
      <c r="H4830" t="s">
        <v>9469</v>
      </c>
      <c r="I4830" t="s">
        <v>1245</v>
      </c>
      <c r="J4830" s="1">
        <v>45292</v>
      </c>
      <c r="K4830">
        <v>142345</v>
      </c>
    </row>
    <row r="4831" spans="5:11" x14ac:dyDescent="0.25">
      <c r="E4831" t="s">
        <v>9470</v>
      </c>
      <c r="F4831">
        <v>1876945</v>
      </c>
      <c r="G4831" s="1">
        <v>45382</v>
      </c>
      <c r="H4831" t="s">
        <v>9471</v>
      </c>
      <c r="I4831" t="s">
        <v>36</v>
      </c>
      <c r="J4831" s="1">
        <v>45292</v>
      </c>
      <c r="K4831">
        <v>-13635000</v>
      </c>
    </row>
    <row r="4832" spans="5:11" x14ac:dyDescent="0.25">
      <c r="E4832" t="s">
        <v>9472</v>
      </c>
      <c r="F4832">
        <v>1877322</v>
      </c>
      <c r="G4832" s="1">
        <v>45380</v>
      </c>
      <c r="H4832" t="s">
        <v>9473</v>
      </c>
      <c r="I4832" t="s">
        <v>299</v>
      </c>
      <c r="J4832" s="1">
        <v>45292</v>
      </c>
      <c r="K4832">
        <v>59951000</v>
      </c>
    </row>
    <row r="4833" spans="5:11" x14ac:dyDescent="0.25">
      <c r="E4833" t="s">
        <v>9474</v>
      </c>
      <c r="F4833">
        <v>1877461</v>
      </c>
      <c r="G4833" s="1">
        <v>45382</v>
      </c>
      <c r="H4833" t="s">
        <v>9475</v>
      </c>
      <c r="I4833" t="s">
        <v>113</v>
      </c>
      <c r="J4833" s="1">
        <v>45292</v>
      </c>
      <c r="K4833">
        <v>-286437</v>
      </c>
    </row>
    <row r="4834" spans="5:11" x14ac:dyDescent="0.25">
      <c r="E4834" t="s">
        <v>9476</v>
      </c>
      <c r="F4834">
        <v>1877557</v>
      </c>
      <c r="G4834" s="1">
        <v>45382</v>
      </c>
      <c r="H4834" t="s">
        <v>9477</v>
      </c>
      <c r="I4834" t="s">
        <v>57</v>
      </c>
      <c r="J4834" s="1">
        <v>45292</v>
      </c>
      <c r="K4834">
        <v>-37130</v>
      </c>
    </row>
    <row r="4835" spans="5:11" x14ac:dyDescent="0.25">
      <c r="E4835" t="s">
        <v>9478</v>
      </c>
      <c r="F4835">
        <v>1877939</v>
      </c>
      <c r="G4835" s="1">
        <v>45382</v>
      </c>
      <c r="H4835" t="s">
        <v>9479</v>
      </c>
      <c r="I4835" t="s">
        <v>123</v>
      </c>
      <c r="J4835" s="1">
        <v>45292</v>
      </c>
      <c r="K4835">
        <v>-4111722</v>
      </c>
    </row>
    <row r="4836" spans="5:11" x14ac:dyDescent="0.25">
      <c r="E4836" t="s">
        <v>9480</v>
      </c>
      <c r="F4836">
        <v>1878074</v>
      </c>
      <c r="G4836" s="1">
        <v>45382</v>
      </c>
      <c r="H4836" t="s">
        <v>9481</v>
      </c>
      <c r="I4836" t="s">
        <v>57</v>
      </c>
      <c r="J4836" s="1">
        <v>45292</v>
      </c>
      <c r="K4836">
        <v>212762</v>
      </c>
    </row>
    <row r="4837" spans="5:11" x14ac:dyDescent="0.25">
      <c r="E4837" t="s">
        <v>9482</v>
      </c>
      <c r="F4837">
        <v>1878897</v>
      </c>
      <c r="G4837" s="1">
        <v>45382</v>
      </c>
      <c r="H4837" t="s">
        <v>9483</v>
      </c>
      <c r="I4837" t="s">
        <v>33</v>
      </c>
      <c r="J4837" s="1">
        <v>45292</v>
      </c>
      <c r="K4837">
        <v>-41475000</v>
      </c>
    </row>
    <row r="4838" spans="5:11" x14ac:dyDescent="0.25">
      <c r="E4838" t="s">
        <v>9484</v>
      </c>
      <c r="F4838">
        <v>1879103</v>
      </c>
      <c r="G4838" s="1">
        <v>45382</v>
      </c>
      <c r="H4838" t="s">
        <v>9485</v>
      </c>
      <c r="I4838" t="s">
        <v>24</v>
      </c>
      <c r="J4838" s="1">
        <v>45292</v>
      </c>
      <c r="K4838">
        <v>-40000</v>
      </c>
    </row>
    <row r="4839" spans="5:11" x14ac:dyDescent="0.25">
      <c r="E4839" t="s">
        <v>9486</v>
      </c>
      <c r="F4839">
        <v>1879270</v>
      </c>
      <c r="G4839" s="1">
        <v>45382</v>
      </c>
      <c r="H4839" t="s">
        <v>9487</v>
      </c>
      <c r="I4839" t="s">
        <v>64</v>
      </c>
      <c r="J4839" s="1">
        <v>45292</v>
      </c>
      <c r="K4839">
        <v>-85408</v>
      </c>
    </row>
    <row r="4840" spans="5:11" x14ac:dyDescent="0.25">
      <c r="E4840" t="s">
        <v>9488</v>
      </c>
      <c r="F4840">
        <v>1879293</v>
      </c>
      <c r="G4840" s="1">
        <v>45382</v>
      </c>
      <c r="H4840" t="s">
        <v>9489</v>
      </c>
      <c r="I4840" t="s">
        <v>19</v>
      </c>
      <c r="J4840" s="1">
        <v>45292</v>
      </c>
      <c r="K4840">
        <v>-65776</v>
      </c>
    </row>
    <row r="4841" spans="5:11" x14ac:dyDescent="0.25">
      <c r="E4841" t="s">
        <v>9490</v>
      </c>
      <c r="F4841">
        <v>1879373</v>
      </c>
      <c r="G4841" s="1">
        <v>45382</v>
      </c>
      <c r="H4841" t="s">
        <v>9491</v>
      </c>
      <c r="I4841" t="s">
        <v>4980</v>
      </c>
      <c r="J4841" s="1">
        <v>45292</v>
      </c>
      <c r="K4841">
        <v>-11594000</v>
      </c>
    </row>
    <row r="4842" spans="5:11" x14ac:dyDescent="0.25">
      <c r="E4842" t="s">
        <v>9492</v>
      </c>
      <c r="F4842">
        <v>1879403</v>
      </c>
      <c r="G4842" s="1">
        <v>45382</v>
      </c>
      <c r="H4842" t="s">
        <v>9493</v>
      </c>
      <c r="I4842" t="s">
        <v>33</v>
      </c>
      <c r="J4842" s="1">
        <v>45292</v>
      </c>
      <c r="K4842">
        <v>-4598796</v>
      </c>
    </row>
    <row r="4843" spans="5:11" x14ac:dyDescent="0.25">
      <c r="E4843" t="s">
        <v>9494</v>
      </c>
      <c r="F4843">
        <v>1879726</v>
      </c>
      <c r="G4843" s="1">
        <v>45382</v>
      </c>
      <c r="H4843" t="s">
        <v>9495</v>
      </c>
      <c r="I4843" t="s">
        <v>33</v>
      </c>
      <c r="J4843" s="1">
        <v>45292</v>
      </c>
      <c r="K4843">
        <v>-3810500</v>
      </c>
    </row>
    <row r="4844" spans="5:11" x14ac:dyDescent="0.25">
      <c r="E4844" t="s">
        <v>9496</v>
      </c>
      <c r="F4844">
        <v>1879814</v>
      </c>
      <c r="G4844" s="1">
        <v>45382</v>
      </c>
      <c r="H4844" t="s">
        <v>9497</v>
      </c>
      <c r="I4844" t="s">
        <v>186</v>
      </c>
      <c r="J4844" s="1">
        <v>45292</v>
      </c>
      <c r="K4844">
        <v>291033</v>
      </c>
    </row>
    <row r="4845" spans="5:11" x14ac:dyDescent="0.25">
      <c r="E4845" t="s">
        <v>10589</v>
      </c>
      <c r="F4845">
        <v>1879848</v>
      </c>
      <c r="G4845" s="1">
        <v>45382</v>
      </c>
      <c r="H4845" t="s">
        <v>9498</v>
      </c>
      <c r="I4845" t="s">
        <v>36</v>
      </c>
      <c r="J4845" s="1">
        <v>45292</v>
      </c>
      <c r="K4845">
        <v>14799000</v>
      </c>
    </row>
    <row r="4846" spans="5:11" x14ac:dyDescent="0.25">
      <c r="E4846" t="s">
        <v>9499</v>
      </c>
      <c r="F4846">
        <v>1879851</v>
      </c>
      <c r="G4846" s="1">
        <v>45382</v>
      </c>
      <c r="H4846" t="s">
        <v>9500</v>
      </c>
      <c r="I4846" t="s">
        <v>57</v>
      </c>
      <c r="J4846" s="1">
        <v>45292</v>
      </c>
      <c r="K4846">
        <v>450809</v>
      </c>
    </row>
    <row r="4847" spans="5:11" x14ac:dyDescent="0.25">
      <c r="E4847" t="s">
        <v>9501</v>
      </c>
      <c r="F4847">
        <v>1880249</v>
      </c>
      <c r="G4847" s="1">
        <v>45412</v>
      </c>
      <c r="H4847" t="s">
        <v>9502</v>
      </c>
      <c r="I4847" t="s">
        <v>3015</v>
      </c>
      <c r="J4847" s="1">
        <v>45323</v>
      </c>
      <c r="K4847">
        <v>-63537</v>
      </c>
    </row>
    <row r="4848" spans="5:11" x14ac:dyDescent="0.25">
      <c r="E4848" t="s">
        <v>9503</v>
      </c>
      <c r="F4848">
        <v>1880319</v>
      </c>
      <c r="G4848" s="1">
        <v>45382</v>
      </c>
      <c r="H4848" t="s">
        <v>9504</v>
      </c>
      <c r="I4848" t="s">
        <v>9505</v>
      </c>
      <c r="J4848" s="1">
        <v>45292</v>
      </c>
      <c r="K4848">
        <v>-82558000</v>
      </c>
    </row>
    <row r="4849" spans="5:11" x14ac:dyDescent="0.25">
      <c r="E4849" t="s">
        <v>9506</v>
      </c>
      <c r="F4849">
        <v>1880343</v>
      </c>
      <c r="G4849" s="1">
        <v>45382</v>
      </c>
      <c r="H4849" t="s">
        <v>9507</v>
      </c>
      <c r="I4849" t="s">
        <v>172</v>
      </c>
      <c r="J4849" s="1">
        <v>45292</v>
      </c>
      <c r="K4849">
        <v>-1212315</v>
      </c>
    </row>
    <row r="4850" spans="5:11" x14ac:dyDescent="0.25">
      <c r="E4850" t="s">
        <v>9508</v>
      </c>
      <c r="F4850">
        <v>1880431</v>
      </c>
      <c r="G4850" s="1">
        <v>45382</v>
      </c>
      <c r="H4850" t="s">
        <v>9509</v>
      </c>
      <c r="I4850" t="s">
        <v>33</v>
      </c>
      <c r="J4850" s="1">
        <v>45292</v>
      </c>
      <c r="K4850">
        <v>-6945370</v>
      </c>
    </row>
    <row r="4851" spans="5:11" x14ac:dyDescent="0.25">
      <c r="E4851" t="s">
        <v>9510</v>
      </c>
      <c r="F4851">
        <v>1880438</v>
      </c>
      <c r="G4851" s="1">
        <v>45382</v>
      </c>
      <c r="H4851" t="s">
        <v>9511</v>
      </c>
      <c r="I4851" t="s">
        <v>36</v>
      </c>
      <c r="J4851" s="1">
        <v>45292</v>
      </c>
      <c r="K4851">
        <v>-16617000</v>
      </c>
    </row>
    <row r="4852" spans="5:11" x14ac:dyDescent="0.25">
      <c r="E4852" t="s">
        <v>9512</v>
      </c>
      <c r="F4852">
        <v>1880441</v>
      </c>
      <c r="G4852" s="1">
        <v>45382</v>
      </c>
      <c r="H4852" t="s">
        <v>9513</v>
      </c>
      <c r="I4852" t="s">
        <v>186</v>
      </c>
      <c r="J4852" s="1">
        <v>45292</v>
      </c>
      <c r="K4852">
        <v>3453001</v>
      </c>
    </row>
    <row r="4853" spans="5:11" x14ac:dyDescent="0.25">
      <c r="E4853" t="s">
        <v>9514</v>
      </c>
      <c r="F4853">
        <v>1880613</v>
      </c>
      <c r="G4853" s="1">
        <v>45382</v>
      </c>
      <c r="H4853" t="s">
        <v>9515</v>
      </c>
      <c r="I4853" t="s">
        <v>30</v>
      </c>
      <c r="J4853" s="1">
        <v>45292</v>
      </c>
      <c r="K4853">
        <v>-775000</v>
      </c>
    </row>
    <row r="4854" spans="5:11" x14ac:dyDescent="0.25">
      <c r="E4854" t="s">
        <v>9516</v>
      </c>
      <c r="F4854">
        <v>1880661</v>
      </c>
      <c r="G4854" s="1">
        <v>45382</v>
      </c>
      <c r="H4854" t="s">
        <v>9517</v>
      </c>
      <c r="I4854" t="s">
        <v>30</v>
      </c>
      <c r="J4854" s="1">
        <v>45292</v>
      </c>
      <c r="K4854">
        <v>15519000</v>
      </c>
    </row>
    <row r="4855" spans="5:11" x14ac:dyDescent="0.25">
      <c r="E4855" t="s">
        <v>9518</v>
      </c>
      <c r="F4855">
        <v>1881462</v>
      </c>
      <c r="G4855" s="1">
        <v>45382</v>
      </c>
      <c r="H4855" t="s">
        <v>9519</v>
      </c>
      <c r="I4855" t="s">
        <v>1511</v>
      </c>
      <c r="J4855" s="1">
        <v>45292</v>
      </c>
      <c r="K4855">
        <v>13000</v>
      </c>
    </row>
    <row r="4856" spans="5:11" x14ac:dyDescent="0.25">
      <c r="E4856" t="s">
        <v>9520</v>
      </c>
      <c r="F4856">
        <v>1881487</v>
      </c>
      <c r="G4856" s="1">
        <v>45382</v>
      </c>
      <c r="H4856" t="s">
        <v>9521</v>
      </c>
      <c r="I4856" t="s">
        <v>30</v>
      </c>
      <c r="J4856" s="1">
        <v>45292</v>
      </c>
      <c r="K4856">
        <v>1800000</v>
      </c>
    </row>
    <row r="4857" spans="5:11" x14ac:dyDescent="0.25">
      <c r="E4857" t="s">
        <v>9522</v>
      </c>
      <c r="F4857">
        <v>1881551</v>
      </c>
      <c r="G4857" s="1">
        <v>45382</v>
      </c>
      <c r="H4857" t="s">
        <v>9523</v>
      </c>
      <c r="I4857" t="s">
        <v>30</v>
      </c>
      <c r="J4857" s="1">
        <v>45292</v>
      </c>
      <c r="K4857">
        <v>-29766263</v>
      </c>
    </row>
    <row r="4858" spans="5:11" x14ac:dyDescent="0.25">
      <c r="E4858" t="s">
        <v>9524</v>
      </c>
      <c r="F4858">
        <v>1881592</v>
      </c>
      <c r="G4858" s="1">
        <v>45382</v>
      </c>
      <c r="H4858" t="s">
        <v>9525</v>
      </c>
      <c r="I4858" t="s">
        <v>19</v>
      </c>
      <c r="J4858" s="1">
        <v>45292</v>
      </c>
      <c r="K4858">
        <v>-246000</v>
      </c>
    </row>
    <row r="4859" spans="5:11" x14ac:dyDescent="0.25">
      <c r="E4859" t="s">
        <v>9526</v>
      </c>
      <c r="F4859">
        <v>1881741</v>
      </c>
      <c r="G4859" s="1">
        <v>45382</v>
      </c>
      <c r="H4859" t="s">
        <v>9527</v>
      </c>
      <c r="I4859" t="s">
        <v>33</v>
      </c>
      <c r="J4859" s="1">
        <v>45292</v>
      </c>
      <c r="K4859">
        <v>-188723</v>
      </c>
    </row>
    <row r="4860" spans="5:11" x14ac:dyDescent="0.25">
      <c r="E4860" t="s">
        <v>9528</v>
      </c>
      <c r="F4860">
        <v>1882464</v>
      </c>
      <c r="G4860" s="1">
        <v>45382</v>
      </c>
      <c r="H4860" t="s">
        <v>9529</v>
      </c>
      <c r="I4860" t="s">
        <v>46</v>
      </c>
      <c r="J4860" s="1">
        <v>45292</v>
      </c>
      <c r="K4860">
        <v>297020</v>
      </c>
    </row>
    <row r="4861" spans="5:11" x14ac:dyDescent="0.25">
      <c r="E4861" t="s">
        <v>9530</v>
      </c>
      <c r="F4861">
        <v>1882781</v>
      </c>
      <c r="G4861" s="1">
        <v>45382</v>
      </c>
      <c r="H4861" t="s">
        <v>9531</v>
      </c>
      <c r="I4861" t="s">
        <v>3015</v>
      </c>
      <c r="J4861" s="1">
        <v>45292</v>
      </c>
      <c r="K4861">
        <v>-3980</v>
      </c>
    </row>
    <row r="4862" spans="5:11" x14ac:dyDescent="0.25">
      <c r="E4862" t="s">
        <v>9532</v>
      </c>
      <c r="F4862">
        <v>1882850</v>
      </c>
      <c r="G4862" s="1">
        <v>45382</v>
      </c>
      <c r="H4862" t="s">
        <v>9533</v>
      </c>
      <c r="I4862" t="s">
        <v>57</v>
      </c>
      <c r="J4862" s="1">
        <v>45292</v>
      </c>
      <c r="K4862">
        <v>7939000</v>
      </c>
    </row>
    <row r="4863" spans="5:11" x14ac:dyDescent="0.25">
      <c r="E4863" t="s">
        <v>9534</v>
      </c>
      <c r="F4863">
        <v>1882963</v>
      </c>
      <c r="G4863" s="1">
        <v>45382</v>
      </c>
      <c r="H4863" t="s">
        <v>9535</v>
      </c>
      <c r="I4863" t="s">
        <v>57</v>
      </c>
      <c r="J4863" s="1">
        <v>45292</v>
      </c>
      <c r="K4863">
        <v>-399622</v>
      </c>
    </row>
    <row r="4864" spans="5:11" x14ac:dyDescent="0.25">
      <c r="E4864" t="s">
        <v>9536</v>
      </c>
      <c r="F4864">
        <v>1883085</v>
      </c>
      <c r="G4864" s="1">
        <v>45382</v>
      </c>
      <c r="H4864" t="s">
        <v>9537</v>
      </c>
      <c r="I4864" t="s">
        <v>57</v>
      </c>
      <c r="J4864" s="1">
        <v>45292</v>
      </c>
      <c r="K4864">
        <v>-21223000</v>
      </c>
    </row>
    <row r="4865" spans="5:11" x14ac:dyDescent="0.25">
      <c r="E4865" t="s">
        <v>9538</v>
      </c>
      <c r="F4865">
        <v>1883313</v>
      </c>
      <c r="G4865" s="1">
        <v>45381</v>
      </c>
      <c r="H4865" t="s">
        <v>9539</v>
      </c>
      <c r="I4865" t="s">
        <v>504</v>
      </c>
      <c r="J4865" s="1">
        <v>45291</v>
      </c>
      <c r="K4865">
        <v>-467000</v>
      </c>
    </row>
    <row r="4866" spans="5:11" x14ac:dyDescent="0.25">
      <c r="E4866" t="s">
        <v>9540</v>
      </c>
      <c r="F4866">
        <v>1883685</v>
      </c>
      <c r="G4866" s="1">
        <v>45382</v>
      </c>
      <c r="H4866" t="s">
        <v>9541</v>
      </c>
      <c r="I4866" t="s">
        <v>24</v>
      </c>
      <c r="J4866" s="1">
        <v>45292</v>
      </c>
      <c r="K4866">
        <v>-142568000</v>
      </c>
    </row>
    <row r="4867" spans="5:11" x14ac:dyDescent="0.25">
      <c r="E4867" t="s">
        <v>9542</v>
      </c>
      <c r="F4867">
        <v>1883814</v>
      </c>
      <c r="G4867" s="1">
        <v>45382</v>
      </c>
      <c r="H4867" t="s">
        <v>9543</v>
      </c>
      <c r="I4867" t="s">
        <v>30</v>
      </c>
      <c r="J4867" s="1">
        <v>45292</v>
      </c>
      <c r="K4867">
        <v>-406000</v>
      </c>
    </row>
    <row r="4868" spans="5:11" x14ac:dyDescent="0.25">
      <c r="E4868" t="s">
        <v>9544</v>
      </c>
      <c r="F4868">
        <v>1883835</v>
      </c>
      <c r="G4868" s="1">
        <v>45382</v>
      </c>
      <c r="H4868" t="s">
        <v>9545</v>
      </c>
      <c r="I4868" t="s">
        <v>39</v>
      </c>
      <c r="J4868" s="1">
        <v>45292</v>
      </c>
      <c r="K4868">
        <v>-587667</v>
      </c>
    </row>
    <row r="4869" spans="5:11" x14ac:dyDescent="0.25">
      <c r="E4869" t="s">
        <v>9546</v>
      </c>
      <c r="F4869">
        <v>1883983</v>
      </c>
      <c r="G4869" s="1">
        <v>45382</v>
      </c>
      <c r="H4869" t="s">
        <v>9547</v>
      </c>
      <c r="I4869" t="s">
        <v>57</v>
      </c>
      <c r="J4869" s="1">
        <v>45292</v>
      </c>
      <c r="K4869">
        <v>-25609</v>
      </c>
    </row>
    <row r="4870" spans="5:11" x14ac:dyDescent="0.25">
      <c r="E4870" t="s">
        <v>9548</v>
      </c>
      <c r="F4870">
        <v>1883984</v>
      </c>
      <c r="G4870" s="1">
        <v>45382</v>
      </c>
      <c r="H4870" t="s">
        <v>9549</v>
      </c>
      <c r="I4870" t="s">
        <v>686</v>
      </c>
      <c r="J4870" s="1">
        <v>45292</v>
      </c>
      <c r="K4870">
        <v>-6579000</v>
      </c>
    </row>
    <row r="4871" spans="5:11" x14ac:dyDescent="0.25">
      <c r="E4871" t="s">
        <v>9550</v>
      </c>
      <c r="F4871">
        <v>1884046</v>
      </c>
      <c r="G4871" s="1">
        <v>45382</v>
      </c>
      <c r="H4871" t="s">
        <v>9551</v>
      </c>
      <c r="I4871" t="s">
        <v>36</v>
      </c>
      <c r="J4871" s="1">
        <v>45292</v>
      </c>
      <c r="K4871">
        <v>770378</v>
      </c>
    </row>
    <row r="4872" spans="5:11" x14ac:dyDescent="0.25">
      <c r="E4872" t="s">
        <v>10590</v>
      </c>
      <c r="F4872">
        <v>1884072</v>
      </c>
      <c r="G4872" s="1">
        <v>45382</v>
      </c>
      <c r="H4872" t="s">
        <v>10591</v>
      </c>
      <c r="I4872" t="s">
        <v>113</v>
      </c>
      <c r="J4872" s="1">
        <v>45292</v>
      </c>
      <c r="K4872">
        <v>-4902546</v>
      </c>
    </row>
    <row r="4873" spans="5:11" x14ac:dyDescent="0.25">
      <c r="E4873" t="s">
        <v>9552</v>
      </c>
      <c r="F4873">
        <v>1884164</v>
      </c>
      <c r="G4873" s="1">
        <v>45382</v>
      </c>
      <c r="H4873" t="s">
        <v>9553</v>
      </c>
      <c r="I4873" t="s">
        <v>406</v>
      </c>
      <c r="J4873" s="1">
        <v>45292</v>
      </c>
      <c r="K4873">
        <v>-736376</v>
      </c>
    </row>
    <row r="4874" spans="5:11" x14ac:dyDescent="0.25">
      <c r="E4874" t="s">
        <v>9554</v>
      </c>
      <c r="F4874">
        <v>1884516</v>
      </c>
      <c r="G4874" s="1">
        <v>45382</v>
      </c>
      <c r="H4874" t="s">
        <v>9555</v>
      </c>
      <c r="I4874" t="s">
        <v>30</v>
      </c>
      <c r="J4874" s="1">
        <v>45292</v>
      </c>
      <c r="K4874">
        <v>3126000</v>
      </c>
    </row>
    <row r="4875" spans="5:11" x14ac:dyDescent="0.25">
      <c r="E4875" t="s">
        <v>9556</v>
      </c>
      <c r="F4875">
        <v>1885461</v>
      </c>
      <c r="G4875" s="1">
        <v>45382</v>
      </c>
      <c r="H4875" t="s">
        <v>9557</v>
      </c>
      <c r="I4875" t="s">
        <v>64</v>
      </c>
      <c r="J4875" s="1">
        <v>45292</v>
      </c>
      <c r="K4875">
        <v>-439985</v>
      </c>
    </row>
    <row r="4876" spans="5:11" x14ac:dyDescent="0.25">
      <c r="E4876" t="s">
        <v>9558</v>
      </c>
      <c r="F4876">
        <v>1885522</v>
      </c>
      <c r="G4876" s="1">
        <v>45382</v>
      </c>
      <c r="H4876" t="s">
        <v>9559</v>
      </c>
      <c r="I4876" t="s">
        <v>24</v>
      </c>
      <c r="J4876" s="1">
        <v>45292</v>
      </c>
      <c r="K4876">
        <v>-53721000</v>
      </c>
    </row>
    <row r="4877" spans="5:11" x14ac:dyDescent="0.25">
      <c r="E4877" t="s">
        <v>9560</v>
      </c>
      <c r="F4877">
        <v>1885849</v>
      </c>
      <c r="G4877" s="1">
        <v>45412</v>
      </c>
      <c r="H4877" t="s">
        <v>9561</v>
      </c>
      <c r="I4877" t="s">
        <v>5874</v>
      </c>
      <c r="J4877" s="1">
        <v>45323</v>
      </c>
      <c r="K4877">
        <v>-12952</v>
      </c>
    </row>
    <row r="4878" spans="5:11" x14ac:dyDescent="0.25">
      <c r="E4878" t="s">
        <v>9562</v>
      </c>
      <c r="F4878">
        <v>1885968</v>
      </c>
      <c r="G4878" s="1">
        <v>45382</v>
      </c>
      <c r="H4878" t="s">
        <v>9563</v>
      </c>
      <c r="I4878" t="s">
        <v>57</v>
      </c>
      <c r="J4878" s="1">
        <v>45292</v>
      </c>
      <c r="K4878">
        <v>24845000</v>
      </c>
    </row>
    <row r="4879" spans="5:11" x14ac:dyDescent="0.25">
      <c r="E4879" t="s">
        <v>9564</v>
      </c>
      <c r="F4879">
        <v>1885998</v>
      </c>
      <c r="G4879" s="1">
        <v>45382</v>
      </c>
      <c r="H4879" t="s">
        <v>9565</v>
      </c>
      <c r="I4879" t="s">
        <v>36</v>
      </c>
      <c r="J4879" s="1">
        <v>45292</v>
      </c>
      <c r="K4879">
        <v>-121197</v>
      </c>
    </row>
    <row r="4880" spans="5:11" x14ac:dyDescent="0.25">
      <c r="E4880" t="s">
        <v>9566</v>
      </c>
      <c r="F4880">
        <v>1886362</v>
      </c>
      <c r="G4880" s="1">
        <v>45382</v>
      </c>
      <c r="H4880" t="s">
        <v>9567</v>
      </c>
      <c r="I4880" t="s">
        <v>27</v>
      </c>
      <c r="J4880" s="1">
        <v>45292</v>
      </c>
      <c r="K4880">
        <v>-617246</v>
      </c>
    </row>
    <row r="4881" spans="5:11" x14ac:dyDescent="0.25">
      <c r="E4881" t="s">
        <v>9568</v>
      </c>
      <c r="F4881">
        <v>1886799</v>
      </c>
      <c r="G4881" s="1">
        <v>45382</v>
      </c>
      <c r="H4881" t="s">
        <v>9569</v>
      </c>
      <c r="I4881" t="s">
        <v>8485</v>
      </c>
      <c r="J4881" s="1">
        <v>45292</v>
      </c>
      <c r="K4881">
        <v>-949450</v>
      </c>
    </row>
    <row r="4882" spans="5:11" x14ac:dyDescent="0.25">
      <c r="E4882" t="s">
        <v>9570</v>
      </c>
      <c r="F4882">
        <v>1886894</v>
      </c>
      <c r="G4882" s="1">
        <v>45382</v>
      </c>
      <c r="H4882" t="s">
        <v>9571</v>
      </c>
      <c r="I4882" t="s">
        <v>36</v>
      </c>
      <c r="J4882" s="1">
        <v>45292</v>
      </c>
      <c r="K4882">
        <v>-1779329</v>
      </c>
    </row>
    <row r="4883" spans="5:11" x14ac:dyDescent="0.25">
      <c r="E4883" t="s">
        <v>9572</v>
      </c>
      <c r="F4883">
        <v>1887912</v>
      </c>
      <c r="G4883" s="1">
        <v>45382</v>
      </c>
      <c r="H4883" t="s">
        <v>9573</v>
      </c>
      <c r="I4883" t="s">
        <v>39</v>
      </c>
      <c r="J4883" s="1">
        <v>45292</v>
      </c>
      <c r="K4883">
        <v>39975</v>
      </c>
    </row>
    <row r="4884" spans="5:11" x14ac:dyDescent="0.25">
      <c r="E4884" t="s">
        <v>9574</v>
      </c>
      <c r="F4884">
        <v>1887944</v>
      </c>
      <c r="G4884" s="1">
        <v>45380</v>
      </c>
      <c r="H4884" t="s">
        <v>9575</v>
      </c>
      <c r="I4884" t="s">
        <v>36</v>
      </c>
      <c r="J4884" s="1">
        <v>45290</v>
      </c>
      <c r="K4884">
        <v>-33333000</v>
      </c>
    </row>
    <row r="4885" spans="5:11" x14ac:dyDescent="0.25">
      <c r="E4885" t="s">
        <v>9576</v>
      </c>
      <c r="F4885">
        <v>1888012</v>
      </c>
      <c r="G4885" s="1">
        <v>45382</v>
      </c>
      <c r="H4885" t="s">
        <v>9577</v>
      </c>
      <c r="I4885" t="s">
        <v>24</v>
      </c>
      <c r="J4885" s="1">
        <v>45292</v>
      </c>
      <c r="K4885">
        <v>-46829000</v>
      </c>
    </row>
    <row r="4886" spans="5:11" x14ac:dyDescent="0.25">
      <c r="E4886" t="s">
        <v>9578</v>
      </c>
      <c r="F4886">
        <v>1888654</v>
      </c>
      <c r="G4886" s="1">
        <v>45382</v>
      </c>
      <c r="H4886" t="s">
        <v>9579</v>
      </c>
      <c r="I4886" t="s">
        <v>36</v>
      </c>
      <c r="J4886" s="1">
        <v>45292</v>
      </c>
      <c r="K4886">
        <v>-25905000</v>
      </c>
    </row>
    <row r="4887" spans="5:11" x14ac:dyDescent="0.25">
      <c r="E4887" t="s">
        <v>9580</v>
      </c>
      <c r="F4887">
        <v>1888734</v>
      </c>
      <c r="G4887" s="1">
        <v>45382</v>
      </c>
      <c r="H4887" t="s">
        <v>9581</v>
      </c>
      <c r="I4887" t="s">
        <v>186</v>
      </c>
      <c r="J4887" s="1">
        <v>45292</v>
      </c>
      <c r="K4887">
        <v>-375307</v>
      </c>
    </row>
    <row r="4888" spans="5:11" x14ac:dyDescent="0.25">
      <c r="E4888" t="s">
        <v>9582</v>
      </c>
      <c r="F4888">
        <v>1888846</v>
      </c>
      <c r="G4888" s="1">
        <v>45412</v>
      </c>
      <c r="H4888" t="s">
        <v>9583</v>
      </c>
      <c r="I4888" t="s">
        <v>3015</v>
      </c>
      <c r="J4888" s="1">
        <v>45323</v>
      </c>
      <c r="K4888">
        <v>-37920</v>
      </c>
    </row>
    <row r="4889" spans="5:11" x14ac:dyDescent="0.25">
      <c r="E4889" t="s">
        <v>9584</v>
      </c>
      <c r="F4889">
        <v>1888886</v>
      </c>
      <c r="G4889" s="1">
        <v>45382</v>
      </c>
      <c r="H4889" t="s">
        <v>9585</v>
      </c>
      <c r="I4889" t="s">
        <v>36</v>
      </c>
      <c r="J4889" s="1">
        <v>45292</v>
      </c>
      <c r="K4889">
        <v>-26036000</v>
      </c>
    </row>
    <row r="4890" spans="5:11" x14ac:dyDescent="0.25">
      <c r="E4890" t="s">
        <v>9586</v>
      </c>
      <c r="F4890">
        <v>1889106</v>
      </c>
      <c r="G4890" s="1">
        <v>45382</v>
      </c>
      <c r="H4890" t="s">
        <v>9587</v>
      </c>
      <c r="I4890" t="s">
        <v>57</v>
      </c>
      <c r="J4890" s="1">
        <v>45292</v>
      </c>
      <c r="K4890">
        <v>442265</v>
      </c>
    </row>
    <row r="4891" spans="5:11" x14ac:dyDescent="0.25">
      <c r="E4891" t="s">
        <v>9588</v>
      </c>
      <c r="F4891">
        <v>1889112</v>
      </c>
      <c r="G4891" s="1">
        <v>45382</v>
      </c>
      <c r="H4891" t="s">
        <v>9589</v>
      </c>
      <c r="I4891" t="s">
        <v>57</v>
      </c>
      <c r="J4891" s="1">
        <v>45292</v>
      </c>
      <c r="K4891">
        <v>2534872</v>
      </c>
    </row>
    <row r="4892" spans="5:11" x14ac:dyDescent="0.25">
      <c r="E4892" t="s">
        <v>9590</v>
      </c>
      <c r="F4892">
        <v>1889123</v>
      </c>
      <c r="G4892" s="1">
        <v>45382</v>
      </c>
      <c r="H4892" t="s">
        <v>9591</v>
      </c>
      <c r="I4892" t="s">
        <v>39</v>
      </c>
      <c r="J4892" s="1">
        <v>45292</v>
      </c>
      <c r="K4892">
        <v>-824042</v>
      </c>
    </row>
    <row r="4893" spans="5:11" x14ac:dyDescent="0.25">
      <c r="E4893" t="s">
        <v>9592</v>
      </c>
      <c r="F4893">
        <v>1889450</v>
      </c>
      <c r="G4893" s="1">
        <v>45382</v>
      </c>
      <c r="H4893" t="s">
        <v>9593</v>
      </c>
      <c r="I4893" t="s">
        <v>57</v>
      </c>
      <c r="J4893" s="1">
        <v>45292</v>
      </c>
      <c r="K4893">
        <v>129577</v>
      </c>
    </row>
    <row r="4894" spans="5:11" x14ac:dyDescent="0.25">
      <c r="E4894" t="s">
        <v>9594</v>
      </c>
      <c r="F4894">
        <v>1889539</v>
      </c>
      <c r="G4894" s="1">
        <v>45382</v>
      </c>
      <c r="H4894" t="s">
        <v>9595</v>
      </c>
      <c r="I4894" t="s">
        <v>30</v>
      </c>
      <c r="J4894" s="1">
        <v>45292</v>
      </c>
      <c r="K4894">
        <v>878000000</v>
      </c>
    </row>
    <row r="4895" spans="5:11" x14ac:dyDescent="0.25">
      <c r="E4895" t="s">
        <v>9596</v>
      </c>
      <c r="F4895">
        <v>1889668</v>
      </c>
      <c r="G4895" s="1">
        <v>45382</v>
      </c>
      <c r="H4895" t="s">
        <v>9597</v>
      </c>
      <c r="I4895" t="s">
        <v>57</v>
      </c>
      <c r="J4895" s="1">
        <v>45292</v>
      </c>
      <c r="K4895">
        <v>69878000</v>
      </c>
    </row>
    <row r="4896" spans="5:11" x14ac:dyDescent="0.25">
      <c r="E4896" t="s">
        <v>9598</v>
      </c>
      <c r="F4896">
        <v>1889983</v>
      </c>
      <c r="G4896" s="1">
        <v>45382</v>
      </c>
      <c r="H4896" t="s">
        <v>9599</v>
      </c>
      <c r="I4896" t="s">
        <v>46</v>
      </c>
      <c r="J4896" s="1">
        <v>45292</v>
      </c>
      <c r="K4896">
        <v>3266193</v>
      </c>
    </row>
    <row r="4897" spans="5:11" x14ac:dyDescent="0.25">
      <c r="E4897" t="s">
        <v>9600</v>
      </c>
      <c r="F4897">
        <v>1890107</v>
      </c>
      <c r="G4897" s="1">
        <v>45382</v>
      </c>
      <c r="H4897" t="s">
        <v>9601</v>
      </c>
      <c r="I4897" t="s">
        <v>57</v>
      </c>
      <c r="J4897" s="1">
        <v>45292</v>
      </c>
      <c r="K4897">
        <v>3598000</v>
      </c>
    </row>
    <row r="4898" spans="5:11" x14ac:dyDescent="0.25">
      <c r="E4898" t="s">
        <v>9602</v>
      </c>
      <c r="F4898">
        <v>1890671</v>
      </c>
      <c r="G4898" s="1">
        <v>45382</v>
      </c>
      <c r="H4898" t="s">
        <v>9603</v>
      </c>
      <c r="I4898" t="s">
        <v>4980</v>
      </c>
      <c r="J4898" s="1">
        <v>45292</v>
      </c>
      <c r="K4898">
        <v>132838</v>
      </c>
    </row>
    <row r="4899" spans="5:11" x14ac:dyDescent="0.25">
      <c r="E4899" t="s">
        <v>9604</v>
      </c>
      <c r="F4899">
        <v>1891101</v>
      </c>
      <c r="G4899" s="1">
        <v>45382</v>
      </c>
      <c r="H4899" t="s">
        <v>9605</v>
      </c>
      <c r="I4899" t="s">
        <v>406</v>
      </c>
      <c r="J4899" s="1">
        <v>45292</v>
      </c>
      <c r="K4899">
        <v>548000</v>
      </c>
    </row>
    <row r="4900" spans="5:11" x14ac:dyDescent="0.25">
      <c r="E4900" t="s">
        <v>9606</v>
      </c>
      <c r="F4900">
        <v>1891856</v>
      </c>
      <c r="G4900" s="1">
        <v>45382</v>
      </c>
      <c r="H4900" t="s">
        <v>9607</v>
      </c>
      <c r="I4900" t="s">
        <v>36</v>
      </c>
      <c r="J4900" s="1">
        <v>45292</v>
      </c>
      <c r="K4900">
        <v>496000</v>
      </c>
    </row>
    <row r="4901" spans="5:11" x14ac:dyDescent="0.25">
      <c r="E4901" t="s">
        <v>9608</v>
      </c>
      <c r="F4901">
        <v>1892025</v>
      </c>
      <c r="G4901" s="1">
        <v>45382</v>
      </c>
      <c r="H4901" t="s">
        <v>9609</v>
      </c>
      <c r="I4901" t="s">
        <v>57</v>
      </c>
      <c r="J4901" s="1">
        <v>45292</v>
      </c>
      <c r="K4901">
        <v>-423487</v>
      </c>
    </row>
    <row r="4902" spans="5:11" x14ac:dyDescent="0.25">
      <c r="E4902" t="s">
        <v>9610</v>
      </c>
      <c r="F4902">
        <v>1892316</v>
      </c>
      <c r="G4902" s="1">
        <v>45382</v>
      </c>
      <c r="H4902" t="s">
        <v>9611</v>
      </c>
      <c r="I4902" t="s">
        <v>1164</v>
      </c>
      <c r="J4902" s="1">
        <v>45292</v>
      </c>
      <c r="K4902">
        <v>511544</v>
      </c>
    </row>
    <row r="4903" spans="5:11" x14ac:dyDescent="0.25">
      <c r="E4903" t="s">
        <v>9612</v>
      </c>
      <c r="F4903">
        <v>1892322</v>
      </c>
      <c r="G4903" s="1">
        <v>45382</v>
      </c>
      <c r="H4903" t="s">
        <v>9613</v>
      </c>
      <c r="I4903" t="s">
        <v>9614</v>
      </c>
      <c r="J4903" s="1">
        <v>45292</v>
      </c>
      <c r="K4903">
        <v>-1333350</v>
      </c>
    </row>
    <row r="4904" spans="5:11" x14ac:dyDescent="0.25">
      <c r="E4904" t="s">
        <v>9615</v>
      </c>
      <c r="F4904">
        <v>1892492</v>
      </c>
      <c r="G4904" s="1">
        <v>45382</v>
      </c>
      <c r="H4904" t="s">
        <v>9616</v>
      </c>
      <c r="I4904" t="s">
        <v>39</v>
      </c>
      <c r="J4904" s="1">
        <v>45292</v>
      </c>
      <c r="K4904">
        <v>1940975</v>
      </c>
    </row>
    <row r="4905" spans="5:11" x14ac:dyDescent="0.25">
      <c r="E4905" t="s">
        <v>9617</v>
      </c>
      <c r="F4905">
        <v>1892747</v>
      </c>
      <c r="G4905" s="1">
        <v>45382</v>
      </c>
      <c r="H4905" t="s">
        <v>9618</v>
      </c>
      <c r="I4905" t="s">
        <v>36</v>
      </c>
      <c r="J4905" s="1">
        <v>45292</v>
      </c>
      <c r="K4905">
        <v>588681</v>
      </c>
    </row>
    <row r="4906" spans="5:11" x14ac:dyDescent="0.25">
      <c r="E4906" t="s">
        <v>9619</v>
      </c>
      <c r="F4906">
        <v>1892922</v>
      </c>
      <c r="G4906" s="1">
        <v>45382</v>
      </c>
      <c r="H4906" t="s">
        <v>9620</v>
      </c>
      <c r="I4906" t="s">
        <v>57</v>
      </c>
      <c r="J4906" s="1">
        <v>45292</v>
      </c>
      <c r="K4906">
        <v>128016</v>
      </c>
    </row>
    <row r="4907" spans="5:11" x14ac:dyDescent="0.25">
      <c r="E4907" t="s">
        <v>10592</v>
      </c>
      <c r="F4907">
        <v>1893219</v>
      </c>
      <c r="G4907" s="1">
        <v>45382</v>
      </c>
      <c r="H4907" t="s">
        <v>9621</v>
      </c>
      <c r="I4907" t="s">
        <v>57</v>
      </c>
      <c r="J4907" s="1">
        <v>45292</v>
      </c>
      <c r="K4907">
        <v>-1048724</v>
      </c>
    </row>
    <row r="4908" spans="5:11" x14ac:dyDescent="0.25">
      <c r="E4908" t="s">
        <v>9622</v>
      </c>
      <c r="F4908">
        <v>1893311</v>
      </c>
      <c r="G4908" s="1">
        <v>45382</v>
      </c>
      <c r="H4908" t="s">
        <v>9623</v>
      </c>
      <c r="I4908" t="s">
        <v>33</v>
      </c>
      <c r="J4908" s="1">
        <v>45292</v>
      </c>
      <c r="K4908">
        <v>-42159482</v>
      </c>
    </row>
    <row r="4909" spans="5:11" x14ac:dyDescent="0.25">
      <c r="E4909" t="s">
        <v>9624</v>
      </c>
      <c r="F4909">
        <v>1893325</v>
      </c>
      <c r="G4909" s="1">
        <v>45382</v>
      </c>
      <c r="H4909" t="s">
        <v>9625</v>
      </c>
      <c r="I4909" t="s">
        <v>57</v>
      </c>
      <c r="J4909" s="1">
        <v>45292</v>
      </c>
      <c r="K4909">
        <v>5162251</v>
      </c>
    </row>
    <row r="4910" spans="5:11" x14ac:dyDescent="0.25">
      <c r="E4910" t="s">
        <v>9626</v>
      </c>
      <c r="F4910">
        <v>1893448</v>
      </c>
      <c r="G4910" s="1">
        <v>45382</v>
      </c>
      <c r="H4910" t="s">
        <v>9627</v>
      </c>
      <c r="I4910" t="s">
        <v>172</v>
      </c>
      <c r="J4910" s="1">
        <v>45292</v>
      </c>
      <c r="K4910">
        <v>-73000</v>
      </c>
    </row>
    <row r="4911" spans="5:11" x14ac:dyDescent="0.25">
      <c r="E4911" t="s">
        <v>9628</v>
      </c>
      <c r="F4911">
        <v>1893657</v>
      </c>
      <c r="G4911" s="1">
        <v>45382</v>
      </c>
      <c r="H4911" t="s">
        <v>9629</v>
      </c>
      <c r="I4911" t="s">
        <v>1164</v>
      </c>
      <c r="J4911" s="1">
        <v>45292</v>
      </c>
      <c r="K4911">
        <v>-725110</v>
      </c>
    </row>
    <row r="4912" spans="5:11" x14ac:dyDescent="0.25">
      <c r="E4912" t="s">
        <v>9630</v>
      </c>
      <c r="F4912">
        <v>1894057</v>
      </c>
      <c r="G4912" s="1">
        <v>45382</v>
      </c>
      <c r="H4912" t="s">
        <v>9631</v>
      </c>
      <c r="I4912" t="s">
        <v>186</v>
      </c>
      <c r="J4912" s="1">
        <v>45292</v>
      </c>
      <c r="K4912">
        <v>-395973</v>
      </c>
    </row>
    <row r="4913" spans="5:11" x14ac:dyDescent="0.25">
      <c r="E4913" t="s">
        <v>9632</v>
      </c>
      <c r="F4913">
        <v>1894210</v>
      </c>
      <c r="G4913" s="1">
        <v>45382</v>
      </c>
      <c r="H4913" t="s">
        <v>9633</v>
      </c>
      <c r="I4913" t="s">
        <v>57</v>
      </c>
      <c r="J4913" s="1">
        <v>45292</v>
      </c>
      <c r="K4913">
        <v>-3055</v>
      </c>
    </row>
    <row r="4914" spans="5:11" x14ac:dyDescent="0.25">
      <c r="E4914" t="s">
        <v>9634</v>
      </c>
      <c r="F4914">
        <v>1894562</v>
      </c>
      <c r="G4914" s="1">
        <v>45382</v>
      </c>
      <c r="H4914" t="s">
        <v>9635</v>
      </c>
      <c r="I4914" t="s">
        <v>24</v>
      </c>
      <c r="J4914" s="1">
        <v>45292</v>
      </c>
      <c r="K4914">
        <v>-45761000</v>
      </c>
    </row>
    <row r="4915" spans="5:11" x14ac:dyDescent="0.25">
      <c r="E4915" t="s">
        <v>9636</v>
      </c>
      <c r="F4915">
        <v>1894630</v>
      </c>
      <c r="G4915" s="1">
        <v>45382</v>
      </c>
      <c r="H4915" t="s">
        <v>9637</v>
      </c>
      <c r="I4915" t="s">
        <v>92</v>
      </c>
      <c r="J4915" s="1">
        <v>45292</v>
      </c>
      <c r="K4915">
        <v>-5246623</v>
      </c>
    </row>
    <row r="4916" spans="5:11" x14ac:dyDescent="0.25">
      <c r="E4916" t="s">
        <v>9638</v>
      </c>
      <c r="F4916">
        <v>1894951</v>
      </c>
      <c r="G4916" s="1">
        <v>45382</v>
      </c>
      <c r="H4916" t="s">
        <v>9639</v>
      </c>
      <c r="I4916" t="s">
        <v>33</v>
      </c>
      <c r="J4916" s="1">
        <v>45292</v>
      </c>
      <c r="K4916">
        <v>-6400</v>
      </c>
    </row>
    <row r="4917" spans="5:11" x14ac:dyDescent="0.25">
      <c r="E4917" t="s">
        <v>9640</v>
      </c>
      <c r="F4917">
        <v>1894954</v>
      </c>
      <c r="G4917" s="1">
        <v>45382</v>
      </c>
      <c r="H4917" t="s">
        <v>9641</v>
      </c>
      <c r="I4917" t="s">
        <v>963</v>
      </c>
      <c r="J4917" s="1">
        <v>45292</v>
      </c>
      <c r="K4917">
        <v>-2192940</v>
      </c>
    </row>
    <row r="4918" spans="5:11" x14ac:dyDescent="0.25">
      <c r="E4918" t="s">
        <v>9642</v>
      </c>
      <c r="F4918">
        <v>1895144</v>
      </c>
      <c r="G4918" s="1">
        <v>45382</v>
      </c>
      <c r="H4918" t="s">
        <v>9643</v>
      </c>
      <c r="I4918" t="s">
        <v>57</v>
      </c>
      <c r="J4918" s="1">
        <v>45292</v>
      </c>
      <c r="K4918">
        <v>356169</v>
      </c>
    </row>
    <row r="4919" spans="5:11" x14ac:dyDescent="0.25">
      <c r="E4919" t="s">
        <v>9644</v>
      </c>
      <c r="F4919">
        <v>1895249</v>
      </c>
      <c r="G4919" s="1">
        <v>45382</v>
      </c>
      <c r="H4919" t="s">
        <v>9645</v>
      </c>
      <c r="I4919" t="s">
        <v>24</v>
      </c>
      <c r="J4919" s="1">
        <v>45292</v>
      </c>
      <c r="K4919">
        <v>-9631284</v>
      </c>
    </row>
    <row r="4920" spans="5:11" x14ac:dyDescent="0.25">
      <c r="E4920" t="s">
        <v>9646</v>
      </c>
      <c r="F4920">
        <v>1895262</v>
      </c>
      <c r="G4920" s="1">
        <v>45382</v>
      </c>
      <c r="H4920" t="s">
        <v>9647</v>
      </c>
      <c r="I4920" t="s">
        <v>30</v>
      </c>
      <c r="J4920" s="1">
        <v>45292</v>
      </c>
      <c r="K4920">
        <v>95481000</v>
      </c>
    </row>
    <row r="4921" spans="5:11" x14ac:dyDescent="0.25">
      <c r="E4921" t="s">
        <v>9648</v>
      </c>
      <c r="F4921">
        <v>1895316</v>
      </c>
      <c r="G4921" s="1">
        <v>45382</v>
      </c>
      <c r="H4921" t="s">
        <v>9649</v>
      </c>
      <c r="I4921" t="s">
        <v>57</v>
      </c>
      <c r="J4921" s="1">
        <v>45292</v>
      </c>
      <c r="K4921">
        <v>10468000</v>
      </c>
    </row>
    <row r="4922" spans="5:11" x14ac:dyDescent="0.25">
      <c r="E4922" t="s">
        <v>9650</v>
      </c>
      <c r="F4922">
        <v>1895582</v>
      </c>
      <c r="G4922" s="1">
        <v>45382</v>
      </c>
      <c r="H4922" t="s">
        <v>9651</v>
      </c>
      <c r="I4922" t="s">
        <v>57</v>
      </c>
      <c r="J4922" s="1">
        <v>45292</v>
      </c>
      <c r="K4922">
        <v>-763192</v>
      </c>
    </row>
    <row r="4923" spans="5:11" x14ac:dyDescent="0.25">
      <c r="E4923" t="s">
        <v>9652</v>
      </c>
      <c r="F4923">
        <v>1895618</v>
      </c>
      <c r="G4923" s="1">
        <v>45382</v>
      </c>
      <c r="H4923" t="s">
        <v>9653</v>
      </c>
      <c r="I4923" t="s">
        <v>46</v>
      </c>
      <c r="J4923" s="1">
        <v>45292</v>
      </c>
      <c r="K4923">
        <v>-912145</v>
      </c>
    </row>
    <row r="4924" spans="5:11" x14ac:dyDescent="0.25">
      <c r="E4924" t="s">
        <v>9654</v>
      </c>
      <c r="F4924">
        <v>1895939</v>
      </c>
      <c r="G4924" s="1">
        <v>45382</v>
      </c>
      <c r="H4924" t="s">
        <v>9655</v>
      </c>
      <c r="I4924" t="s">
        <v>912</v>
      </c>
      <c r="J4924" s="1">
        <v>45292</v>
      </c>
      <c r="K4924">
        <v>-3520</v>
      </c>
    </row>
    <row r="4925" spans="5:11" x14ac:dyDescent="0.25">
      <c r="E4925" t="s">
        <v>9656</v>
      </c>
      <c r="F4925">
        <v>1896212</v>
      </c>
      <c r="G4925" s="1">
        <v>45382</v>
      </c>
      <c r="H4925" t="s">
        <v>9657</v>
      </c>
      <c r="I4925" t="s">
        <v>36</v>
      </c>
      <c r="J4925" s="1">
        <v>45292</v>
      </c>
      <c r="K4925">
        <v>-3552000</v>
      </c>
    </row>
    <row r="4926" spans="5:11" x14ac:dyDescent="0.25">
      <c r="E4926" t="s">
        <v>9658</v>
      </c>
      <c r="F4926">
        <v>1897245</v>
      </c>
      <c r="G4926" s="1">
        <v>45382</v>
      </c>
      <c r="H4926" t="s">
        <v>9659</v>
      </c>
      <c r="I4926" t="s">
        <v>299</v>
      </c>
      <c r="J4926" s="1">
        <v>45292</v>
      </c>
      <c r="K4926">
        <v>-1336838</v>
      </c>
    </row>
    <row r="4927" spans="5:11" x14ac:dyDescent="0.25">
      <c r="E4927" t="s">
        <v>9660</v>
      </c>
      <c r="F4927">
        <v>1897463</v>
      </c>
      <c r="G4927" s="1">
        <v>45382</v>
      </c>
      <c r="H4927" t="s">
        <v>9661</v>
      </c>
      <c r="I4927" t="s">
        <v>30</v>
      </c>
      <c r="J4927" s="1">
        <v>45292</v>
      </c>
      <c r="K4927">
        <v>-46200</v>
      </c>
    </row>
    <row r="4928" spans="5:11" x14ac:dyDescent="0.25">
      <c r="E4928" t="s">
        <v>9662</v>
      </c>
      <c r="F4928">
        <v>1897525</v>
      </c>
      <c r="G4928" s="1">
        <v>45382</v>
      </c>
      <c r="H4928" t="s">
        <v>9663</v>
      </c>
      <c r="I4928" t="s">
        <v>1164</v>
      </c>
      <c r="J4928" s="1">
        <v>45292</v>
      </c>
      <c r="K4928">
        <v>30253</v>
      </c>
    </row>
    <row r="4929" spans="5:11" x14ac:dyDescent="0.25">
      <c r="E4929" t="s">
        <v>9664</v>
      </c>
      <c r="F4929">
        <v>1897971</v>
      </c>
      <c r="G4929" s="1">
        <v>45382</v>
      </c>
      <c r="H4929" t="s">
        <v>9665</v>
      </c>
      <c r="I4929" t="s">
        <v>1164</v>
      </c>
      <c r="J4929" s="1">
        <v>45292</v>
      </c>
      <c r="K4929">
        <v>611220</v>
      </c>
    </row>
    <row r="4930" spans="5:11" x14ac:dyDescent="0.25">
      <c r="E4930" t="s">
        <v>9666</v>
      </c>
      <c r="F4930">
        <v>1897982</v>
      </c>
      <c r="G4930" s="1">
        <v>45382</v>
      </c>
      <c r="H4930" t="s">
        <v>9667</v>
      </c>
      <c r="I4930" t="s">
        <v>24</v>
      </c>
      <c r="J4930" s="1">
        <v>45292</v>
      </c>
      <c r="K4930">
        <v>1556000</v>
      </c>
    </row>
    <row r="4931" spans="5:11" x14ac:dyDescent="0.25">
      <c r="E4931" t="s">
        <v>9668</v>
      </c>
      <c r="F4931">
        <v>1898474</v>
      </c>
      <c r="G4931" s="1">
        <v>45382</v>
      </c>
      <c r="H4931" t="s">
        <v>9669</v>
      </c>
      <c r="I4931" t="s">
        <v>9670</v>
      </c>
      <c r="J4931" s="1">
        <v>45292</v>
      </c>
      <c r="K4931">
        <v>-2497886</v>
      </c>
    </row>
    <row r="4932" spans="5:11" x14ac:dyDescent="0.25">
      <c r="E4932" t="s">
        <v>9671</v>
      </c>
      <c r="F4932">
        <v>1898496</v>
      </c>
      <c r="G4932" s="1">
        <v>45382</v>
      </c>
      <c r="H4932" t="s">
        <v>9672</v>
      </c>
      <c r="I4932" t="s">
        <v>504</v>
      </c>
      <c r="J4932" s="1">
        <v>45292</v>
      </c>
      <c r="K4932">
        <v>13587000</v>
      </c>
    </row>
    <row r="4933" spans="5:11" x14ac:dyDescent="0.25">
      <c r="E4933" t="s">
        <v>9673</v>
      </c>
      <c r="F4933">
        <v>1898604</v>
      </c>
      <c r="G4933" s="1">
        <v>45382</v>
      </c>
      <c r="H4933" t="s">
        <v>9674</v>
      </c>
      <c r="I4933" t="s">
        <v>36</v>
      </c>
      <c r="J4933" s="1">
        <v>45292</v>
      </c>
      <c r="K4933">
        <v>-876205</v>
      </c>
    </row>
    <row r="4934" spans="5:11" x14ac:dyDescent="0.25">
      <c r="E4934" t="s">
        <v>9675</v>
      </c>
      <c r="F4934">
        <v>1898766</v>
      </c>
      <c r="G4934" s="1">
        <v>45412</v>
      </c>
      <c r="H4934" t="s">
        <v>9676</v>
      </c>
      <c r="I4934" t="s">
        <v>36</v>
      </c>
      <c r="J4934" s="1">
        <v>45323</v>
      </c>
      <c r="K4934">
        <v>-4045935</v>
      </c>
    </row>
    <row r="4935" spans="5:11" x14ac:dyDescent="0.25">
      <c r="E4935" t="s">
        <v>9677</v>
      </c>
      <c r="F4935">
        <v>1898795</v>
      </c>
      <c r="G4935" s="1">
        <v>45382</v>
      </c>
      <c r="H4935" t="s">
        <v>9678</v>
      </c>
      <c r="I4935" t="s">
        <v>83</v>
      </c>
      <c r="J4935" s="1">
        <v>45292</v>
      </c>
      <c r="K4935">
        <v>-23644000</v>
      </c>
    </row>
    <row r="4936" spans="5:11" x14ac:dyDescent="0.25">
      <c r="E4936" t="s">
        <v>9679</v>
      </c>
      <c r="F4936">
        <v>1899017</v>
      </c>
      <c r="G4936" s="1">
        <v>45382</v>
      </c>
      <c r="H4936" t="s">
        <v>9680</v>
      </c>
      <c r="I4936" t="s">
        <v>24</v>
      </c>
      <c r="J4936" s="1">
        <v>45292</v>
      </c>
      <c r="K4936">
        <v>3833000</v>
      </c>
    </row>
    <row r="4937" spans="5:11" x14ac:dyDescent="0.25">
      <c r="E4937" t="s">
        <v>9681</v>
      </c>
      <c r="F4937">
        <v>1899287</v>
      </c>
      <c r="G4937" s="1">
        <v>45382</v>
      </c>
      <c r="H4937" t="s">
        <v>9682</v>
      </c>
      <c r="I4937" t="s">
        <v>36</v>
      </c>
      <c r="J4937" s="1">
        <v>45292</v>
      </c>
      <c r="K4937">
        <v>-9886000</v>
      </c>
    </row>
    <row r="4938" spans="5:11" x14ac:dyDescent="0.25">
      <c r="E4938" t="s">
        <v>9683</v>
      </c>
      <c r="F4938">
        <v>1900402</v>
      </c>
      <c r="G4938" s="1">
        <v>45351</v>
      </c>
      <c r="H4938" t="s">
        <v>9684</v>
      </c>
      <c r="I4938" t="s">
        <v>4980</v>
      </c>
      <c r="J4938" s="1">
        <v>45261</v>
      </c>
      <c r="K4938">
        <v>833693</v>
      </c>
    </row>
    <row r="4939" spans="5:11" x14ac:dyDescent="0.25">
      <c r="E4939" t="s">
        <v>10593</v>
      </c>
      <c r="F4939">
        <v>1900520</v>
      </c>
      <c r="G4939" s="1">
        <v>45382</v>
      </c>
      <c r="H4939" t="s">
        <v>9685</v>
      </c>
      <c r="I4939" t="s">
        <v>33</v>
      </c>
      <c r="J4939" s="1">
        <v>45292</v>
      </c>
      <c r="K4939">
        <v>-11291</v>
      </c>
    </row>
    <row r="4940" spans="5:11" x14ac:dyDescent="0.25">
      <c r="E4940" t="s">
        <v>9686</v>
      </c>
      <c r="F4940">
        <v>1900679</v>
      </c>
      <c r="G4940" s="1">
        <v>45351</v>
      </c>
      <c r="H4940" t="s">
        <v>9687</v>
      </c>
      <c r="I4940" t="s">
        <v>4980</v>
      </c>
      <c r="J4940" s="1">
        <v>45261</v>
      </c>
      <c r="K4940">
        <v>220219</v>
      </c>
    </row>
    <row r="4941" spans="5:11" x14ac:dyDescent="0.25">
      <c r="E4941" t="s">
        <v>9688</v>
      </c>
      <c r="F4941">
        <v>1901037</v>
      </c>
      <c r="G4941" s="1">
        <v>45382</v>
      </c>
      <c r="H4941" t="s">
        <v>9689</v>
      </c>
      <c r="I4941" t="s">
        <v>30</v>
      </c>
      <c r="J4941" s="1">
        <v>45292</v>
      </c>
      <c r="K4941">
        <v>3931422</v>
      </c>
    </row>
    <row r="4942" spans="5:11" x14ac:dyDescent="0.25">
      <c r="E4942" t="s">
        <v>9690</v>
      </c>
      <c r="F4942">
        <v>1901164</v>
      </c>
      <c r="G4942" s="1">
        <v>45382</v>
      </c>
      <c r="H4942" t="s">
        <v>9691</v>
      </c>
      <c r="I4942" t="s">
        <v>57</v>
      </c>
      <c r="J4942" s="1">
        <v>45292</v>
      </c>
      <c r="K4942">
        <v>28833000</v>
      </c>
    </row>
    <row r="4943" spans="5:11" x14ac:dyDescent="0.25">
      <c r="E4943" t="s">
        <v>9692</v>
      </c>
      <c r="F4943">
        <v>1901203</v>
      </c>
      <c r="G4943" s="1">
        <v>45382</v>
      </c>
      <c r="H4943" t="s">
        <v>9693</v>
      </c>
      <c r="I4943" t="s">
        <v>1716</v>
      </c>
      <c r="J4943" s="1">
        <v>45292</v>
      </c>
      <c r="K4943">
        <v>473415</v>
      </c>
    </row>
    <row r="4944" spans="5:11" x14ac:dyDescent="0.25">
      <c r="E4944" t="s">
        <v>9694</v>
      </c>
      <c r="F4944">
        <v>1901305</v>
      </c>
      <c r="G4944" s="1">
        <v>45382</v>
      </c>
      <c r="H4944" t="s">
        <v>9695</v>
      </c>
      <c r="I4944" t="s">
        <v>33</v>
      </c>
      <c r="J4944" s="1">
        <v>45292</v>
      </c>
      <c r="K4944">
        <v>-1167837</v>
      </c>
    </row>
    <row r="4945" spans="5:11" x14ac:dyDescent="0.25">
      <c r="E4945" t="s">
        <v>9696</v>
      </c>
      <c r="F4945">
        <v>1901336</v>
      </c>
      <c r="G4945" s="1">
        <v>45382</v>
      </c>
      <c r="H4945" t="s">
        <v>9697</v>
      </c>
      <c r="I4945" t="s">
        <v>186</v>
      </c>
      <c r="J4945" s="1">
        <v>45292</v>
      </c>
      <c r="K4945">
        <v>1413829</v>
      </c>
    </row>
    <row r="4946" spans="5:11" x14ac:dyDescent="0.25">
      <c r="E4946" t="s">
        <v>9698</v>
      </c>
      <c r="F4946">
        <v>1901440</v>
      </c>
      <c r="G4946" s="1">
        <v>45382</v>
      </c>
      <c r="H4946" t="s">
        <v>9699</v>
      </c>
      <c r="I4946" t="s">
        <v>19</v>
      </c>
      <c r="J4946" s="1">
        <v>45292</v>
      </c>
      <c r="K4946">
        <v>56000000</v>
      </c>
    </row>
    <row r="4947" spans="5:11" x14ac:dyDescent="0.25">
      <c r="E4947" t="s">
        <v>9700</v>
      </c>
      <c r="F4947">
        <v>1901606</v>
      </c>
      <c r="G4947" s="1">
        <v>45382</v>
      </c>
      <c r="H4947" t="s">
        <v>9701</v>
      </c>
      <c r="I4947" t="s">
        <v>57</v>
      </c>
      <c r="J4947" s="1">
        <v>45292</v>
      </c>
      <c r="K4947">
        <v>6239000</v>
      </c>
    </row>
    <row r="4948" spans="5:11" x14ac:dyDescent="0.25">
      <c r="E4948" t="s">
        <v>9702</v>
      </c>
      <c r="F4948">
        <v>1901612</v>
      </c>
      <c r="G4948" s="1">
        <v>45382</v>
      </c>
      <c r="H4948" t="s">
        <v>9703</v>
      </c>
      <c r="I4948" t="s">
        <v>57</v>
      </c>
      <c r="J4948" s="1">
        <v>45292</v>
      </c>
      <c r="K4948">
        <v>19581000</v>
      </c>
    </row>
    <row r="4949" spans="5:11" x14ac:dyDescent="0.25">
      <c r="E4949" t="s">
        <v>9704</v>
      </c>
      <c r="F4949">
        <v>1901637</v>
      </c>
      <c r="G4949" s="1">
        <v>45382</v>
      </c>
      <c r="H4949" t="s">
        <v>9705</v>
      </c>
      <c r="I4949" t="s">
        <v>33</v>
      </c>
      <c r="J4949" s="1">
        <v>45292</v>
      </c>
      <c r="K4949">
        <v>4612000</v>
      </c>
    </row>
    <row r="4950" spans="5:11" x14ac:dyDescent="0.25">
      <c r="E4950" t="s">
        <v>9706</v>
      </c>
      <c r="F4950">
        <v>1901799</v>
      </c>
      <c r="G4950" s="1">
        <v>45382</v>
      </c>
      <c r="H4950" t="s">
        <v>9707</v>
      </c>
      <c r="I4950" t="s">
        <v>64</v>
      </c>
      <c r="J4950" s="1">
        <v>45292</v>
      </c>
      <c r="K4950">
        <v>-1538000</v>
      </c>
    </row>
    <row r="4951" spans="5:11" x14ac:dyDescent="0.25">
      <c r="E4951" t="s">
        <v>9708</v>
      </c>
      <c r="F4951">
        <v>1901886</v>
      </c>
      <c r="G4951" s="1">
        <v>45351</v>
      </c>
      <c r="H4951" t="s">
        <v>9709</v>
      </c>
      <c r="I4951" t="s">
        <v>1245</v>
      </c>
      <c r="J4951" s="1">
        <v>45261</v>
      </c>
      <c r="K4951">
        <v>224952</v>
      </c>
    </row>
    <row r="4952" spans="5:11" x14ac:dyDescent="0.25">
      <c r="E4952" t="s">
        <v>9710</v>
      </c>
      <c r="F4952">
        <v>1902314</v>
      </c>
      <c r="G4952" s="1">
        <v>45382</v>
      </c>
      <c r="H4952" t="s">
        <v>9711</v>
      </c>
      <c r="I4952" t="s">
        <v>33</v>
      </c>
      <c r="J4952" s="1">
        <v>45292</v>
      </c>
      <c r="K4952">
        <v>1486000</v>
      </c>
    </row>
    <row r="4953" spans="5:11" x14ac:dyDescent="0.25">
      <c r="E4953" t="s">
        <v>9712</v>
      </c>
      <c r="F4953">
        <v>1902649</v>
      </c>
      <c r="G4953" s="1">
        <v>45382</v>
      </c>
      <c r="H4953" t="s">
        <v>9713</v>
      </c>
      <c r="I4953" t="s">
        <v>57</v>
      </c>
      <c r="J4953" s="1">
        <v>45292</v>
      </c>
      <c r="K4953">
        <v>8789300</v>
      </c>
    </row>
    <row r="4954" spans="5:11" x14ac:dyDescent="0.25">
      <c r="E4954" t="s">
        <v>9714</v>
      </c>
      <c r="F4954">
        <v>1902700</v>
      </c>
      <c r="G4954" s="1">
        <v>45382</v>
      </c>
      <c r="H4954" t="s">
        <v>9715</v>
      </c>
      <c r="I4954" t="s">
        <v>33</v>
      </c>
      <c r="J4954" s="1">
        <v>45292</v>
      </c>
      <c r="K4954">
        <v>-949305</v>
      </c>
    </row>
    <row r="4955" spans="5:11" x14ac:dyDescent="0.25">
      <c r="E4955" t="s">
        <v>9716</v>
      </c>
      <c r="F4955">
        <v>1902733</v>
      </c>
      <c r="G4955" s="1">
        <v>45412</v>
      </c>
      <c r="H4955" t="s">
        <v>9717</v>
      </c>
      <c r="I4955" t="s">
        <v>172</v>
      </c>
      <c r="J4955" s="1">
        <v>45323</v>
      </c>
      <c r="K4955">
        <v>-2976000</v>
      </c>
    </row>
    <row r="4956" spans="5:11" x14ac:dyDescent="0.25">
      <c r="E4956" t="s">
        <v>9718</v>
      </c>
      <c r="F4956">
        <v>1902794</v>
      </c>
      <c r="G4956" s="1">
        <v>45382</v>
      </c>
      <c r="H4956" t="s">
        <v>9719</v>
      </c>
      <c r="I4956" t="s">
        <v>33</v>
      </c>
      <c r="J4956" s="1">
        <v>45292</v>
      </c>
      <c r="K4956">
        <v>-164644</v>
      </c>
    </row>
    <row r="4957" spans="5:11" x14ac:dyDescent="0.25">
      <c r="E4957" t="s">
        <v>9720</v>
      </c>
      <c r="F4957">
        <v>1903392</v>
      </c>
      <c r="G4957" s="1">
        <v>45382</v>
      </c>
      <c r="H4957" t="s">
        <v>9721</v>
      </c>
      <c r="I4957" t="s">
        <v>594</v>
      </c>
      <c r="J4957" s="1">
        <v>45292</v>
      </c>
      <c r="K4957">
        <v>-327511</v>
      </c>
    </row>
    <row r="4958" spans="5:11" x14ac:dyDescent="0.25">
      <c r="E4958" t="s">
        <v>10594</v>
      </c>
      <c r="F4958">
        <v>1903464</v>
      </c>
      <c r="G4958" s="1">
        <v>45382</v>
      </c>
      <c r="H4958" t="s">
        <v>9722</v>
      </c>
      <c r="I4958" t="s">
        <v>186</v>
      </c>
      <c r="J4958" s="1">
        <v>45292</v>
      </c>
      <c r="K4958">
        <v>438864</v>
      </c>
    </row>
    <row r="4959" spans="5:11" x14ac:dyDescent="0.25">
      <c r="E4959" t="s">
        <v>9723</v>
      </c>
      <c r="F4959">
        <v>1904286</v>
      </c>
      <c r="G4959" s="1">
        <v>45382</v>
      </c>
      <c r="H4959" t="s">
        <v>9724</v>
      </c>
      <c r="I4959" t="s">
        <v>33</v>
      </c>
      <c r="J4959" s="1">
        <v>45292</v>
      </c>
      <c r="K4959">
        <v>-1717771</v>
      </c>
    </row>
    <row r="4960" spans="5:11" x14ac:dyDescent="0.25">
      <c r="E4960" t="s">
        <v>9725</v>
      </c>
      <c r="F4960">
        <v>1905824</v>
      </c>
      <c r="G4960" s="1">
        <v>45382</v>
      </c>
      <c r="H4960" t="s">
        <v>9726</v>
      </c>
      <c r="I4960" t="s">
        <v>36</v>
      </c>
      <c r="J4960" s="1">
        <v>45292</v>
      </c>
      <c r="K4960">
        <v>6745000</v>
      </c>
    </row>
    <row r="4961" spans="5:11" x14ac:dyDescent="0.25">
      <c r="E4961" t="s">
        <v>9727</v>
      </c>
      <c r="F4961">
        <v>1905956</v>
      </c>
      <c r="G4961" s="1">
        <v>45382</v>
      </c>
      <c r="H4961" t="s">
        <v>9728</v>
      </c>
      <c r="I4961" t="s">
        <v>57</v>
      </c>
      <c r="J4961" s="1">
        <v>45292</v>
      </c>
      <c r="K4961">
        <v>-1713315</v>
      </c>
    </row>
    <row r="4962" spans="5:11" x14ac:dyDescent="0.25">
      <c r="E4962" t="s">
        <v>9729</v>
      </c>
      <c r="F4962">
        <v>1906133</v>
      </c>
      <c r="G4962" s="1">
        <v>45382</v>
      </c>
      <c r="H4962" t="s">
        <v>9730</v>
      </c>
      <c r="I4962" t="s">
        <v>33</v>
      </c>
      <c r="J4962" s="1">
        <v>45292</v>
      </c>
      <c r="K4962">
        <v>-5170970</v>
      </c>
    </row>
    <row r="4963" spans="5:11" x14ac:dyDescent="0.25">
      <c r="E4963" t="s">
        <v>9731</v>
      </c>
      <c r="F4963">
        <v>1906324</v>
      </c>
      <c r="G4963" s="1">
        <v>45382</v>
      </c>
      <c r="H4963" t="s">
        <v>9732</v>
      </c>
      <c r="I4963" t="s">
        <v>36</v>
      </c>
      <c r="J4963" s="1">
        <v>45292</v>
      </c>
      <c r="K4963">
        <v>-1706000000</v>
      </c>
    </row>
    <row r="4964" spans="5:11" x14ac:dyDescent="0.25">
      <c r="E4964" t="s">
        <v>9733</v>
      </c>
      <c r="F4964">
        <v>1907108</v>
      </c>
      <c r="G4964" s="1">
        <v>45382</v>
      </c>
      <c r="H4964" t="s">
        <v>9734</v>
      </c>
      <c r="I4964" t="s">
        <v>57</v>
      </c>
      <c r="J4964" s="1">
        <v>45292</v>
      </c>
      <c r="K4964">
        <v>-21682000</v>
      </c>
    </row>
    <row r="4965" spans="5:11" x14ac:dyDescent="0.25">
      <c r="E4965" t="s">
        <v>9735</v>
      </c>
      <c r="F4965">
        <v>1907223</v>
      </c>
      <c r="G4965" s="1">
        <v>45382</v>
      </c>
      <c r="H4965" t="s">
        <v>9736</v>
      </c>
      <c r="I4965" t="s">
        <v>57</v>
      </c>
      <c r="J4965" s="1">
        <v>45292</v>
      </c>
      <c r="K4965">
        <v>-123223</v>
      </c>
    </row>
    <row r="4966" spans="5:11" x14ac:dyDescent="0.25">
      <c r="E4966" t="s">
        <v>9737</v>
      </c>
      <c r="F4966">
        <v>1907425</v>
      </c>
      <c r="G4966" s="1">
        <v>45382</v>
      </c>
      <c r="H4966" t="s">
        <v>9738</v>
      </c>
      <c r="I4966" t="s">
        <v>4980</v>
      </c>
      <c r="J4966" s="1">
        <v>45292</v>
      </c>
      <c r="K4966">
        <v>-4358</v>
      </c>
    </row>
    <row r="4967" spans="5:11" x14ac:dyDescent="0.25">
      <c r="E4967" t="s">
        <v>9739</v>
      </c>
      <c r="F4967">
        <v>1907730</v>
      </c>
      <c r="G4967" s="1">
        <v>45382</v>
      </c>
      <c r="H4967" t="s">
        <v>9740</v>
      </c>
      <c r="I4967" t="s">
        <v>57</v>
      </c>
      <c r="J4967" s="1">
        <v>45292</v>
      </c>
      <c r="K4967">
        <v>-41580</v>
      </c>
    </row>
    <row r="4968" spans="5:11" x14ac:dyDescent="0.25">
      <c r="E4968" t="s">
        <v>9741</v>
      </c>
      <c r="F4968">
        <v>1907982</v>
      </c>
      <c r="G4968" s="1">
        <v>45382</v>
      </c>
      <c r="H4968" t="s">
        <v>9742</v>
      </c>
      <c r="I4968" t="s">
        <v>36</v>
      </c>
      <c r="J4968" s="1">
        <v>45292</v>
      </c>
      <c r="K4968">
        <v>-17312000</v>
      </c>
    </row>
    <row r="4969" spans="5:11" x14ac:dyDescent="0.25">
      <c r="E4969" t="s">
        <v>9743</v>
      </c>
      <c r="F4969">
        <v>1909747</v>
      </c>
      <c r="G4969" s="1">
        <v>45382</v>
      </c>
      <c r="H4969" t="s">
        <v>9744</v>
      </c>
      <c r="I4969" t="s">
        <v>33</v>
      </c>
      <c r="J4969" s="1">
        <v>45292</v>
      </c>
      <c r="K4969">
        <v>-18355000</v>
      </c>
    </row>
    <row r="4970" spans="5:11" x14ac:dyDescent="0.25">
      <c r="E4970" t="s">
        <v>9745</v>
      </c>
      <c r="F4970">
        <v>1909770</v>
      </c>
      <c r="G4970" s="1">
        <v>45412</v>
      </c>
      <c r="H4970" t="s">
        <v>9746</v>
      </c>
      <c r="I4970" t="s">
        <v>9747</v>
      </c>
      <c r="J4970" s="1">
        <v>45323</v>
      </c>
      <c r="K4970">
        <v>-10862</v>
      </c>
    </row>
    <row r="4971" spans="5:11" x14ac:dyDescent="0.25">
      <c r="E4971" t="s">
        <v>9748</v>
      </c>
      <c r="F4971">
        <v>1910139</v>
      </c>
      <c r="G4971" s="1">
        <v>45381</v>
      </c>
      <c r="H4971" t="s">
        <v>9749</v>
      </c>
      <c r="I4971" t="s">
        <v>1511</v>
      </c>
      <c r="J4971" s="1">
        <v>45291</v>
      </c>
      <c r="K4971">
        <v>-218000000</v>
      </c>
    </row>
    <row r="4972" spans="5:11" x14ac:dyDescent="0.25">
      <c r="E4972" t="s">
        <v>9750</v>
      </c>
      <c r="F4972">
        <v>1910851</v>
      </c>
      <c r="G4972" s="1">
        <v>45382</v>
      </c>
      <c r="H4972" t="s">
        <v>9751</v>
      </c>
      <c r="I4972" t="s">
        <v>406</v>
      </c>
      <c r="J4972" s="1">
        <v>45292</v>
      </c>
      <c r="K4972">
        <v>-35100000</v>
      </c>
    </row>
    <row r="4973" spans="5:11" x14ac:dyDescent="0.25">
      <c r="E4973" t="s">
        <v>9752</v>
      </c>
      <c r="F4973">
        <v>1910975</v>
      </c>
      <c r="G4973" s="1">
        <v>45382</v>
      </c>
      <c r="H4973" t="s">
        <v>9753</v>
      </c>
      <c r="I4973" t="s">
        <v>7826</v>
      </c>
      <c r="J4973" s="1">
        <v>45292</v>
      </c>
      <c r="K4973">
        <v>-19622</v>
      </c>
    </row>
    <row r="4974" spans="5:11" x14ac:dyDescent="0.25">
      <c r="E4974" t="s">
        <v>9754</v>
      </c>
      <c r="F4974">
        <v>1911066</v>
      </c>
      <c r="G4974" s="1">
        <v>45382</v>
      </c>
      <c r="H4974" t="s">
        <v>9755</v>
      </c>
      <c r="I4974" t="s">
        <v>57</v>
      </c>
      <c r="J4974" s="1">
        <v>45292</v>
      </c>
      <c r="K4974">
        <v>10113000</v>
      </c>
    </row>
    <row r="4975" spans="5:11" x14ac:dyDescent="0.25">
      <c r="E4975" t="s">
        <v>9756</v>
      </c>
      <c r="F4975">
        <v>1911321</v>
      </c>
      <c r="G4975" s="1">
        <v>45382</v>
      </c>
      <c r="H4975" t="s">
        <v>9757</v>
      </c>
      <c r="I4975" t="s">
        <v>57</v>
      </c>
      <c r="J4975" s="1">
        <v>45292</v>
      </c>
      <c r="K4975">
        <v>6643763</v>
      </c>
    </row>
    <row r="4976" spans="5:11" x14ac:dyDescent="0.25">
      <c r="E4976" t="s">
        <v>9758</v>
      </c>
      <c r="F4976">
        <v>1911467</v>
      </c>
      <c r="G4976" s="1">
        <v>45382</v>
      </c>
      <c r="H4976" t="s">
        <v>9759</v>
      </c>
      <c r="I4976" t="s">
        <v>277</v>
      </c>
      <c r="J4976" s="1">
        <v>45292</v>
      </c>
      <c r="K4976">
        <v>-24051</v>
      </c>
    </row>
    <row r="4977" spans="5:11" x14ac:dyDescent="0.25">
      <c r="E4977" t="s">
        <v>9760</v>
      </c>
      <c r="F4977">
        <v>1911545</v>
      </c>
      <c r="G4977" s="1">
        <v>45382</v>
      </c>
      <c r="H4977" t="s">
        <v>9761</v>
      </c>
      <c r="I4977" t="s">
        <v>4165</v>
      </c>
      <c r="J4977" s="1">
        <v>45292</v>
      </c>
      <c r="K4977">
        <v>-1047071</v>
      </c>
    </row>
    <row r="4978" spans="5:11" x14ac:dyDescent="0.25">
      <c r="E4978" t="s">
        <v>9762</v>
      </c>
      <c r="F4978">
        <v>1912461</v>
      </c>
      <c r="G4978" s="1">
        <v>45382</v>
      </c>
      <c r="H4978" t="s">
        <v>9763</v>
      </c>
      <c r="I4978" t="s">
        <v>57</v>
      </c>
      <c r="J4978" s="1">
        <v>45292</v>
      </c>
      <c r="K4978">
        <v>-122621</v>
      </c>
    </row>
    <row r="4979" spans="5:11" x14ac:dyDescent="0.25">
      <c r="E4979" t="s">
        <v>10595</v>
      </c>
      <c r="F4979">
        <v>1912582</v>
      </c>
      <c r="G4979" s="1">
        <v>45382</v>
      </c>
      <c r="H4979" t="s">
        <v>10596</v>
      </c>
      <c r="I4979" t="s">
        <v>186</v>
      </c>
      <c r="J4979" s="1">
        <v>45292</v>
      </c>
      <c r="K4979">
        <v>-214043</v>
      </c>
    </row>
    <row r="4980" spans="5:11" x14ac:dyDescent="0.25">
      <c r="E4980" t="s">
        <v>9764</v>
      </c>
      <c r="F4980">
        <v>1913577</v>
      </c>
      <c r="G4980" s="1">
        <v>45382</v>
      </c>
      <c r="H4980" t="s">
        <v>9765</v>
      </c>
      <c r="I4980" t="s">
        <v>57</v>
      </c>
      <c r="J4980" s="1">
        <v>45292</v>
      </c>
      <c r="K4980">
        <v>264330</v>
      </c>
    </row>
    <row r="4981" spans="5:11" x14ac:dyDescent="0.25">
      <c r="E4981" t="s">
        <v>9766</v>
      </c>
      <c r="F4981">
        <v>1913724</v>
      </c>
      <c r="G4981" s="1">
        <v>45382</v>
      </c>
      <c r="H4981" t="s">
        <v>9767</v>
      </c>
      <c r="I4981" t="s">
        <v>57</v>
      </c>
      <c r="J4981" s="1">
        <v>45292</v>
      </c>
      <c r="K4981">
        <v>24911000</v>
      </c>
    </row>
    <row r="4982" spans="5:11" x14ac:dyDescent="0.25">
      <c r="E4982" t="s">
        <v>9768</v>
      </c>
      <c r="F4982">
        <v>1913838</v>
      </c>
      <c r="G4982" s="1">
        <v>45382</v>
      </c>
      <c r="H4982" t="s">
        <v>9769</v>
      </c>
      <c r="I4982" t="s">
        <v>60</v>
      </c>
      <c r="J4982" s="1">
        <v>45292</v>
      </c>
      <c r="K4982">
        <v>-618606</v>
      </c>
    </row>
    <row r="4983" spans="5:11" x14ac:dyDescent="0.25">
      <c r="E4983" t="s">
        <v>9770</v>
      </c>
      <c r="F4983">
        <v>1913971</v>
      </c>
      <c r="G4983" s="1">
        <v>45382</v>
      </c>
      <c r="H4983" t="s">
        <v>9771</v>
      </c>
      <c r="I4983" t="s">
        <v>46</v>
      </c>
      <c r="J4983" s="1">
        <v>45292</v>
      </c>
      <c r="K4983">
        <v>4345000</v>
      </c>
    </row>
    <row r="4984" spans="5:11" x14ac:dyDescent="0.25">
      <c r="E4984" t="s">
        <v>9772</v>
      </c>
      <c r="F4984">
        <v>1914023</v>
      </c>
      <c r="G4984" s="1">
        <v>45382</v>
      </c>
      <c r="H4984" t="s">
        <v>9773</v>
      </c>
      <c r="I4984" t="s">
        <v>30</v>
      </c>
      <c r="J4984" s="1">
        <v>45292</v>
      </c>
      <c r="K4984">
        <v>102649</v>
      </c>
    </row>
    <row r="4985" spans="5:11" x14ac:dyDescent="0.25">
      <c r="E4985" t="s">
        <v>9774</v>
      </c>
      <c r="F4985">
        <v>1914496</v>
      </c>
      <c r="G4985" s="1">
        <v>45382</v>
      </c>
      <c r="H4985" t="s">
        <v>9775</v>
      </c>
      <c r="I4985" t="s">
        <v>57</v>
      </c>
      <c r="J4985" s="1">
        <v>45292</v>
      </c>
      <c r="K4985">
        <v>-2301000</v>
      </c>
    </row>
    <row r="4986" spans="5:11" x14ac:dyDescent="0.25">
      <c r="E4986" t="s">
        <v>9776</v>
      </c>
      <c r="F4986">
        <v>1914605</v>
      </c>
      <c r="G4986" s="1">
        <v>45382</v>
      </c>
      <c r="H4986" t="s">
        <v>9777</v>
      </c>
      <c r="I4986" t="s">
        <v>24</v>
      </c>
      <c r="J4986" s="1">
        <v>45292</v>
      </c>
      <c r="K4986">
        <v>621000</v>
      </c>
    </row>
    <row r="4987" spans="5:11" x14ac:dyDescent="0.25">
      <c r="E4987" t="s">
        <v>9778</v>
      </c>
      <c r="F4987">
        <v>1915328</v>
      </c>
      <c r="G4987" s="1">
        <v>45382</v>
      </c>
      <c r="H4987" t="s">
        <v>9779</v>
      </c>
      <c r="I4987" t="s">
        <v>30</v>
      </c>
      <c r="J4987" s="1">
        <v>45292</v>
      </c>
      <c r="K4987">
        <v>575856</v>
      </c>
    </row>
    <row r="4988" spans="5:11" x14ac:dyDescent="0.25">
      <c r="E4988" t="s">
        <v>9780</v>
      </c>
      <c r="F4988">
        <v>1915380</v>
      </c>
      <c r="G4988" s="1">
        <v>45382</v>
      </c>
      <c r="H4988" t="s">
        <v>9781</v>
      </c>
      <c r="I4988" t="s">
        <v>142</v>
      </c>
      <c r="J4988" s="1">
        <v>45292</v>
      </c>
      <c r="K4988">
        <v>-168454</v>
      </c>
    </row>
    <row r="4989" spans="5:11" x14ac:dyDescent="0.25">
      <c r="E4989" t="s">
        <v>9782</v>
      </c>
      <c r="F4989">
        <v>1915657</v>
      </c>
      <c r="G4989" s="1">
        <v>45382</v>
      </c>
      <c r="H4989" t="s">
        <v>9783</v>
      </c>
      <c r="I4989" t="s">
        <v>30</v>
      </c>
      <c r="J4989" s="1">
        <v>45292</v>
      </c>
      <c r="K4989">
        <v>314664000</v>
      </c>
    </row>
    <row r="4990" spans="5:11" x14ac:dyDescent="0.25">
      <c r="E4990" t="s">
        <v>9784</v>
      </c>
      <c r="F4990">
        <v>1916099</v>
      </c>
      <c r="G4990" s="1">
        <v>45382</v>
      </c>
      <c r="H4990" t="s">
        <v>9785</v>
      </c>
      <c r="I4990" t="s">
        <v>57</v>
      </c>
      <c r="J4990" s="1">
        <v>45292</v>
      </c>
      <c r="K4990">
        <v>4114000</v>
      </c>
    </row>
    <row r="4991" spans="5:11" x14ac:dyDescent="0.25">
      <c r="E4991" t="s">
        <v>9786</v>
      </c>
      <c r="F4991">
        <v>1916558</v>
      </c>
      <c r="G4991" s="1">
        <v>45382</v>
      </c>
      <c r="H4991" t="s">
        <v>9787</v>
      </c>
      <c r="I4991" t="s">
        <v>36</v>
      </c>
      <c r="J4991" s="1">
        <v>45292</v>
      </c>
      <c r="K4991">
        <v>-23231</v>
      </c>
    </row>
    <row r="4992" spans="5:11" x14ac:dyDescent="0.25">
      <c r="E4992" t="s">
        <v>9788</v>
      </c>
      <c r="F4992">
        <v>1916608</v>
      </c>
      <c r="G4992" s="1">
        <v>45382</v>
      </c>
      <c r="H4992" t="s">
        <v>9789</v>
      </c>
      <c r="I4992" t="s">
        <v>24</v>
      </c>
      <c r="J4992" s="1">
        <v>45292</v>
      </c>
      <c r="K4992">
        <v>2603000</v>
      </c>
    </row>
    <row r="4993" spans="5:11" x14ac:dyDescent="0.25">
      <c r="E4993" t="s">
        <v>9790</v>
      </c>
      <c r="F4993">
        <v>1918080</v>
      </c>
      <c r="G4993" s="1">
        <v>45382</v>
      </c>
      <c r="H4993" t="s">
        <v>9791</v>
      </c>
      <c r="I4993" t="s">
        <v>33</v>
      </c>
      <c r="J4993" s="1">
        <v>45292</v>
      </c>
      <c r="K4993">
        <v>-11091</v>
      </c>
    </row>
    <row r="4994" spans="5:11" x14ac:dyDescent="0.25">
      <c r="E4994" t="s">
        <v>9792</v>
      </c>
      <c r="F4994">
        <v>1918102</v>
      </c>
      <c r="G4994" s="1">
        <v>45382</v>
      </c>
      <c r="H4994" t="s">
        <v>9793</v>
      </c>
      <c r="I4994" t="s">
        <v>33</v>
      </c>
      <c r="J4994" s="1">
        <v>45292</v>
      </c>
      <c r="K4994">
        <v>-11291</v>
      </c>
    </row>
    <row r="4995" spans="5:11" x14ac:dyDescent="0.25">
      <c r="E4995" t="s">
        <v>9794</v>
      </c>
      <c r="F4995">
        <v>1918661</v>
      </c>
      <c r="G4995" s="1">
        <v>45382</v>
      </c>
      <c r="H4995" t="s">
        <v>9795</v>
      </c>
      <c r="I4995" t="s">
        <v>57</v>
      </c>
      <c r="J4995" s="1">
        <v>45292</v>
      </c>
      <c r="K4995">
        <v>1139101</v>
      </c>
    </row>
    <row r="4996" spans="5:11" x14ac:dyDescent="0.25">
      <c r="E4996" t="s">
        <v>9796</v>
      </c>
      <c r="F4996">
        <v>1918712</v>
      </c>
      <c r="G4996" s="1">
        <v>45382</v>
      </c>
      <c r="H4996" t="s">
        <v>9797</v>
      </c>
      <c r="I4996" t="s">
        <v>57</v>
      </c>
      <c r="J4996" s="1">
        <v>45292</v>
      </c>
      <c r="K4996">
        <v>57143000</v>
      </c>
    </row>
    <row r="4997" spans="5:11" x14ac:dyDescent="0.25">
      <c r="E4997" t="s">
        <v>9798</v>
      </c>
      <c r="F4997">
        <v>1919246</v>
      </c>
      <c r="G4997" s="1">
        <v>45382</v>
      </c>
      <c r="H4997" t="s">
        <v>9799</v>
      </c>
      <c r="I4997" t="s">
        <v>46</v>
      </c>
      <c r="J4997" s="1">
        <v>45292</v>
      </c>
      <c r="K4997">
        <v>-2562330</v>
      </c>
    </row>
    <row r="4998" spans="5:11" x14ac:dyDescent="0.25">
      <c r="E4998" t="s">
        <v>9800</v>
      </c>
      <c r="F4998">
        <v>1919369</v>
      </c>
      <c r="G4998" s="1">
        <v>45382</v>
      </c>
      <c r="H4998" t="s">
        <v>9801</v>
      </c>
      <c r="I4998" t="s">
        <v>57</v>
      </c>
      <c r="J4998" s="1">
        <v>45292</v>
      </c>
      <c r="K4998">
        <v>301000</v>
      </c>
    </row>
    <row r="4999" spans="5:11" x14ac:dyDescent="0.25">
      <c r="E4999" t="s">
        <v>9802</v>
      </c>
      <c r="F4999">
        <v>1920406</v>
      </c>
      <c r="G4999" s="1">
        <v>45382</v>
      </c>
      <c r="H4999" t="s">
        <v>9803</v>
      </c>
      <c r="I4999" t="s">
        <v>30</v>
      </c>
      <c r="J4999" s="1">
        <v>45292</v>
      </c>
      <c r="K4999">
        <v>-1386904</v>
      </c>
    </row>
    <row r="5000" spans="5:11" x14ac:dyDescent="0.25">
      <c r="E5000" t="s">
        <v>9804</v>
      </c>
      <c r="F5000">
        <v>1921865</v>
      </c>
      <c r="G5000" s="1">
        <v>45382</v>
      </c>
      <c r="H5000" t="s">
        <v>9805</v>
      </c>
      <c r="I5000" t="s">
        <v>899</v>
      </c>
      <c r="J5000" s="1">
        <v>45292</v>
      </c>
      <c r="K5000">
        <v>-6964844</v>
      </c>
    </row>
    <row r="5001" spans="5:11" x14ac:dyDescent="0.25">
      <c r="E5001" t="s">
        <v>9806</v>
      </c>
      <c r="F5001">
        <v>1921963</v>
      </c>
      <c r="G5001" s="1">
        <v>45382</v>
      </c>
      <c r="H5001" t="s">
        <v>9807</v>
      </c>
      <c r="I5001" t="s">
        <v>69</v>
      </c>
      <c r="J5001" s="1">
        <v>45292</v>
      </c>
      <c r="K5001">
        <v>45500000</v>
      </c>
    </row>
    <row r="5002" spans="5:11" x14ac:dyDescent="0.25">
      <c r="E5002" t="s">
        <v>9808</v>
      </c>
      <c r="F5002">
        <v>1922331</v>
      </c>
      <c r="G5002" s="1">
        <v>45382</v>
      </c>
      <c r="H5002" t="s">
        <v>9809</v>
      </c>
      <c r="I5002" t="s">
        <v>123</v>
      </c>
      <c r="J5002" s="1">
        <v>45292</v>
      </c>
      <c r="K5002">
        <v>-212370</v>
      </c>
    </row>
    <row r="5003" spans="5:11" x14ac:dyDescent="0.25">
      <c r="E5003" t="s">
        <v>10597</v>
      </c>
      <c r="F5003">
        <v>1922335</v>
      </c>
      <c r="G5003" s="1">
        <v>45382</v>
      </c>
      <c r="H5003" t="s">
        <v>9810</v>
      </c>
      <c r="I5003" t="s">
        <v>288</v>
      </c>
      <c r="J5003" s="1">
        <v>45292</v>
      </c>
      <c r="K5003">
        <v>-1447050</v>
      </c>
    </row>
    <row r="5004" spans="5:11" x14ac:dyDescent="0.25">
      <c r="E5004" t="s">
        <v>9811</v>
      </c>
      <c r="F5004">
        <v>1922639</v>
      </c>
      <c r="G5004" s="1">
        <v>45382</v>
      </c>
      <c r="H5004" t="s">
        <v>9812</v>
      </c>
      <c r="I5004" t="s">
        <v>30</v>
      </c>
      <c r="J5004" s="1">
        <v>45292</v>
      </c>
      <c r="K5004">
        <v>-415355</v>
      </c>
    </row>
    <row r="5005" spans="5:11" x14ac:dyDescent="0.25">
      <c r="E5005" t="s">
        <v>9813</v>
      </c>
      <c r="F5005">
        <v>1922858</v>
      </c>
      <c r="G5005" s="1">
        <v>45382</v>
      </c>
      <c r="H5005" t="s">
        <v>9814</v>
      </c>
      <c r="I5005" t="s">
        <v>33</v>
      </c>
      <c r="J5005" s="1">
        <v>45292</v>
      </c>
      <c r="K5005">
        <v>-1550304</v>
      </c>
    </row>
    <row r="5006" spans="5:11" x14ac:dyDescent="0.25">
      <c r="E5006" t="s">
        <v>9815</v>
      </c>
      <c r="F5006">
        <v>1923622</v>
      </c>
      <c r="G5006" s="1">
        <v>45382</v>
      </c>
      <c r="H5006" t="s">
        <v>9816</v>
      </c>
      <c r="I5006" t="s">
        <v>46</v>
      </c>
      <c r="J5006" s="1">
        <v>45292</v>
      </c>
      <c r="K5006">
        <v>3372000</v>
      </c>
    </row>
    <row r="5007" spans="5:11" x14ac:dyDescent="0.25">
      <c r="E5007" t="s">
        <v>9817</v>
      </c>
      <c r="F5007">
        <v>1923780</v>
      </c>
      <c r="G5007" s="1">
        <v>45382</v>
      </c>
      <c r="H5007" t="s">
        <v>9818</v>
      </c>
      <c r="I5007" t="s">
        <v>36</v>
      </c>
      <c r="J5007" s="1">
        <v>45292</v>
      </c>
      <c r="K5007">
        <v>60035</v>
      </c>
    </row>
    <row r="5008" spans="5:11" x14ac:dyDescent="0.25">
      <c r="E5008" t="s">
        <v>9819</v>
      </c>
      <c r="F5008">
        <v>1923840</v>
      </c>
      <c r="G5008" s="1">
        <v>45382</v>
      </c>
      <c r="H5008" t="s">
        <v>9820</v>
      </c>
      <c r="I5008" t="s">
        <v>36</v>
      </c>
      <c r="J5008" s="1">
        <v>45292</v>
      </c>
      <c r="K5008">
        <v>-7856000</v>
      </c>
    </row>
    <row r="5009" spans="5:11" x14ac:dyDescent="0.25">
      <c r="E5009" t="s">
        <v>9821</v>
      </c>
      <c r="F5009">
        <v>1923891</v>
      </c>
      <c r="G5009" s="1">
        <v>45382</v>
      </c>
      <c r="H5009" t="s">
        <v>9822</v>
      </c>
      <c r="I5009" t="s">
        <v>57</v>
      </c>
      <c r="J5009" s="1">
        <v>45292</v>
      </c>
      <c r="K5009">
        <v>-1677628</v>
      </c>
    </row>
    <row r="5010" spans="5:11" x14ac:dyDescent="0.25">
      <c r="E5010" t="s">
        <v>9823</v>
      </c>
      <c r="F5010">
        <v>1925309</v>
      </c>
      <c r="G5010" s="1">
        <v>45382</v>
      </c>
      <c r="H5010" t="s">
        <v>9824</v>
      </c>
      <c r="I5010" t="s">
        <v>30</v>
      </c>
      <c r="J5010" s="1">
        <v>45292</v>
      </c>
      <c r="K5010">
        <v>97725000</v>
      </c>
    </row>
    <row r="5011" spans="5:11" x14ac:dyDescent="0.25">
      <c r="E5011" t="s">
        <v>9825</v>
      </c>
      <c r="F5011">
        <v>1925531</v>
      </c>
      <c r="G5011" s="1">
        <v>45382</v>
      </c>
      <c r="H5011" t="s">
        <v>9826</v>
      </c>
      <c r="I5011" t="s">
        <v>57</v>
      </c>
      <c r="J5011" s="1">
        <v>45292</v>
      </c>
      <c r="K5011">
        <v>12852000</v>
      </c>
    </row>
    <row r="5012" spans="5:11" x14ac:dyDescent="0.25">
      <c r="E5012" t="s">
        <v>9827</v>
      </c>
      <c r="F5012">
        <v>1928446</v>
      </c>
      <c r="G5012" s="1">
        <v>45382</v>
      </c>
      <c r="H5012" t="s">
        <v>9828</v>
      </c>
      <c r="I5012" t="s">
        <v>30</v>
      </c>
      <c r="J5012" s="1">
        <v>45292</v>
      </c>
      <c r="K5012">
        <v>16227000</v>
      </c>
    </row>
    <row r="5013" spans="5:11" x14ac:dyDescent="0.25">
      <c r="E5013" t="s">
        <v>9829</v>
      </c>
      <c r="F5013">
        <v>1929231</v>
      </c>
      <c r="G5013" s="1">
        <v>45382</v>
      </c>
      <c r="H5013" t="s">
        <v>9830</v>
      </c>
      <c r="I5013" t="s">
        <v>57</v>
      </c>
      <c r="J5013" s="1">
        <v>45292</v>
      </c>
      <c r="K5013">
        <v>-393098</v>
      </c>
    </row>
    <row r="5014" spans="5:11" x14ac:dyDescent="0.25">
      <c r="E5014" t="s">
        <v>9831</v>
      </c>
      <c r="F5014">
        <v>1929561</v>
      </c>
      <c r="G5014" s="1">
        <v>45382</v>
      </c>
      <c r="H5014" t="s">
        <v>9832</v>
      </c>
      <c r="I5014" t="s">
        <v>172</v>
      </c>
      <c r="J5014" s="1">
        <v>45292</v>
      </c>
      <c r="K5014">
        <v>-15000000</v>
      </c>
    </row>
    <row r="5015" spans="5:11" x14ac:dyDescent="0.25">
      <c r="E5015" t="s">
        <v>9833</v>
      </c>
      <c r="F5015">
        <v>1929589</v>
      </c>
      <c r="G5015" s="1">
        <v>45382</v>
      </c>
      <c r="H5015" t="s">
        <v>9834</v>
      </c>
      <c r="I5015" t="s">
        <v>36</v>
      </c>
      <c r="J5015" s="1">
        <v>45292</v>
      </c>
      <c r="K5015">
        <v>-3519000</v>
      </c>
    </row>
    <row r="5016" spans="5:11" x14ac:dyDescent="0.25">
      <c r="E5016" t="s">
        <v>9835</v>
      </c>
      <c r="F5016">
        <v>1930021</v>
      </c>
      <c r="G5016" s="1">
        <v>45351</v>
      </c>
      <c r="H5016" t="s">
        <v>9836</v>
      </c>
      <c r="I5016" t="s">
        <v>912</v>
      </c>
      <c r="J5016" s="1">
        <v>45261</v>
      </c>
      <c r="K5016">
        <v>-5306000</v>
      </c>
    </row>
    <row r="5017" spans="5:11" x14ac:dyDescent="0.25">
      <c r="E5017" t="s">
        <v>9837</v>
      </c>
      <c r="F5017">
        <v>1930054</v>
      </c>
      <c r="G5017" s="1">
        <v>45382</v>
      </c>
      <c r="H5017" t="s">
        <v>9838</v>
      </c>
      <c r="I5017" t="s">
        <v>57</v>
      </c>
      <c r="J5017" s="1">
        <v>45292</v>
      </c>
      <c r="K5017">
        <v>27152000</v>
      </c>
    </row>
    <row r="5018" spans="5:11" x14ac:dyDescent="0.25">
      <c r="E5018" t="s">
        <v>9839</v>
      </c>
      <c r="F5018">
        <v>1930087</v>
      </c>
      <c r="G5018" s="1">
        <v>45382</v>
      </c>
      <c r="H5018" t="s">
        <v>9840</v>
      </c>
      <c r="I5018" t="s">
        <v>57</v>
      </c>
      <c r="J5018" s="1">
        <v>45292</v>
      </c>
      <c r="K5018">
        <v>30578000</v>
      </c>
    </row>
    <row r="5019" spans="5:11" x14ac:dyDescent="0.25">
      <c r="E5019" t="s">
        <v>9841</v>
      </c>
      <c r="F5019">
        <v>1930313</v>
      </c>
      <c r="G5019" s="1">
        <v>45382</v>
      </c>
      <c r="H5019" t="s">
        <v>9842</v>
      </c>
      <c r="I5019" t="s">
        <v>43</v>
      </c>
      <c r="J5019" s="1">
        <v>45292</v>
      </c>
      <c r="K5019">
        <v>-292546</v>
      </c>
    </row>
    <row r="5020" spans="5:11" x14ac:dyDescent="0.25">
      <c r="E5020" t="s">
        <v>9843</v>
      </c>
      <c r="F5020">
        <v>1930679</v>
      </c>
      <c r="G5020" s="1">
        <v>45382</v>
      </c>
      <c r="H5020" t="s">
        <v>9844</v>
      </c>
      <c r="I5020" t="s">
        <v>39</v>
      </c>
      <c r="J5020" s="1">
        <v>45292</v>
      </c>
      <c r="K5020">
        <v>9573000</v>
      </c>
    </row>
    <row r="5021" spans="5:11" x14ac:dyDescent="0.25">
      <c r="E5021" t="s">
        <v>9845</v>
      </c>
      <c r="F5021">
        <v>1932213</v>
      </c>
      <c r="G5021" s="1">
        <v>45351</v>
      </c>
      <c r="H5021" t="s">
        <v>9846</v>
      </c>
      <c r="I5021" t="s">
        <v>36</v>
      </c>
      <c r="J5021" s="1">
        <v>45261</v>
      </c>
      <c r="K5021">
        <v>-58578</v>
      </c>
    </row>
    <row r="5022" spans="5:11" x14ac:dyDescent="0.25">
      <c r="E5022" t="s">
        <v>9847</v>
      </c>
      <c r="F5022">
        <v>1932244</v>
      </c>
      <c r="G5022" s="1">
        <v>45382</v>
      </c>
      <c r="H5022" t="s">
        <v>9848</v>
      </c>
      <c r="I5022" t="s">
        <v>36</v>
      </c>
      <c r="J5022" s="1">
        <v>45292</v>
      </c>
      <c r="K5022">
        <v>-260890</v>
      </c>
    </row>
    <row r="5023" spans="5:11" x14ac:dyDescent="0.25">
      <c r="E5023" t="s">
        <v>9849</v>
      </c>
      <c r="F5023">
        <v>1932393</v>
      </c>
      <c r="G5023" s="1">
        <v>45382</v>
      </c>
      <c r="H5023" t="s">
        <v>9850</v>
      </c>
      <c r="I5023" t="s">
        <v>19</v>
      </c>
      <c r="J5023" s="1">
        <v>45292</v>
      </c>
      <c r="K5023">
        <v>374000000</v>
      </c>
    </row>
    <row r="5024" spans="5:11" x14ac:dyDescent="0.25">
      <c r="E5024" t="s">
        <v>9851</v>
      </c>
      <c r="F5024">
        <v>1932591</v>
      </c>
      <c r="G5024" s="1">
        <v>45382</v>
      </c>
      <c r="H5024" t="s">
        <v>9852</v>
      </c>
      <c r="I5024" t="s">
        <v>57</v>
      </c>
      <c r="J5024" s="1">
        <v>45292</v>
      </c>
      <c r="K5024">
        <v>196000</v>
      </c>
    </row>
    <row r="5025" spans="5:11" x14ac:dyDescent="0.25">
      <c r="E5025" t="s">
        <v>9853</v>
      </c>
      <c r="F5025">
        <v>1933359</v>
      </c>
      <c r="G5025" s="1">
        <v>45412</v>
      </c>
      <c r="H5025" t="s">
        <v>9854</v>
      </c>
      <c r="I5025" t="s">
        <v>1511</v>
      </c>
      <c r="J5025" s="1">
        <v>45323</v>
      </c>
      <c r="K5025">
        <v>-2200</v>
      </c>
    </row>
    <row r="5026" spans="5:11" x14ac:dyDescent="0.25">
      <c r="E5026" t="s">
        <v>9855</v>
      </c>
      <c r="F5026">
        <v>1933414</v>
      </c>
      <c r="G5026" s="1">
        <v>45382</v>
      </c>
      <c r="H5026" t="s">
        <v>9856</v>
      </c>
      <c r="I5026" t="s">
        <v>39</v>
      </c>
      <c r="J5026" s="1">
        <v>45292</v>
      </c>
      <c r="K5026">
        <v>-31508000</v>
      </c>
    </row>
    <row r="5027" spans="5:11" x14ac:dyDescent="0.25">
      <c r="E5027" t="s">
        <v>9857</v>
      </c>
      <c r="F5027">
        <v>1933567</v>
      </c>
      <c r="G5027" s="1">
        <v>45382</v>
      </c>
      <c r="H5027" t="s">
        <v>9858</v>
      </c>
      <c r="I5027" t="s">
        <v>288</v>
      </c>
      <c r="J5027" s="1">
        <v>45292</v>
      </c>
      <c r="K5027">
        <v>-2120651</v>
      </c>
    </row>
    <row r="5028" spans="5:11" x14ac:dyDescent="0.25">
      <c r="E5028" t="s">
        <v>9859</v>
      </c>
      <c r="F5028">
        <v>1934064</v>
      </c>
      <c r="G5028" s="1">
        <v>45382</v>
      </c>
      <c r="H5028" t="s">
        <v>9860</v>
      </c>
      <c r="I5028" t="s">
        <v>36</v>
      </c>
      <c r="J5028" s="1">
        <v>45292</v>
      </c>
      <c r="K5028">
        <v>3441000</v>
      </c>
    </row>
    <row r="5029" spans="5:11" x14ac:dyDescent="0.25">
      <c r="E5029" t="s">
        <v>9861</v>
      </c>
      <c r="F5029">
        <v>1934245</v>
      </c>
      <c r="G5029" s="1">
        <v>45382</v>
      </c>
      <c r="H5029" t="s">
        <v>9862</v>
      </c>
      <c r="I5029" t="s">
        <v>36</v>
      </c>
      <c r="J5029" s="1">
        <v>45292</v>
      </c>
      <c r="K5029">
        <v>-1193000</v>
      </c>
    </row>
    <row r="5030" spans="5:11" x14ac:dyDescent="0.25">
      <c r="E5030" t="s">
        <v>9863</v>
      </c>
      <c r="F5030">
        <v>1934642</v>
      </c>
      <c r="G5030" s="1">
        <v>45382</v>
      </c>
      <c r="H5030" t="s">
        <v>9864</v>
      </c>
      <c r="I5030" t="s">
        <v>30</v>
      </c>
      <c r="J5030" s="1">
        <v>45292</v>
      </c>
      <c r="K5030">
        <v>-7215425</v>
      </c>
    </row>
    <row r="5031" spans="5:11" x14ac:dyDescent="0.25">
      <c r="E5031" t="s">
        <v>9865</v>
      </c>
      <c r="F5031">
        <v>1934850</v>
      </c>
      <c r="G5031" s="1">
        <v>45382</v>
      </c>
      <c r="H5031" t="s">
        <v>9866</v>
      </c>
      <c r="I5031" t="s">
        <v>95</v>
      </c>
      <c r="J5031" s="1">
        <v>45292</v>
      </c>
      <c r="K5031">
        <v>115000000</v>
      </c>
    </row>
    <row r="5032" spans="5:11" x14ac:dyDescent="0.25">
      <c r="E5032" t="s">
        <v>9867</v>
      </c>
      <c r="F5032">
        <v>1935033</v>
      </c>
      <c r="G5032" s="1">
        <v>45412</v>
      </c>
      <c r="H5032" t="s">
        <v>9868</v>
      </c>
      <c r="I5032" t="s">
        <v>1164</v>
      </c>
      <c r="J5032" s="1">
        <v>45323</v>
      </c>
      <c r="K5032">
        <v>-4472</v>
      </c>
    </row>
    <row r="5033" spans="5:11" x14ac:dyDescent="0.25">
      <c r="E5033" t="s">
        <v>9869</v>
      </c>
      <c r="F5033">
        <v>1935092</v>
      </c>
      <c r="G5033" s="1">
        <v>45382</v>
      </c>
      <c r="H5033" t="s">
        <v>9870</v>
      </c>
      <c r="I5033" t="s">
        <v>113</v>
      </c>
      <c r="J5033" s="1">
        <v>45292</v>
      </c>
      <c r="K5033">
        <v>-1120172</v>
      </c>
    </row>
    <row r="5034" spans="5:11" x14ac:dyDescent="0.25">
      <c r="E5034" t="s">
        <v>9871</v>
      </c>
      <c r="F5034">
        <v>1935979</v>
      </c>
      <c r="G5034" s="1">
        <v>45382</v>
      </c>
      <c r="H5034" t="s">
        <v>9872</v>
      </c>
      <c r="I5034" t="s">
        <v>27</v>
      </c>
      <c r="J5034" s="1">
        <v>45292</v>
      </c>
      <c r="K5034">
        <v>-179504000</v>
      </c>
    </row>
    <row r="5035" spans="5:11" x14ac:dyDescent="0.25">
      <c r="E5035" t="s">
        <v>9873</v>
      </c>
      <c r="F5035">
        <v>1936224</v>
      </c>
      <c r="G5035" s="1">
        <v>45382</v>
      </c>
      <c r="H5035" t="s">
        <v>9874</v>
      </c>
      <c r="I5035" t="s">
        <v>36</v>
      </c>
      <c r="J5035" s="1">
        <v>45292</v>
      </c>
      <c r="K5035">
        <v>-36965000</v>
      </c>
    </row>
    <row r="5036" spans="5:11" x14ac:dyDescent="0.25">
      <c r="E5036" t="s">
        <v>9875</v>
      </c>
      <c r="F5036">
        <v>1936255</v>
      </c>
      <c r="G5036" s="1">
        <v>45382</v>
      </c>
      <c r="H5036" t="s">
        <v>9876</v>
      </c>
      <c r="I5036" t="s">
        <v>36</v>
      </c>
      <c r="J5036" s="1">
        <v>45292</v>
      </c>
      <c r="K5036">
        <v>130602</v>
      </c>
    </row>
    <row r="5037" spans="5:11" x14ac:dyDescent="0.25">
      <c r="E5037" t="s">
        <v>9877</v>
      </c>
      <c r="F5037">
        <v>1936258</v>
      </c>
      <c r="G5037" s="1">
        <v>45382</v>
      </c>
      <c r="H5037" t="s">
        <v>9878</v>
      </c>
      <c r="I5037" t="s">
        <v>4820</v>
      </c>
      <c r="J5037" s="1">
        <v>45292</v>
      </c>
      <c r="K5037">
        <v>-93767000</v>
      </c>
    </row>
    <row r="5038" spans="5:11" x14ac:dyDescent="0.25">
      <c r="E5038" t="s">
        <v>9879</v>
      </c>
      <c r="F5038">
        <v>1936702</v>
      </c>
      <c r="G5038" s="1">
        <v>45382</v>
      </c>
      <c r="H5038" t="s">
        <v>9880</v>
      </c>
      <c r="I5038" t="s">
        <v>4227</v>
      </c>
      <c r="J5038" s="1">
        <v>45292</v>
      </c>
      <c r="K5038">
        <v>268671</v>
      </c>
    </row>
    <row r="5039" spans="5:11" x14ac:dyDescent="0.25">
      <c r="E5039" t="s">
        <v>9881</v>
      </c>
      <c r="F5039">
        <v>1936756</v>
      </c>
      <c r="G5039" s="1">
        <v>45382</v>
      </c>
      <c r="H5039" t="s">
        <v>9882</v>
      </c>
      <c r="I5039" t="s">
        <v>30</v>
      </c>
      <c r="J5039" s="1">
        <v>45292</v>
      </c>
      <c r="K5039">
        <v>-876813</v>
      </c>
    </row>
    <row r="5040" spans="5:11" x14ac:dyDescent="0.25">
      <c r="E5040" t="s">
        <v>10598</v>
      </c>
      <c r="F5040">
        <v>1937653</v>
      </c>
      <c r="G5040" s="1">
        <v>45382</v>
      </c>
      <c r="H5040" t="s">
        <v>9883</v>
      </c>
      <c r="I5040" t="s">
        <v>186</v>
      </c>
      <c r="J5040" s="1">
        <v>45292</v>
      </c>
      <c r="K5040">
        <v>-31653000</v>
      </c>
    </row>
    <row r="5041" spans="5:11" x14ac:dyDescent="0.25">
      <c r="E5041" t="s">
        <v>9884</v>
      </c>
      <c r="F5041">
        <v>1937891</v>
      </c>
      <c r="G5041" s="1">
        <v>45382</v>
      </c>
      <c r="H5041" t="s">
        <v>9885</v>
      </c>
      <c r="I5041" t="s">
        <v>57</v>
      </c>
      <c r="J5041" s="1">
        <v>45292</v>
      </c>
      <c r="K5041">
        <v>349241</v>
      </c>
    </row>
    <row r="5042" spans="5:11" x14ac:dyDescent="0.25">
      <c r="E5042" t="s">
        <v>9886</v>
      </c>
      <c r="F5042">
        <v>1937993</v>
      </c>
      <c r="G5042" s="1">
        <v>45382</v>
      </c>
      <c r="H5042" t="s">
        <v>9887</v>
      </c>
      <c r="I5042" t="s">
        <v>33</v>
      </c>
      <c r="J5042" s="1">
        <v>45292</v>
      </c>
      <c r="K5042">
        <v>-1663288</v>
      </c>
    </row>
    <row r="5043" spans="5:11" x14ac:dyDescent="0.25">
      <c r="E5043" t="s">
        <v>9888</v>
      </c>
      <c r="F5043">
        <v>1938046</v>
      </c>
      <c r="G5043" s="1">
        <v>45382</v>
      </c>
      <c r="H5043" t="s">
        <v>9889</v>
      </c>
      <c r="I5043" t="s">
        <v>30</v>
      </c>
      <c r="J5043" s="1">
        <v>45292</v>
      </c>
      <c r="K5043">
        <v>-2367581</v>
      </c>
    </row>
    <row r="5044" spans="5:11" x14ac:dyDescent="0.25">
      <c r="E5044" t="s">
        <v>9890</v>
      </c>
      <c r="F5044">
        <v>1938109</v>
      </c>
      <c r="G5044" s="1">
        <v>45351</v>
      </c>
      <c r="H5044" t="s">
        <v>9891</v>
      </c>
      <c r="I5044" t="s">
        <v>912</v>
      </c>
      <c r="J5044" s="1">
        <v>45261</v>
      </c>
      <c r="K5044">
        <v>-657456</v>
      </c>
    </row>
    <row r="5045" spans="5:11" x14ac:dyDescent="0.25">
      <c r="E5045" t="s">
        <v>9892</v>
      </c>
      <c r="F5045">
        <v>1938338</v>
      </c>
      <c r="G5045" s="1">
        <v>45382</v>
      </c>
      <c r="H5045" t="s">
        <v>9893</v>
      </c>
      <c r="I5045" t="s">
        <v>142</v>
      </c>
      <c r="J5045" s="1">
        <v>45292</v>
      </c>
      <c r="K5045">
        <v>-1421158</v>
      </c>
    </row>
    <row r="5046" spans="5:11" x14ac:dyDescent="0.25">
      <c r="E5046" t="s">
        <v>9894</v>
      </c>
      <c r="F5046">
        <v>1938569</v>
      </c>
      <c r="G5046" s="1">
        <v>45382</v>
      </c>
      <c r="H5046" t="s">
        <v>9895</v>
      </c>
      <c r="I5046" t="s">
        <v>57</v>
      </c>
      <c r="J5046" s="1">
        <v>45292</v>
      </c>
      <c r="K5046">
        <v>-51304</v>
      </c>
    </row>
    <row r="5047" spans="5:11" x14ac:dyDescent="0.25">
      <c r="E5047" t="s">
        <v>9896</v>
      </c>
      <c r="F5047">
        <v>1938570</v>
      </c>
      <c r="G5047" s="1">
        <v>45382</v>
      </c>
      <c r="H5047" t="s">
        <v>9897</v>
      </c>
      <c r="I5047" t="s">
        <v>57</v>
      </c>
      <c r="J5047" s="1">
        <v>45292</v>
      </c>
      <c r="K5047">
        <v>-51295</v>
      </c>
    </row>
    <row r="5048" spans="5:11" x14ac:dyDescent="0.25">
      <c r="E5048" t="s">
        <v>9898</v>
      </c>
      <c r="F5048">
        <v>1938571</v>
      </c>
      <c r="G5048" s="1">
        <v>45382</v>
      </c>
      <c r="H5048" t="s">
        <v>9899</v>
      </c>
      <c r="I5048" t="s">
        <v>57</v>
      </c>
      <c r="J5048" s="1">
        <v>45292</v>
      </c>
      <c r="K5048">
        <v>-57174</v>
      </c>
    </row>
    <row r="5049" spans="5:11" x14ac:dyDescent="0.25">
      <c r="E5049" t="s">
        <v>9900</v>
      </c>
      <c r="F5049">
        <v>1939365</v>
      </c>
      <c r="G5049" s="1">
        <v>45382</v>
      </c>
      <c r="H5049" t="s">
        <v>9901</v>
      </c>
      <c r="I5049" t="s">
        <v>123</v>
      </c>
      <c r="J5049" s="1">
        <v>45292</v>
      </c>
      <c r="K5049">
        <v>-3421792</v>
      </c>
    </row>
    <row r="5050" spans="5:11" x14ac:dyDescent="0.25">
      <c r="E5050" t="s">
        <v>9902</v>
      </c>
      <c r="F5050">
        <v>1939433</v>
      </c>
      <c r="G5050" s="1">
        <v>45382</v>
      </c>
      <c r="H5050" t="s">
        <v>9903</v>
      </c>
      <c r="I5050" t="s">
        <v>57</v>
      </c>
      <c r="J5050" s="1">
        <v>45292</v>
      </c>
      <c r="K5050">
        <v>-1867000</v>
      </c>
    </row>
    <row r="5051" spans="5:11" x14ac:dyDescent="0.25">
      <c r="E5051" t="s">
        <v>9904</v>
      </c>
      <c r="F5051">
        <v>1939937</v>
      </c>
      <c r="G5051" s="1">
        <v>45351</v>
      </c>
      <c r="H5051" t="s">
        <v>9905</v>
      </c>
      <c r="I5051" t="s">
        <v>57</v>
      </c>
      <c r="J5051" s="1">
        <v>45261</v>
      </c>
      <c r="K5051">
        <v>-4820</v>
      </c>
    </row>
    <row r="5052" spans="5:11" x14ac:dyDescent="0.25">
      <c r="E5052" t="s">
        <v>9906</v>
      </c>
      <c r="F5052">
        <v>1941360</v>
      </c>
      <c r="G5052" s="1">
        <v>45382</v>
      </c>
      <c r="H5052" t="s">
        <v>9907</v>
      </c>
      <c r="I5052" t="s">
        <v>7194</v>
      </c>
      <c r="J5052" s="1">
        <v>45292</v>
      </c>
      <c r="K5052">
        <v>-5873</v>
      </c>
    </row>
    <row r="5053" spans="5:11" x14ac:dyDescent="0.25">
      <c r="E5053" t="s">
        <v>9908</v>
      </c>
      <c r="F5053">
        <v>1941365</v>
      </c>
      <c r="G5053" s="1">
        <v>45382</v>
      </c>
      <c r="H5053" t="s">
        <v>9909</v>
      </c>
      <c r="I5053" t="s">
        <v>60</v>
      </c>
      <c r="J5053" s="1">
        <v>45292</v>
      </c>
      <c r="K5053">
        <v>37500000</v>
      </c>
    </row>
    <row r="5054" spans="5:11" x14ac:dyDescent="0.25">
      <c r="E5054" t="s">
        <v>9910</v>
      </c>
      <c r="F5054">
        <v>1941536</v>
      </c>
      <c r="G5054" s="1">
        <v>45382</v>
      </c>
      <c r="H5054" t="s">
        <v>9911</v>
      </c>
      <c r="I5054" t="s">
        <v>772</v>
      </c>
      <c r="J5054" s="1">
        <v>45292</v>
      </c>
      <c r="K5054">
        <v>-20087000</v>
      </c>
    </row>
    <row r="5055" spans="5:11" x14ac:dyDescent="0.25">
      <c r="E5055" t="s">
        <v>9912</v>
      </c>
      <c r="F5055">
        <v>1942722</v>
      </c>
      <c r="G5055" s="1">
        <v>45382</v>
      </c>
      <c r="H5055" t="s">
        <v>9913</v>
      </c>
      <c r="I5055" t="s">
        <v>57</v>
      </c>
      <c r="J5055" s="1">
        <v>45292</v>
      </c>
      <c r="K5055">
        <v>-6210</v>
      </c>
    </row>
    <row r="5056" spans="5:11" x14ac:dyDescent="0.25">
      <c r="E5056" t="s">
        <v>9914</v>
      </c>
      <c r="F5056">
        <v>1943289</v>
      </c>
      <c r="G5056" s="1">
        <v>45382</v>
      </c>
      <c r="H5056" t="s">
        <v>9915</v>
      </c>
      <c r="I5056" t="s">
        <v>36</v>
      </c>
      <c r="J5056" s="1">
        <v>45292</v>
      </c>
      <c r="K5056">
        <v>1378000</v>
      </c>
    </row>
    <row r="5057" spans="5:11" x14ac:dyDescent="0.25">
      <c r="E5057" t="s">
        <v>9916</v>
      </c>
      <c r="F5057">
        <v>1943802</v>
      </c>
      <c r="G5057" s="1">
        <v>45382</v>
      </c>
      <c r="H5057" t="s">
        <v>9917</v>
      </c>
      <c r="I5057" t="s">
        <v>896</v>
      </c>
      <c r="J5057" s="1">
        <v>45292</v>
      </c>
      <c r="K5057">
        <v>-1152000</v>
      </c>
    </row>
    <row r="5058" spans="5:11" x14ac:dyDescent="0.25">
      <c r="E5058" t="s">
        <v>9918</v>
      </c>
      <c r="F5058">
        <v>1943896</v>
      </c>
      <c r="G5058" s="1">
        <v>45412</v>
      </c>
      <c r="H5058" t="s">
        <v>9919</v>
      </c>
      <c r="I5058" t="s">
        <v>36</v>
      </c>
      <c r="J5058" s="1">
        <v>45323</v>
      </c>
      <c r="K5058">
        <v>-732091000</v>
      </c>
    </row>
    <row r="5059" spans="5:11" x14ac:dyDescent="0.25">
      <c r="E5059" t="s">
        <v>9920</v>
      </c>
      <c r="F5059">
        <v>1944013</v>
      </c>
      <c r="G5059" s="1">
        <v>45382</v>
      </c>
      <c r="H5059" t="s">
        <v>9921</v>
      </c>
      <c r="I5059" t="s">
        <v>27</v>
      </c>
      <c r="J5059" s="1">
        <v>45292</v>
      </c>
      <c r="K5059">
        <v>64800000</v>
      </c>
    </row>
    <row r="5060" spans="5:11" x14ac:dyDescent="0.25">
      <c r="E5060" t="s">
        <v>9922</v>
      </c>
      <c r="F5060">
        <v>1944048</v>
      </c>
      <c r="G5060" s="1">
        <v>45382</v>
      </c>
      <c r="H5060" t="s">
        <v>9923</v>
      </c>
      <c r="I5060" t="s">
        <v>46</v>
      </c>
      <c r="J5060" s="1">
        <v>45292</v>
      </c>
      <c r="K5060">
        <v>296000000</v>
      </c>
    </row>
    <row r="5061" spans="5:11" x14ac:dyDescent="0.25">
      <c r="E5061" t="s">
        <v>9924</v>
      </c>
      <c r="F5061">
        <v>1944212</v>
      </c>
      <c r="G5061" s="1">
        <v>45382</v>
      </c>
      <c r="H5061" t="s">
        <v>9925</v>
      </c>
      <c r="I5061" t="s">
        <v>594</v>
      </c>
      <c r="J5061" s="1">
        <v>45292</v>
      </c>
      <c r="K5061">
        <v>43875</v>
      </c>
    </row>
    <row r="5062" spans="5:11" x14ac:dyDescent="0.25">
      <c r="E5062" t="s">
        <v>9926</v>
      </c>
      <c r="F5062">
        <v>1944366</v>
      </c>
      <c r="G5062" s="1">
        <v>45382</v>
      </c>
      <c r="H5062" t="s">
        <v>9927</v>
      </c>
      <c r="I5062" t="s">
        <v>19</v>
      </c>
      <c r="J5062" s="1">
        <v>45292</v>
      </c>
      <c r="K5062">
        <v>14131000</v>
      </c>
    </row>
    <row r="5063" spans="5:11" x14ac:dyDescent="0.25">
      <c r="E5063" t="s">
        <v>9928</v>
      </c>
      <c r="F5063">
        <v>1944558</v>
      </c>
      <c r="G5063" s="1">
        <v>45382</v>
      </c>
      <c r="H5063" t="s">
        <v>9929</v>
      </c>
      <c r="I5063" t="s">
        <v>92</v>
      </c>
      <c r="J5063" s="1">
        <v>45292</v>
      </c>
      <c r="K5063">
        <v>-2186000</v>
      </c>
    </row>
    <row r="5064" spans="5:11" x14ac:dyDescent="0.25">
      <c r="E5064" t="s">
        <v>9930</v>
      </c>
      <c r="F5064">
        <v>1945422</v>
      </c>
      <c r="G5064" s="1">
        <v>45382</v>
      </c>
      <c r="H5064" t="s">
        <v>9931</v>
      </c>
      <c r="I5064" t="s">
        <v>1716</v>
      </c>
      <c r="J5064" s="1">
        <v>45292</v>
      </c>
      <c r="K5064">
        <v>143504</v>
      </c>
    </row>
    <row r="5065" spans="5:11" x14ac:dyDescent="0.25">
      <c r="E5065" t="s">
        <v>9932</v>
      </c>
      <c r="F5065">
        <v>1945619</v>
      </c>
      <c r="G5065" s="1">
        <v>45382</v>
      </c>
      <c r="H5065" t="s">
        <v>9933</v>
      </c>
      <c r="I5065" t="s">
        <v>19</v>
      </c>
      <c r="J5065" s="1">
        <v>45292</v>
      </c>
      <c r="K5065">
        <v>-199338</v>
      </c>
    </row>
    <row r="5066" spans="5:11" x14ac:dyDescent="0.25">
      <c r="E5066" t="s">
        <v>9934</v>
      </c>
      <c r="F5066">
        <v>1946021</v>
      </c>
      <c r="G5066" s="1">
        <v>45382</v>
      </c>
      <c r="H5066" t="s">
        <v>9935</v>
      </c>
      <c r="I5066" t="s">
        <v>57</v>
      </c>
      <c r="J5066" s="1">
        <v>45292</v>
      </c>
      <c r="K5066">
        <v>733464</v>
      </c>
    </row>
    <row r="5067" spans="5:11" x14ac:dyDescent="0.25">
      <c r="E5067" t="s">
        <v>9936</v>
      </c>
      <c r="F5067">
        <v>1946563</v>
      </c>
      <c r="G5067" s="1">
        <v>45382</v>
      </c>
      <c r="H5067" t="s">
        <v>9937</v>
      </c>
      <c r="I5067" t="s">
        <v>504</v>
      </c>
      <c r="J5067" s="1">
        <v>45292</v>
      </c>
      <c r="K5067">
        <v>430470</v>
      </c>
    </row>
    <row r="5068" spans="5:11" x14ac:dyDescent="0.25">
      <c r="E5068" t="s">
        <v>9938</v>
      </c>
      <c r="F5068">
        <v>1946573</v>
      </c>
      <c r="G5068" s="1">
        <v>45382</v>
      </c>
      <c r="H5068" t="s">
        <v>9939</v>
      </c>
      <c r="I5068" t="s">
        <v>406</v>
      </c>
      <c r="J5068" s="1">
        <v>45292</v>
      </c>
      <c r="K5068">
        <v>-282326</v>
      </c>
    </row>
    <row r="5069" spans="5:11" x14ac:dyDescent="0.25">
      <c r="E5069" t="s">
        <v>9940</v>
      </c>
      <c r="F5069">
        <v>1946997</v>
      </c>
      <c r="G5069" s="1">
        <v>45382</v>
      </c>
      <c r="H5069" t="s">
        <v>9941</v>
      </c>
      <c r="I5069" t="s">
        <v>39</v>
      </c>
      <c r="J5069" s="1">
        <v>45292</v>
      </c>
      <c r="K5069">
        <v>-56607</v>
      </c>
    </row>
    <row r="5070" spans="5:11" x14ac:dyDescent="0.25">
      <c r="E5070" t="s">
        <v>9942</v>
      </c>
      <c r="F5070">
        <v>1947244</v>
      </c>
      <c r="G5070" s="1">
        <v>45382</v>
      </c>
      <c r="H5070" t="s">
        <v>9943</v>
      </c>
      <c r="I5070" t="s">
        <v>2552</v>
      </c>
      <c r="J5070" s="1">
        <v>45292</v>
      </c>
      <c r="K5070">
        <v>-962449</v>
      </c>
    </row>
    <row r="5071" spans="5:11" x14ac:dyDescent="0.25">
      <c r="E5071" t="s">
        <v>9944</v>
      </c>
      <c r="F5071">
        <v>1947861</v>
      </c>
      <c r="G5071" s="1">
        <v>45382</v>
      </c>
      <c r="H5071" t="s">
        <v>9945</v>
      </c>
      <c r="I5071" t="s">
        <v>36</v>
      </c>
      <c r="J5071" s="1">
        <v>45292</v>
      </c>
      <c r="K5071">
        <v>-2306806</v>
      </c>
    </row>
    <row r="5072" spans="5:11" x14ac:dyDescent="0.25">
      <c r="E5072" t="s">
        <v>9946</v>
      </c>
      <c r="F5072">
        <v>1948056</v>
      </c>
      <c r="G5072" s="1">
        <v>45382</v>
      </c>
      <c r="H5072" t="s">
        <v>9947</v>
      </c>
      <c r="I5072" t="s">
        <v>57</v>
      </c>
      <c r="J5072" s="1">
        <v>45292</v>
      </c>
      <c r="K5072">
        <v>28252000</v>
      </c>
    </row>
    <row r="5073" spans="5:11" x14ac:dyDescent="0.25">
      <c r="E5073" t="s">
        <v>9948</v>
      </c>
      <c r="F5073">
        <v>1948455</v>
      </c>
      <c r="G5073" s="1">
        <v>45382</v>
      </c>
      <c r="H5073" t="s">
        <v>9949</v>
      </c>
      <c r="I5073" t="s">
        <v>36</v>
      </c>
      <c r="J5073" s="1">
        <v>45292</v>
      </c>
      <c r="K5073">
        <v>-5925123</v>
      </c>
    </row>
    <row r="5074" spans="5:11" x14ac:dyDescent="0.25">
      <c r="E5074" t="s">
        <v>9950</v>
      </c>
      <c r="F5074">
        <v>1948884</v>
      </c>
      <c r="G5074" s="1">
        <v>45382</v>
      </c>
      <c r="H5074" t="s">
        <v>9951</v>
      </c>
      <c r="I5074" t="s">
        <v>142</v>
      </c>
      <c r="J5074" s="1">
        <v>45292</v>
      </c>
      <c r="K5074">
        <v>-875225</v>
      </c>
    </row>
    <row r="5075" spans="5:11" x14ac:dyDescent="0.25">
      <c r="E5075" t="s">
        <v>9952</v>
      </c>
      <c r="F5075">
        <v>1949543</v>
      </c>
      <c r="G5075" s="1">
        <v>45382</v>
      </c>
      <c r="H5075" t="s">
        <v>9953</v>
      </c>
      <c r="I5075" t="s">
        <v>186</v>
      </c>
      <c r="J5075" s="1">
        <v>45292</v>
      </c>
      <c r="K5075">
        <v>8468000</v>
      </c>
    </row>
    <row r="5076" spans="5:11" x14ac:dyDescent="0.25">
      <c r="E5076" t="s">
        <v>9954</v>
      </c>
      <c r="F5076">
        <v>1950429</v>
      </c>
      <c r="G5076" s="1">
        <v>45382</v>
      </c>
      <c r="H5076" t="s">
        <v>9955</v>
      </c>
      <c r="I5076" t="s">
        <v>2566</v>
      </c>
      <c r="J5076" s="1">
        <v>45292</v>
      </c>
      <c r="K5076">
        <v>365332</v>
      </c>
    </row>
    <row r="5077" spans="5:11" x14ac:dyDescent="0.25">
      <c r="E5077" t="s">
        <v>9956</v>
      </c>
      <c r="F5077">
        <v>1950803</v>
      </c>
      <c r="G5077" s="1">
        <v>45382</v>
      </c>
      <c r="H5077" t="s">
        <v>9957</v>
      </c>
      <c r="I5077" t="s">
        <v>57</v>
      </c>
      <c r="J5077" s="1">
        <v>45292</v>
      </c>
      <c r="K5077">
        <v>11172742</v>
      </c>
    </row>
    <row r="5078" spans="5:11" x14ac:dyDescent="0.25">
      <c r="E5078" t="s">
        <v>9958</v>
      </c>
      <c r="F5078">
        <v>1950976</v>
      </c>
      <c r="G5078" s="1">
        <v>45382</v>
      </c>
      <c r="H5078" t="s">
        <v>9959</v>
      </c>
      <c r="I5078" t="s">
        <v>57</v>
      </c>
      <c r="J5078" s="1">
        <v>45292</v>
      </c>
      <c r="K5078">
        <v>833000</v>
      </c>
    </row>
    <row r="5079" spans="5:11" x14ac:dyDescent="0.25">
      <c r="E5079" t="s">
        <v>9960</v>
      </c>
      <c r="F5079">
        <v>1951051</v>
      </c>
      <c r="G5079" s="1">
        <v>45382</v>
      </c>
      <c r="H5079" t="s">
        <v>9961</v>
      </c>
      <c r="I5079" t="s">
        <v>3087</v>
      </c>
      <c r="J5079" s="1">
        <v>45292</v>
      </c>
      <c r="K5079">
        <v>-8103</v>
      </c>
    </row>
    <row r="5080" spans="5:11" x14ac:dyDescent="0.25">
      <c r="E5080" t="s">
        <v>9962</v>
      </c>
      <c r="F5080">
        <v>1951276</v>
      </c>
      <c r="G5080" s="1">
        <v>45382</v>
      </c>
      <c r="H5080" t="s">
        <v>9963</v>
      </c>
      <c r="I5080" t="s">
        <v>46</v>
      </c>
      <c r="J5080" s="1">
        <v>45292</v>
      </c>
      <c r="K5080">
        <v>1063000</v>
      </c>
    </row>
    <row r="5081" spans="5:11" x14ac:dyDescent="0.25">
      <c r="E5081" t="s">
        <v>9964</v>
      </c>
      <c r="F5081">
        <v>1951667</v>
      </c>
      <c r="G5081" s="1">
        <v>45382</v>
      </c>
      <c r="H5081" t="s">
        <v>9965</v>
      </c>
      <c r="I5081" t="s">
        <v>172</v>
      </c>
      <c r="J5081" s="1">
        <v>45292</v>
      </c>
      <c r="K5081">
        <v>-608930</v>
      </c>
    </row>
    <row r="5082" spans="5:11" x14ac:dyDescent="0.25">
      <c r="E5082" t="s">
        <v>9966</v>
      </c>
      <c r="F5082">
        <v>1952073</v>
      </c>
      <c r="G5082" s="1">
        <v>45382</v>
      </c>
      <c r="H5082" t="s">
        <v>9967</v>
      </c>
      <c r="I5082" t="s">
        <v>57</v>
      </c>
      <c r="J5082" s="1">
        <v>45292</v>
      </c>
      <c r="K5082">
        <v>2795000</v>
      </c>
    </row>
    <row r="5083" spans="5:11" x14ac:dyDescent="0.25">
      <c r="E5083" t="s">
        <v>9968</v>
      </c>
      <c r="F5083">
        <v>1952853</v>
      </c>
      <c r="G5083" s="1">
        <v>45382</v>
      </c>
      <c r="H5083" t="s">
        <v>9969</v>
      </c>
      <c r="I5083" t="s">
        <v>30</v>
      </c>
      <c r="J5083" s="1">
        <v>45292</v>
      </c>
      <c r="K5083">
        <v>3181282</v>
      </c>
    </row>
    <row r="5084" spans="5:11" x14ac:dyDescent="0.25">
      <c r="E5084" t="s">
        <v>9970</v>
      </c>
      <c r="F5084">
        <v>1952976</v>
      </c>
      <c r="G5084" s="1">
        <v>45382</v>
      </c>
      <c r="H5084" t="s">
        <v>9971</v>
      </c>
      <c r="I5084" t="s">
        <v>57</v>
      </c>
      <c r="J5084" s="1">
        <v>45292</v>
      </c>
      <c r="K5084">
        <v>-27842000</v>
      </c>
    </row>
    <row r="5085" spans="5:11" x14ac:dyDescent="0.25">
      <c r="E5085" t="s">
        <v>9972</v>
      </c>
      <c r="F5085">
        <v>1953366</v>
      </c>
      <c r="G5085" s="1">
        <v>45382</v>
      </c>
      <c r="H5085" t="s">
        <v>9973</v>
      </c>
      <c r="I5085" t="s">
        <v>57</v>
      </c>
      <c r="J5085" s="1">
        <v>45292</v>
      </c>
      <c r="K5085">
        <v>-48981000</v>
      </c>
    </row>
    <row r="5086" spans="5:11" x14ac:dyDescent="0.25">
      <c r="E5086" t="s">
        <v>9974</v>
      </c>
      <c r="F5086">
        <v>1953984</v>
      </c>
      <c r="G5086" s="1">
        <v>45382</v>
      </c>
      <c r="H5086" t="s">
        <v>9975</v>
      </c>
      <c r="I5086" t="s">
        <v>57</v>
      </c>
      <c r="J5086" s="1">
        <v>45292</v>
      </c>
      <c r="K5086">
        <v>-2311000</v>
      </c>
    </row>
    <row r="5087" spans="5:11" x14ac:dyDescent="0.25">
      <c r="E5087" t="s">
        <v>9976</v>
      </c>
      <c r="F5087">
        <v>1954360</v>
      </c>
      <c r="G5087" s="1">
        <v>45382</v>
      </c>
      <c r="H5087" t="s">
        <v>9977</v>
      </c>
      <c r="I5087" t="s">
        <v>36</v>
      </c>
      <c r="J5087" s="1">
        <v>45292</v>
      </c>
      <c r="K5087">
        <v>2965000</v>
      </c>
    </row>
    <row r="5088" spans="5:11" x14ac:dyDescent="0.25">
      <c r="E5088" t="s">
        <v>9978</v>
      </c>
      <c r="F5088">
        <v>1955010</v>
      </c>
      <c r="G5088" s="1">
        <v>45382</v>
      </c>
      <c r="H5088" t="s">
        <v>9979</v>
      </c>
      <c r="I5088" t="s">
        <v>57</v>
      </c>
      <c r="J5088" s="1">
        <v>45292</v>
      </c>
      <c r="K5088">
        <v>-1745000</v>
      </c>
    </row>
    <row r="5089" spans="5:11" x14ac:dyDescent="0.25">
      <c r="E5089" t="s">
        <v>9980</v>
      </c>
      <c r="F5089">
        <v>1955520</v>
      </c>
      <c r="G5089" s="1">
        <v>45382</v>
      </c>
      <c r="H5089" t="s">
        <v>9981</v>
      </c>
      <c r="I5089" t="s">
        <v>518</v>
      </c>
      <c r="J5089" s="1">
        <v>45292</v>
      </c>
      <c r="K5089">
        <v>-47629000</v>
      </c>
    </row>
    <row r="5090" spans="5:11" x14ac:dyDescent="0.25">
      <c r="E5090" t="s">
        <v>9982</v>
      </c>
      <c r="F5090">
        <v>1956055</v>
      </c>
      <c r="G5090" s="1">
        <v>45382</v>
      </c>
      <c r="H5090" t="s">
        <v>9983</v>
      </c>
      <c r="I5090" t="s">
        <v>4980</v>
      </c>
      <c r="J5090" s="1">
        <v>45292</v>
      </c>
      <c r="K5090">
        <v>548461</v>
      </c>
    </row>
    <row r="5091" spans="5:11" x14ac:dyDescent="0.25">
      <c r="E5091" t="s">
        <v>9984</v>
      </c>
      <c r="F5091">
        <v>1956741</v>
      </c>
      <c r="G5091" s="1">
        <v>45382</v>
      </c>
      <c r="H5091" t="s">
        <v>9985</v>
      </c>
      <c r="I5091" t="s">
        <v>9986</v>
      </c>
      <c r="J5091" s="1">
        <v>45292</v>
      </c>
      <c r="K5091">
        <v>-520670</v>
      </c>
    </row>
    <row r="5092" spans="5:11" x14ac:dyDescent="0.25">
      <c r="E5092" t="s">
        <v>9987</v>
      </c>
      <c r="F5092">
        <v>1956744</v>
      </c>
      <c r="G5092" s="1">
        <v>45382</v>
      </c>
      <c r="H5092" t="s">
        <v>9988</v>
      </c>
      <c r="I5092" t="s">
        <v>33</v>
      </c>
      <c r="J5092" s="1">
        <v>45292</v>
      </c>
      <c r="K5092">
        <v>-1710004</v>
      </c>
    </row>
    <row r="5093" spans="5:11" x14ac:dyDescent="0.25">
      <c r="E5093" t="s">
        <v>9989</v>
      </c>
      <c r="F5093">
        <v>1956955</v>
      </c>
      <c r="G5093" s="1">
        <v>45382</v>
      </c>
      <c r="H5093" t="s">
        <v>9990</v>
      </c>
      <c r="I5093" t="s">
        <v>33</v>
      </c>
      <c r="J5093" s="1">
        <v>45292</v>
      </c>
      <c r="K5093">
        <v>-1106002</v>
      </c>
    </row>
    <row r="5094" spans="5:11" x14ac:dyDescent="0.25">
      <c r="E5094" t="s">
        <v>9991</v>
      </c>
      <c r="F5094">
        <v>1957845</v>
      </c>
      <c r="G5094" s="1">
        <v>45382</v>
      </c>
      <c r="H5094" t="s">
        <v>9992</v>
      </c>
      <c r="I5094" t="s">
        <v>57</v>
      </c>
      <c r="J5094" s="1">
        <v>45292</v>
      </c>
      <c r="K5094">
        <v>11151000</v>
      </c>
    </row>
    <row r="5095" spans="5:11" x14ac:dyDescent="0.25">
      <c r="E5095" t="s">
        <v>9993</v>
      </c>
      <c r="F5095">
        <v>1958086</v>
      </c>
      <c r="G5095" s="1">
        <v>45382</v>
      </c>
      <c r="H5095" t="s">
        <v>9994</v>
      </c>
      <c r="I5095" t="s">
        <v>30</v>
      </c>
      <c r="J5095" s="1">
        <v>45292</v>
      </c>
      <c r="K5095">
        <v>3220000</v>
      </c>
    </row>
    <row r="5096" spans="5:11" x14ac:dyDescent="0.25">
      <c r="E5096" t="s">
        <v>9995</v>
      </c>
      <c r="F5096">
        <v>1958140</v>
      </c>
      <c r="G5096" s="1">
        <v>45382</v>
      </c>
      <c r="H5096" t="s">
        <v>9996</v>
      </c>
      <c r="I5096" t="s">
        <v>92</v>
      </c>
      <c r="J5096" s="1">
        <v>45292</v>
      </c>
      <c r="K5096">
        <v>-51272000</v>
      </c>
    </row>
    <row r="5097" spans="5:11" x14ac:dyDescent="0.25">
      <c r="E5097" t="s">
        <v>9997</v>
      </c>
      <c r="F5097">
        <v>1958777</v>
      </c>
      <c r="G5097" s="1">
        <v>45382</v>
      </c>
      <c r="H5097" t="s">
        <v>9998</v>
      </c>
      <c r="I5097" t="s">
        <v>30</v>
      </c>
      <c r="J5097" s="1">
        <v>45292</v>
      </c>
      <c r="K5097">
        <v>-8460000</v>
      </c>
    </row>
    <row r="5098" spans="5:11" x14ac:dyDescent="0.25">
      <c r="E5098" t="s">
        <v>9999</v>
      </c>
      <c r="F5098">
        <v>1959023</v>
      </c>
      <c r="G5098" s="1">
        <v>45382</v>
      </c>
      <c r="H5098" t="s">
        <v>10000</v>
      </c>
      <c r="I5098" t="s">
        <v>33</v>
      </c>
      <c r="J5098" s="1">
        <v>45292</v>
      </c>
      <c r="K5098">
        <v>-3067671</v>
      </c>
    </row>
    <row r="5099" spans="5:11" x14ac:dyDescent="0.25">
      <c r="E5099" t="s">
        <v>10001</v>
      </c>
      <c r="F5099">
        <v>1959348</v>
      </c>
      <c r="G5099" s="1">
        <v>45381</v>
      </c>
      <c r="H5099" t="s">
        <v>10002</v>
      </c>
      <c r="I5099" t="s">
        <v>329</v>
      </c>
      <c r="J5099" s="1">
        <v>45291</v>
      </c>
      <c r="K5099">
        <v>33000000</v>
      </c>
    </row>
    <row r="5100" spans="5:11" x14ac:dyDescent="0.25">
      <c r="E5100" t="s">
        <v>10003</v>
      </c>
      <c r="F5100">
        <v>1959568</v>
      </c>
      <c r="G5100" s="1">
        <v>45382</v>
      </c>
      <c r="H5100" t="s">
        <v>10004</v>
      </c>
      <c r="I5100" t="s">
        <v>57</v>
      </c>
      <c r="J5100" s="1">
        <v>45292</v>
      </c>
      <c r="K5100">
        <v>1360000</v>
      </c>
    </row>
    <row r="5101" spans="5:11" x14ac:dyDescent="0.25">
      <c r="E5101" t="s">
        <v>10005</v>
      </c>
      <c r="F5101">
        <v>1959585</v>
      </c>
      <c r="G5101" s="1">
        <v>45382</v>
      </c>
      <c r="H5101" t="s">
        <v>10006</v>
      </c>
      <c r="I5101" t="s">
        <v>2273</v>
      </c>
      <c r="J5101" s="1">
        <v>45292</v>
      </c>
      <c r="K5101">
        <v>-15244</v>
      </c>
    </row>
    <row r="5102" spans="5:11" x14ac:dyDescent="0.25">
      <c r="E5102" t="s">
        <v>10007</v>
      </c>
      <c r="F5102">
        <v>1959604</v>
      </c>
      <c r="G5102" s="1">
        <v>45382</v>
      </c>
      <c r="H5102" t="s">
        <v>10008</v>
      </c>
      <c r="I5102" t="s">
        <v>57</v>
      </c>
      <c r="J5102" s="1">
        <v>45292</v>
      </c>
      <c r="K5102">
        <v>3914000</v>
      </c>
    </row>
    <row r="5103" spans="5:11" x14ac:dyDescent="0.25">
      <c r="E5103" t="s">
        <v>10009</v>
      </c>
      <c r="F5103">
        <v>1959961</v>
      </c>
      <c r="G5103" s="1">
        <v>45382</v>
      </c>
      <c r="H5103" t="s">
        <v>10010</v>
      </c>
      <c r="I5103" t="s">
        <v>19</v>
      </c>
      <c r="J5103" s="1">
        <v>45292</v>
      </c>
      <c r="K5103">
        <v>-50000</v>
      </c>
    </row>
    <row r="5104" spans="5:11" x14ac:dyDescent="0.25">
      <c r="E5104" t="s">
        <v>10011</v>
      </c>
      <c r="F5104">
        <v>1960262</v>
      </c>
      <c r="G5104" s="1">
        <v>45382</v>
      </c>
      <c r="H5104" t="s">
        <v>10012</v>
      </c>
      <c r="I5104" t="s">
        <v>142</v>
      </c>
      <c r="J5104" s="1">
        <v>45292</v>
      </c>
      <c r="K5104">
        <v>-1610880</v>
      </c>
    </row>
    <row r="5105" spans="5:11" x14ac:dyDescent="0.25">
      <c r="E5105" t="s">
        <v>10013</v>
      </c>
      <c r="F5105">
        <v>1961847</v>
      </c>
      <c r="G5105" s="1">
        <v>45382</v>
      </c>
      <c r="H5105" t="s">
        <v>10014</v>
      </c>
      <c r="I5105" t="s">
        <v>30</v>
      </c>
      <c r="J5105" s="1">
        <v>45292</v>
      </c>
      <c r="K5105">
        <v>-1060457</v>
      </c>
    </row>
    <row r="5106" spans="5:11" x14ac:dyDescent="0.25">
      <c r="E5106" t="s">
        <v>10015</v>
      </c>
      <c r="F5106">
        <v>1962481</v>
      </c>
      <c r="G5106" s="1">
        <v>45382</v>
      </c>
      <c r="H5106" t="s">
        <v>10016</v>
      </c>
      <c r="I5106" t="s">
        <v>963</v>
      </c>
      <c r="J5106" s="1">
        <v>45292</v>
      </c>
      <c r="K5106">
        <v>-1050967</v>
      </c>
    </row>
    <row r="5107" spans="5:11" x14ac:dyDescent="0.25">
      <c r="E5107" t="s">
        <v>10017</v>
      </c>
      <c r="F5107">
        <v>1962918</v>
      </c>
      <c r="G5107" s="1">
        <v>45382</v>
      </c>
      <c r="H5107" t="s">
        <v>10018</v>
      </c>
      <c r="I5107" t="s">
        <v>36</v>
      </c>
      <c r="J5107" s="1">
        <v>45292</v>
      </c>
      <c r="K5107">
        <v>-34973000</v>
      </c>
    </row>
    <row r="5108" spans="5:11" x14ac:dyDescent="0.25">
      <c r="E5108" t="s">
        <v>10019</v>
      </c>
      <c r="F5108">
        <v>1963088</v>
      </c>
      <c r="G5108" s="1">
        <v>45382</v>
      </c>
      <c r="H5108" t="s">
        <v>10020</v>
      </c>
      <c r="I5108" t="s">
        <v>33</v>
      </c>
      <c r="J5108" s="1">
        <v>45292</v>
      </c>
      <c r="K5108">
        <v>-88577417</v>
      </c>
    </row>
    <row r="5109" spans="5:11" x14ac:dyDescent="0.25">
      <c r="E5109" t="s">
        <v>10021</v>
      </c>
      <c r="F5109">
        <v>1963685</v>
      </c>
      <c r="G5109" s="1">
        <v>45382</v>
      </c>
      <c r="H5109" t="s">
        <v>10022</v>
      </c>
      <c r="I5109" t="s">
        <v>142</v>
      </c>
      <c r="J5109" s="1">
        <v>45292</v>
      </c>
      <c r="K5109">
        <v>-1119000</v>
      </c>
    </row>
    <row r="5110" spans="5:11" x14ac:dyDescent="0.25">
      <c r="E5110" t="s">
        <v>10023</v>
      </c>
      <c r="F5110">
        <v>1964333</v>
      </c>
      <c r="G5110" s="1">
        <v>45382</v>
      </c>
      <c r="H5110" t="s">
        <v>10024</v>
      </c>
      <c r="I5110" t="s">
        <v>123</v>
      </c>
      <c r="J5110" s="1">
        <v>45292</v>
      </c>
      <c r="K5110">
        <v>5212000</v>
      </c>
    </row>
    <row r="5111" spans="5:11" x14ac:dyDescent="0.25">
      <c r="E5111" t="s">
        <v>10025</v>
      </c>
      <c r="F5111">
        <v>1964738</v>
      </c>
      <c r="G5111" s="1">
        <v>45382</v>
      </c>
      <c r="H5111" t="s">
        <v>10026</v>
      </c>
      <c r="I5111" t="s">
        <v>213</v>
      </c>
      <c r="J5111" s="1">
        <v>45292</v>
      </c>
      <c r="K5111">
        <v>237000000</v>
      </c>
    </row>
    <row r="5112" spans="5:11" x14ac:dyDescent="0.25">
      <c r="E5112" t="s">
        <v>10027</v>
      </c>
      <c r="F5112">
        <v>1964789</v>
      </c>
      <c r="G5112" s="1">
        <v>45382</v>
      </c>
      <c r="H5112" t="s">
        <v>10028</v>
      </c>
      <c r="I5112" t="s">
        <v>33</v>
      </c>
      <c r="J5112" s="1">
        <v>45292</v>
      </c>
      <c r="K5112">
        <v>250876000</v>
      </c>
    </row>
    <row r="5113" spans="5:11" x14ac:dyDescent="0.25">
      <c r="E5113" t="s">
        <v>10029</v>
      </c>
      <c r="F5113">
        <v>1964979</v>
      </c>
      <c r="G5113" s="1">
        <v>45382</v>
      </c>
      <c r="H5113" t="s">
        <v>10030</v>
      </c>
      <c r="I5113" t="s">
        <v>24</v>
      </c>
      <c r="J5113" s="1">
        <v>45292</v>
      </c>
      <c r="K5113">
        <v>5586000</v>
      </c>
    </row>
    <row r="5114" spans="5:11" x14ac:dyDescent="0.25">
      <c r="E5114" t="s">
        <v>10031</v>
      </c>
      <c r="F5114">
        <v>1965040</v>
      </c>
      <c r="G5114" s="1">
        <v>45382</v>
      </c>
      <c r="H5114" t="s">
        <v>10032</v>
      </c>
      <c r="I5114" t="s">
        <v>172</v>
      </c>
      <c r="J5114" s="1">
        <v>45292</v>
      </c>
      <c r="K5114">
        <v>-101000000</v>
      </c>
    </row>
    <row r="5115" spans="5:11" x14ac:dyDescent="0.25">
      <c r="E5115" t="s">
        <v>10033</v>
      </c>
      <c r="F5115">
        <v>1966394</v>
      </c>
      <c r="G5115" s="1">
        <v>45382</v>
      </c>
      <c r="H5115" t="s">
        <v>10034</v>
      </c>
      <c r="I5115" t="s">
        <v>57</v>
      </c>
      <c r="J5115" s="1">
        <v>45292</v>
      </c>
      <c r="K5115">
        <v>1456000</v>
      </c>
    </row>
    <row r="5116" spans="5:11" x14ac:dyDescent="0.25">
      <c r="E5116" t="s">
        <v>10035</v>
      </c>
      <c r="F5116">
        <v>1966494</v>
      </c>
      <c r="G5116" s="1">
        <v>45382</v>
      </c>
      <c r="H5116" t="s">
        <v>10036</v>
      </c>
      <c r="I5116" t="s">
        <v>36</v>
      </c>
      <c r="J5116" s="1">
        <v>45292</v>
      </c>
      <c r="K5116">
        <v>-35811000</v>
      </c>
    </row>
    <row r="5117" spans="5:11" x14ac:dyDescent="0.25">
      <c r="E5117" t="s">
        <v>10037</v>
      </c>
      <c r="F5117">
        <v>1966734</v>
      </c>
      <c r="G5117" s="1">
        <v>45382</v>
      </c>
      <c r="H5117" t="s">
        <v>10038</v>
      </c>
      <c r="I5117" t="s">
        <v>57</v>
      </c>
      <c r="J5117" s="1">
        <v>45292</v>
      </c>
      <c r="K5117">
        <v>480522</v>
      </c>
    </row>
    <row r="5118" spans="5:11" x14ac:dyDescent="0.25">
      <c r="E5118" t="s">
        <v>10039</v>
      </c>
      <c r="F5118">
        <v>1967306</v>
      </c>
      <c r="G5118" s="1">
        <v>45382</v>
      </c>
      <c r="H5118" t="s">
        <v>10040</v>
      </c>
      <c r="I5118" t="s">
        <v>60</v>
      </c>
      <c r="J5118" s="1">
        <v>45292</v>
      </c>
      <c r="K5118">
        <v>129093</v>
      </c>
    </row>
    <row r="5119" spans="5:11" x14ac:dyDescent="0.25">
      <c r="E5119" t="s">
        <v>10041</v>
      </c>
      <c r="F5119">
        <v>1967649</v>
      </c>
      <c r="G5119" s="1">
        <v>45380</v>
      </c>
      <c r="H5119" t="s">
        <v>10042</v>
      </c>
      <c r="I5119" t="s">
        <v>64</v>
      </c>
      <c r="J5119" s="1">
        <v>45290</v>
      </c>
      <c r="K5119">
        <v>5965000</v>
      </c>
    </row>
    <row r="5120" spans="5:11" x14ac:dyDescent="0.25">
      <c r="E5120" t="s">
        <v>10043</v>
      </c>
      <c r="F5120">
        <v>1967656</v>
      </c>
      <c r="G5120" s="1">
        <v>45382</v>
      </c>
      <c r="H5120" t="s">
        <v>10044</v>
      </c>
      <c r="I5120" t="s">
        <v>19</v>
      </c>
      <c r="J5120" s="1">
        <v>45292</v>
      </c>
      <c r="K5120">
        <v>276000</v>
      </c>
    </row>
    <row r="5121" spans="5:11" x14ac:dyDescent="0.25">
      <c r="E5121" t="s">
        <v>10045</v>
      </c>
      <c r="F5121">
        <v>1967680</v>
      </c>
      <c r="G5121" s="1">
        <v>45380</v>
      </c>
      <c r="H5121" t="s">
        <v>10046</v>
      </c>
      <c r="I5121" t="s">
        <v>24</v>
      </c>
      <c r="J5121" s="1">
        <v>45292</v>
      </c>
      <c r="K5121">
        <v>184000000</v>
      </c>
    </row>
    <row r="5122" spans="5:11" x14ac:dyDescent="0.25">
      <c r="E5122" t="s">
        <v>10047</v>
      </c>
      <c r="F5122">
        <v>1968487</v>
      </c>
      <c r="G5122" s="1">
        <v>45351</v>
      </c>
      <c r="H5122" t="s">
        <v>10048</v>
      </c>
      <c r="I5122" t="s">
        <v>60</v>
      </c>
      <c r="J5122" s="1">
        <v>45261</v>
      </c>
      <c r="K5122">
        <v>49000000</v>
      </c>
    </row>
    <row r="5123" spans="5:11" x14ac:dyDescent="0.25">
      <c r="E5123" t="s">
        <v>10049</v>
      </c>
      <c r="F5123">
        <v>1968915</v>
      </c>
      <c r="G5123" s="1">
        <v>45382</v>
      </c>
      <c r="H5123" t="s">
        <v>10050</v>
      </c>
      <c r="I5123" t="s">
        <v>329</v>
      </c>
      <c r="J5123" s="1">
        <v>45292</v>
      </c>
      <c r="K5123">
        <v>29000000</v>
      </c>
    </row>
    <row r="5124" spans="5:11" x14ac:dyDescent="0.25">
      <c r="E5124" t="s">
        <v>10051</v>
      </c>
      <c r="F5124">
        <v>1969475</v>
      </c>
      <c r="G5124" s="1">
        <v>45382</v>
      </c>
      <c r="H5124" t="s">
        <v>10052</v>
      </c>
      <c r="I5124" t="s">
        <v>57</v>
      </c>
      <c r="J5124" s="1">
        <v>45292</v>
      </c>
      <c r="K5124">
        <v>595376</v>
      </c>
    </row>
    <row r="5125" spans="5:11" x14ac:dyDescent="0.25">
      <c r="E5125" t="s">
        <v>10053</v>
      </c>
      <c r="F5125">
        <v>1970129</v>
      </c>
      <c r="G5125" s="1">
        <v>45382</v>
      </c>
      <c r="H5125" t="s">
        <v>10054</v>
      </c>
      <c r="I5125" t="s">
        <v>10055</v>
      </c>
      <c r="J5125" s="1">
        <v>45292</v>
      </c>
      <c r="K5125">
        <v>-5176</v>
      </c>
    </row>
    <row r="5126" spans="5:11" x14ac:dyDescent="0.25">
      <c r="E5126" t="s">
        <v>10056</v>
      </c>
      <c r="F5126">
        <v>1970509</v>
      </c>
      <c r="G5126" s="1">
        <v>45382</v>
      </c>
      <c r="H5126" t="s">
        <v>10057</v>
      </c>
      <c r="I5126" t="s">
        <v>57</v>
      </c>
      <c r="J5126" s="1">
        <v>45292</v>
      </c>
      <c r="K5126">
        <v>2866208</v>
      </c>
    </row>
    <row r="5127" spans="5:11" x14ac:dyDescent="0.25">
      <c r="E5127" t="s">
        <v>10058</v>
      </c>
      <c r="F5127">
        <v>1970622</v>
      </c>
      <c r="G5127" s="1">
        <v>45382</v>
      </c>
      <c r="H5127" t="s">
        <v>10059</v>
      </c>
      <c r="I5127" t="s">
        <v>57</v>
      </c>
      <c r="J5127" s="1">
        <v>45292</v>
      </c>
      <c r="K5127">
        <v>2919167</v>
      </c>
    </row>
    <row r="5128" spans="5:11" x14ac:dyDescent="0.25">
      <c r="E5128" t="s">
        <v>10060</v>
      </c>
      <c r="F5128">
        <v>1971213</v>
      </c>
      <c r="G5128" s="1">
        <v>45382</v>
      </c>
      <c r="H5128" t="s">
        <v>10061</v>
      </c>
      <c r="I5128" t="s">
        <v>299</v>
      </c>
      <c r="J5128" s="1">
        <v>45292</v>
      </c>
      <c r="K5128">
        <v>23000000</v>
      </c>
    </row>
    <row r="5129" spans="5:11" x14ac:dyDescent="0.25">
      <c r="E5129" t="s">
        <v>10062</v>
      </c>
      <c r="F5129">
        <v>1971381</v>
      </c>
      <c r="G5129" s="1">
        <v>45382</v>
      </c>
      <c r="H5129" t="s">
        <v>10063</v>
      </c>
      <c r="I5129" t="s">
        <v>57</v>
      </c>
      <c r="J5129" s="1">
        <v>45292</v>
      </c>
      <c r="K5129">
        <v>5929000</v>
      </c>
    </row>
    <row r="5130" spans="5:11" x14ac:dyDescent="0.25">
      <c r="E5130" t="s">
        <v>10064</v>
      </c>
      <c r="F5130">
        <v>1971532</v>
      </c>
      <c r="G5130" s="1">
        <v>45382</v>
      </c>
      <c r="H5130" t="s">
        <v>10065</v>
      </c>
      <c r="I5130" t="s">
        <v>299</v>
      </c>
      <c r="J5130" s="1">
        <v>45292</v>
      </c>
      <c r="K5130">
        <v>-6254607</v>
      </c>
    </row>
    <row r="5131" spans="5:11" x14ac:dyDescent="0.25">
      <c r="E5131" t="s">
        <v>10066</v>
      </c>
      <c r="F5131">
        <v>1971543</v>
      </c>
      <c r="G5131" s="1">
        <v>45382</v>
      </c>
      <c r="H5131" t="s">
        <v>10067</v>
      </c>
      <c r="I5131" t="s">
        <v>927</v>
      </c>
      <c r="J5131" s="1">
        <v>45292</v>
      </c>
      <c r="K5131">
        <v>-30917000</v>
      </c>
    </row>
    <row r="5132" spans="5:11" x14ac:dyDescent="0.25">
      <c r="E5132" t="s">
        <v>10068</v>
      </c>
      <c r="F5132">
        <v>1972529</v>
      </c>
      <c r="G5132" s="1">
        <v>45382</v>
      </c>
      <c r="H5132" t="s">
        <v>10069</v>
      </c>
      <c r="I5132" t="s">
        <v>36</v>
      </c>
      <c r="J5132" s="1">
        <v>45292</v>
      </c>
      <c r="K5132">
        <v>682220</v>
      </c>
    </row>
    <row r="5133" spans="5:11" x14ac:dyDescent="0.25">
      <c r="E5133" t="s">
        <v>10070</v>
      </c>
      <c r="F5133">
        <v>1973047</v>
      </c>
      <c r="G5133" s="1">
        <v>45412</v>
      </c>
      <c r="H5133" t="s">
        <v>10071</v>
      </c>
      <c r="I5133" t="s">
        <v>5874</v>
      </c>
      <c r="J5133" s="1">
        <v>45323</v>
      </c>
      <c r="K5133">
        <v>-30727</v>
      </c>
    </row>
    <row r="5134" spans="5:11" x14ac:dyDescent="0.25">
      <c r="E5134" t="s">
        <v>10072</v>
      </c>
      <c r="F5134">
        <v>1973056</v>
      </c>
      <c r="G5134" s="1">
        <v>45382</v>
      </c>
      <c r="H5134" t="s">
        <v>10073</v>
      </c>
      <c r="I5134" t="s">
        <v>57</v>
      </c>
      <c r="J5134" s="1">
        <v>45292</v>
      </c>
      <c r="K5134">
        <v>786362</v>
      </c>
    </row>
    <row r="5135" spans="5:11" x14ac:dyDescent="0.25">
      <c r="E5135" t="s">
        <v>10074</v>
      </c>
      <c r="F5135">
        <v>1973266</v>
      </c>
      <c r="G5135" s="1">
        <v>45382</v>
      </c>
      <c r="H5135" t="s">
        <v>10075</v>
      </c>
      <c r="I5135" t="s">
        <v>57</v>
      </c>
      <c r="J5135" s="1">
        <v>45292</v>
      </c>
      <c r="K5135">
        <v>-103840000</v>
      </c>
    </row>
    <row r="5136" spans="5:11" x14ac:dyDescent="0.25">
      <c r="E5136" t="s">
        <v>10076</v>
      </c>
      <c r="F5136">
        <v>1973476</v>
      </c>
      <c r="G5136" s="1">
        <v>45382</v>
      </c>
      <c r="H5136" t="s">
        <v>10077</v>
      </c>
      <c r="I5136" t="s">
        <v>57</v>
      </c>
      <c r="J5136" s="1">
        <v>45292</v>
      </c>
      <c r="K5136">
        <v>1758000</v>
      </c>
    </row>
    <row r="5137" spans="5:11" x14ac:dyDescent="0.25">
      <c r="E5137" t="s">
        <v>10078</v>
      </c>
      <c r="F5137">
        <v>1974138</v>
      </c>
      <c r="G5137" s="1">
        <v>45382</v>
      </c>
      <c r="H5137" t="s">
        <v>10079</v>
      </c>
      <c r="I5137" t="s">
        <v>64</v>
      </c>
      <c r="J5137" s="1">
        <v>45292</v>
      </c>
      <c r="K5137">
        <v>-8000000</v>
      </c>
    </row>
    <row r="5138" spans="5:11" x14ac:dyDescent="0.25">
      <c r="E5138" t="s">
        <v>10080</v>
      </c>
      <c r="F5138">
        <v>1974640</v>
      </c>
      <c r="G5138" s="1">
        <v>45382</v>
      </c>
      <c r="H5138" t="s">
        <v>10081</v>
      </c>
      <c r="I5138" t="s">
        <v>24</v>
      </c>
      <c r="J5138" s="1">
        <v>45292</v>
      </c>
      <c r="K5138">
        <v>-32094000</v>
      </c>
    </row>
    <row r="5139" spans="5:11" x14ac:dyDescent="0.25">
      <c r="E5139" t="s">
        <v>10082</v>
      </c>
      <c r="F5139">
        <v>1974793</v>
      </c>
      <c r="G5139" s="1">
        <v>45382</v>
      </c>
      <c r="H5139" t="s">
        <v>10083</v>
      </c>
      <c r="I5139" t="s">
        <v>36</v>
      </c>
      <c r="J5139" s="1">
        <v>45292</v>
      </c>
      <c r="K5139">
        <v>7293000</v>
      </c>
    </row>
    <row r="5140" spans="5:11" x14ac:dyDescent="0.25">
      <c r="E5140" t="s">
        <v>10084</v>
      </c>
      <c r="F5140">
        <v>1975218</v>
      </c>
      <c r="G5140" s="1">
        <v>45382</v>
      </c>
      <c r="H5140" t="s">
        <v>10085</v>
      </c>
      <c r="I5140" t="s">
        <v>30</v>
      </c>
      <c r="J5140" s="1">
        <v>45292</v>
      </c>
      <c r="K5140">
        <v>3796892</v>
      </c>
    </row>
    <row r="5141" spans="5:11" x14ac:dyDescent="0.25">
      <c r="E5141" t="s">
        <v>10086</v>
      </c>
      <c r="F5141">
        <v>1975736</v>
      </c>
      <c r="G5141" s="1">
        <v>45382</v>
      </c>
      <c r="H5141" t="s">
        <v>10087</v>
      </c>
      <c r="I5141" t="s">
        <v>39</v>
      </c>
      <c r="J5141" s="1">
        <v>45292</v>
      </c>
      <c r="K5141">
        <v>156000</v>
      </c>
    </row>
    <row r="5142" spans="5:11" x14ac:dyDescent="0.25">
      <c r="E5142" t="s">
        <v>10088</v>
      </c>
      <c r="F5142">
        <v>1975931</v>
      </c>
      <c r="G5142" s="1">
        <v>45382</v>
      </c>
      <c r="H5142" t="s">
        <v>10089</v>
      </c>
      <c r="I5142" t="s">
        <v>33</v>
      </c>
      <c r="J5142" s="1">
        <v>45292</v>
      </c>
      <c r="K5142">
        <v>-1449000</v>
      </c>
    </row>
    <row r="5143" spans="5:11" x14ac:dyDescent="0.25">
      <c r="E5143" t="s">
        <v>10090</v>
      </c>
      <c r="F5143">
        <v>1976663</v>
      </c>
      <c r="G5143" s="1">
        <v>45382</v>
      </c>
      <c r="H5143" t="s">
        <v>10091</v>
      </c>
      <c r="I5143" t="s">
        <v>36</v>
      </c>
      <c r="J5143" s="1">
        <v>45292</v>
      </c>
      <c r="K5143">
        <v>-217292</v>
      </c>
    </row>
    <row r="5144" spans="5:11" x14ac:dyDescent="0.25">
      <c r="E5144" t="s">
        <v>10092</v>
      </c>
      <c r="F5144">
        <v>1976719</v>
      </c>
      <c r="G5144" s="1">
        <v>45382</v>
      </c>
      <c r="H5144" t="s">
        <v>10093</v>
      </c>
      <c r="I5144" t="s">
        <v>57</v>
      </c>
      <c r="J5144" s="1">
        <v>45292</v>
      </c>
      <c r="K5144">
        <v>3160000</v>
      </c>
    </row>
    <row r="5145" spans="5:11" x14ac:dyDescent="0.25">
      <c r="E5145" t="s">
        <v>10094</v>
      </c>
      <c r="F5145">
        <v>1976900</v>
      </c>
      <c r="G5145" s="1">
        <v>45382</v>
      </c>
      <c r="H5145" t="s">
        <v>10095</v>
      </c>
      <c r="I5145" t="s">
        <v>4227</v>
      </c>
      <c r="J5145" s="1">
        <v>45292</v>
      </c>
      <c r="K5145">
        <v>-80614</v>
      </c>
    </row>
    <row r="5146" spans="5:11" x14ac:dyDescent="0.25">
      <c r="E5146" t="s">
        <v>10096</v>
      </c>
      <c r="F5146">
        <v>1976927</v>
      </c>
      <c r="G5146" s="1">
        <v>45382</v>
      </c>
      <c r="H5146" t="s">
        <v>10097</v>
      </c>
      <c r="I5146" t="s">
        <v>30</v>
      </c>
      <c r="J5146" s="1">
        <v>45292</v>
      </c>
      <c r="K5146">
        <v>4687000</v>
      </c>
    </row>
    <row r="5147" spans="5:11" x14ac:dyDescent="0.25">
      <c r="E5147" t="s">
        <v>10098</v>
      </c>
      <c r="F5147">
        <v>1977303</v>
      </c>
      <c r="G5147" s="1">
        <v>45382</v>
      </c>
      <c r="H5147" t="s">
        <v>10099</v>
      </c>
      <c r="I5147" t="s">
        <v>39</v>
      </c>
      <c r="J5147" s="1">
        <v>45292</v>
      </c>
      <c r="K5147">
        <v>15600000</v>
      </c>
    </row>
    <row r="5148" spans="5:11" x14ac:dyDescent="0.25">
      <c r="E5148" t="s">
        <v>10100</v>
      </c>
      <c r="F5148">
        <v>1978111</v>
      </c>
      <c r="G5148" s="1">
        <v>45412</v>
      </c>
      <c r="H5148" t="s">
        <v>10101</v>
      </c>
      <c r="I5148" t="s">
        <v>10102</v>
      </c>
      <c r="J5148" s="1">
        <v>45323</v>
      </c>
      <c r="K5148">
        <v>-6150</v>
      </c>
    </row>
    <row r="5149" spans="5:11" x14ac:dyDescent="0.25">
      <c r="E5149" t="s">
        <v>10103</v>
      </c>
      <c r="F5149">
        <v>1978133</v>
      </c>
      <c r="G5149" s="1">
        <v>45382</v>
      </c>
      <c r="H5149" t="s">
        <v>10104</v>
      </c>
      <c r="I5149" t="s">
        <v>113</v>
      </c>
      <c r="J5149" s="1">
        <v>45292</v>
      </c>
      <c r="K5149">
        <v>-2793709</v>
      </c>
    </row>
    <row r="5150" spans="5:11" x14ac:dyDescent="0.25">
      <c r="E5150" t="s">
        <v>10105</v>
      </c>
      <c r="F5150">
        <v>1978528</v>
      </c>
      <c r="G5150" s="1">
        <v>45382</v>
      </c>
      <c r="H5150" t="s">
        <v>10106</v>
      </c>
      <c r="I5150" t="s">
        <v>57</v>
      </c>
      <c r="J5150" s="1">
        <v>45292</v>
      </c>
      <c r="K5150">
        <v>611704</v>
      </c>
    </row>
    <row r="5151" spans="5:11" x14ac:dyDescent="0.25">
      <c r="E5151" t="s">
        <v>10107</v>
      </c>
      <c r="F5151">
        <v>1978811</v>
      </c>
      <c r="G5151" s="1">
        <v>45382</v>
      </c>
      <c r="H5151" t="s">
        <v>10108</v>
      </c>
      <c r="I5151" t="s">
        <v>57</v>
      </c>
      <c r="J5151" s="1">
        <v>45292</v>
      </c>
      <c r="K5151">
        <v>102000</v>
      </c>
    </row>
    <row r="5152" spans="5:11" x14ac:dyDescent="0.25">
      <c r="E5152" t="s">
        <v>10109</v>
      </c>
      <c r="F5152">
        <v>1979005</v>
      </c>
      <c r="G5152" s="1">
        <v>45382</v>
      </c>
      <c r="H5152" t="s">
        <v>10110</v>
      </c>
      <c r="I5152" t="s">
        <v>57</v>
      </c>
      <c r="J5152" s="1">
        <v>45292</v>
      </c>
      <c r="K5152">
        <v>755500</v>
      </c>
    </row>
    <row r="5153" spans="5:11" x14ac:dyDescent="0.25">
      <c r="E5153" t="s">
        <v>10111</v>
      </c>
      <c r="F5153">
        <v>1979306</v>
      </c>
      <c r="G5153" s="1">
        <v>45382</v>
      </c>
      <c r="H5153" t="s">
        <v>10112</v>
      </c>
      <c r="I5153" t="s">
        <v>46</v>
      </c>
      <c r="J5153" s="1">
        <v>45292</v>
      </c>
      <c r="K5153">
        <v>-2223930</v>
      </c>
    </row>
    <row r="5154" spans="5:11" x14ac:dyDescent="0.25">
      <c r="E5154" t="s">
        <v>10113</v>
      </c>
      <c r="F5154">
        <v>1979330</v>
      </c>
      <c r="G5154" s="1">
        <v>45382</v>
      </c>
      <c r="H5154" t="s">
        <v>10114</v>
      </c>
      <c r="I5154" t="s">
        <v>24</v>
      </c>
      <c r="J5154" s="1">
        <v>45292</v>
      </c>
      <c r="K5154">
        <v>8701000</v>
      </c>
    </row>
    <row r="5155" spans="5:11" x14ac:dyDescent="0.25">
      <c r="E5155" t="s">
        <v>10115</v>
      </c>
      <c r="F5155">
        <v>1980088</v>
      </c>
      <c r="G5155" s="1">
        <v>45382</v>
      </c>
      <c r="H5155" t="s">
        <v>10116</v>
      </c>
      <c r="I5155" t="s">
        <v>277</v>
      </c>
      <c r="J5155" s="1">
        <v>45292</v>
      </c>
      <c r="K5155">
        <v>41702000</v>
      </c>
    </row>
    <row r="5156" spans="5:11" x14ac:dyDescent="0.25">
      <c r="E5156" t="s">
        <v>10117</v>
      </c>
      <c r="F5156">
        <v>1980845</v>
      </c>
      <c r="G5156" s="1">
        <v>45412</v>
      </c>
      <c r="H5156" t="s">
        <v>10118</v>
      </c>
      <c r="I5156" t="s">
        <v>2052</v>
      </c>
      <c r="J5156" s="1">
        <v>45323</v>
      </c>
      <c r="K5156">
        <v>-14984000</v>
      </c>
    </row>
    <row r="5157" spans="5:11" x14ac:dyDescent="0.25">
      <c r="E5157" t="s">
        <v>10119</v>
      </c>
      <c r="F5157">
        <v>1980994</v>
      </c>
      <c r="G5157" s="1">
        <v>45382</v>
      </c>
      <c r="H5157" t="s">
        <v>10120</v>
      </c>
      <c r="I5157" t="s">
        <v>36</v>
      </c>
      <c r="J5157" s="1">
        <v>45292</v>
      </c>
      <c r="K5157">
        <v>3803709849</v>
      </c>
    </row>
    <row r="5158" spans="5:11" x14ac:dyDescent="0.25">
      <c r="E5158" t="s">
        <v>10121</v>
      </c>
      <c r="F5158">
        <v>1981535</v>
      </c>
      <c r="G5158" s="1">
        <v>45382</v>
      </c>
      <c r="H5158" t="s">
        <v>10122</v>
      </c>
      <c r="I5158" t="s">
        <v>213</v>
      </c>
      <c r="J5158" s="1">
        <v>45292</v>
      </c>
      <c r="K5158">
        <v>12350356</v>
      </c>
    </row>
    <row r="5159" spans="5:11" x14ac:dyDescent="0.25">
      <c r="E5159" t="s">
        <v>10123</v>
      </c>
      <c r="F5159">
        <v>1981599</v>
      </c>
      <c r="G5159" s="1">
        <v>45382</v>
      </c>
      <c r="H5159" t="s">
        <v>10124</v>
      </c>
      <c r="I5159" t="s">
        <v>113</v>
      </c>
      <c r="J5159" s="1">
        <v>45292</v>
      </c>
      <c r="K5159">
        <v>-25058000</v>
      </c>
    </row>
    <row r="5160" spans="5:11" x14ac:dyDescent="0.25">
      <c r="E5160" t="s">
        <v>10125</v>
      </c>
      <c r="F5160">
        <v>1982518</v>
      </c>
      <c r="G5160" s="1">
        <v>45382</v>
      </c>
      <c r="H5160" t="s">
        <v>10126</v>
      </c>
      <c r="I5160" t="s">
        <v>64</v>
      </c>
      <c r="J5160" s="1">
        <v>45292</v>
      </c>
      <c r="K5160">
        <v>2972000</v>
      </c>
    </row>
    <row r="5161" spans="5:11" x14ac:dyDescent="0.25">
      <c r="E5161" t="s">
        <v>10127</v>
      </c>
      <c r="F5161">
        <v>1983514</v>
      </c>
      <c r="G5161" s="1">
        <v>45382</v>
      </c>
      <c r="H5161" t="s">
        <v>10128</v>
      </c>
      <c r="I5161" t="s">
        <v>57</v>
      </c>
      <c r="J5161" s="1">
        <v>45292</v>
      </c>
      <c r="K5161">
        <v>2506000</v>
      </c>
    </row>
    <row r="5162" spans="5:11" x14ac:dyDescent="0.25">
      <c r="E5162" t="s">
        <v>10129</v>
      </c>
      <c r="F5162">
        <v>1983736</v>
      </c>
      <c r="G5162" s="1">
        <v>45382</v>
      </c>
      <c r="H5162" t="s">
        <v>10130</v>
      </c>
      <c r="I5162" t="s">
        <v>36</v>
      </c>
      <c r="J5162" s="1">
        <v>45292</v>
      </c>
      <c r="K5162">
        <v>190141</v>
      </c>
    </row>
    <row r="5163" spans="5:11" x14ac:dyDescent="0.25">
      <c r="E5163" t="s">
        <v>10131</v>
      </c>
      <c r="F5163">
        <v>1984060</v>
      </c>
      <c r="G5163" s="1">
        <v>45382</v>
      </c>
      <c r="H5163" t="s">
        <v>10132</v>
      </c>
      <c r="I5163" t="s">
        <v>30</v>
      </c>
      <c r="J5163" s="1">
        <v>45292</v>
      </c>
      <c r="K5163">
        <v>26787000</v>
      </c>
    </row>
    <row r="5164" spans="5:11" x14ac:dyDescent="0.25">
      <c r="E5164" t="s">
        <v>10133</v>
      </c>
      <c r="F5164">
        <v>1985375</v>
      </c>
      <c r="G5164" s="1">
        <v>45382</v>
      </c>
      <c r="H5164" t="s">
        <v>10134</v>
      </c>
      <c r="I5164" t="s">
        <v>57</v>
      </c>
      <c r="J5164" s="1">
        <v>45292</v>
      </c>
      <c r="K5164">
        <v>151418</v>
      </c>
    </row>
    <row r="5165" spans="5:11" x14ac:dyDescent="0.25">
      <c r="E5165" t="s">
        <v>10135</v>
      </c>
      <c r="F5165">
        <v>1985554</v>
      </c>
      <c r="G5165" s="1">
        <v>45351</v>
      </c>
      <c r="H5165" t="s">
        <v>10136</v>
      </c>
      <c r="I5165" t="s">
        <v>10137</v>
      </c>
      <c r="J5165" s="1">
        <v>45261</v>
      </c>
      <c r="K5165">
        <v>-3684</v>
      </c>
    </row>
    <row r="5166" spans="5:11" x14ac:dyDescent="0.25">
      <c r="E5166" t="s">
        <v>10138</v>
      </c>
      <c r="F5166">
        <v>1985840</v>
      </c>
      <c r="G5166" s="1">
        <v>45382</v>
      </c>
      <c r="H5166" t="s">
        <v>10139</v>
      </c>
      <c r="I5166" t="s">
        <v>83</v>
      </c>
      <c r="J5166" s="1">
        <v>45292</v>
      </c>
      <c r="K5166">
        <v>7937269</v>
      </c>
    </row>
    <row r="5167" spans="5:11" x14ac:dyDescent="0.25">
      <c r="E5167" t="s">
        <v>10140</v>
      </c>
      <c r="F5167">
        <v>1987221</v>
      </c>
      <c r="G5167" s="1">
        <v>45382</v>
      </c>
      <c r="H5167" t="s">
        <v>10141</v>
      </c>
      <c r="I5167" t="s">
        <v>33</v>
      </c>
      <c r="J5167" s="1">
        <v>45292</v>
      </c>
      <c r="K5167">
        <v>540000</v>
      </c>
    </row>
    <row r="5168" spans="5:11" x14ac:dyDescent="0.25">
      <c r="E5168" t="s">
        <v>10142</v>
      </c>
      <c r="F5168">
        <v>1987731</v>
      </c>
      <c r="G5168" s="1">
        <v>45382</v>
      </c>
      <c r="H5168" t="s">
        <v>10143</v>
      </c>
      <c r="I5168" t="s">
        <v>36</v>
      </c>
      <c r="J5168" s="1">
        <v>45292</v>
      </c>
      <c r="K5168">
        <v>-170506</v>
      </c>
    </row>
    <row r="5169" spans="5:11" x14ac:dyDescent="0.25">
      <c r="E5169" t="s">
        <v>10144</v>
      </c>
      <c r="F5169">
        <v>1989788</v>
      </c>
      <c r="G5169" s="1">
        <v>45412</v>
      </c>
      <c r="H5169" t="s">
        <v>10145</v>
      </c>
      <c r="I5169" t="s">
        <v>594</v>
      </c>
      <c r="J5169" s="1">
        <v>45323</v>
      </c>
      <c r="K5169">
        <v>-16223</v>
      </c>
    </row>
    <row r="5170" spans="5:11" x14ac:dyDescent="0.25">
      <c r="E5170" t="s">
        <v>10146</v>
      </c>
      <c r="F5170">
        <v>1989817</v>
      </c>
      <c r="G5170" s="1">
        <v>45382</v>
      </c>
      <c r="H5170" t="s">
        <v>10147</v>
      </c>
      <c r="I5170" t="s">
        <v>57</v>
      </c>
      <c r="J5170" s="1">
        <v>45292</v>
      </c>
      <c r="K5170">
        <v>0</v>
      </c>
    </row>
    <row r="5171" spans="5:11" x14ac:dyDescent="0.25">
      <c r="E5171" t="s">
        <v>10148</v>
      </c>
      <c r="F5171">
        <v>1990446</v>
      </c>
      <c r="G5171" s="1">
        <v>45382</v>
      </c>
      <c r="H5171" t="s">
        <v>10149</v>
      </c>
      <c r="I5171" t="s">
        <v>30</v>
      </c>
      <c r="J5171" s="1">
        <v>45292</v>
      </c>
      <c r="K5171">
        <v>-238021</v>
      </c>
    </row>
    <row r="5172" spans="5:11" x14ac:dyDescent="0.25">
      <c r="E5172" t="s">
        <v>10150</v>
      </c>
      <c r="F5172">
        <v>1991792</v>
      </c>
      <c r="G5172" s="1">
        <v>45382</v>
      </c>
      <c r="H5172" t="s">
        <v>10151</v>
      </c>
      <c r="I5172" t="s">
        <v>36</v>
      </c>
      <c r="J5172" s="1">
        <v>45292</v>
      </c>
      <c r="K5172">
        <v>-16934000</v>
      </c>
    </row>
    <row r="5173" spans="5:11" x14ac:dyDescent="0.25">
      <c r="E5173" t="s">
        <v>10152</v>
      </c>
      <c r="F5173">
        <v>1992243</v>
      </c>
      <c r="G5173" s="1">
        <v>45382</v>
      </c>
      <c r="H5173" t="s">
        <v>10153</v>
      </c>
      <c r="I5173" t="s">
        <v>64</v>
      </c>
      <c r="J5173" s="1">
        <v>45292</v>
      </c>
      <c r="K5173">
        <v>-28543000</v>
      </c>
    </row>
    <row r="5174" spans="5:11" x14ac:dyDescent="0.25">
      <c r="E5174" t="s">
        <v>10154</v>
      </c>
      <c r="F5174">
        <v>1992870</v>
      </c>
      <c r="G5174" s="1">
        <v>45382</v>
      </c>
      <c r="H5174" t="s">
        <v>10155</v>
      </c>
      <c r="I5174" t="s">
        <v>36</v>
      </c>
      <c r="J5174" s="1">
        <v>45302</v>
      </c>
      <c r="K5174">
        <v>61220174</v>
      </c>
    </row>
    <row r="5175" spans="5:11" x14ac:dyDescent="0.25">
      <c r="E5175" t="s">
        <v>10156</v>
      </c>
      <c r="F5175">
        <v>1993004</v>
      </c>
      <c r="G5175" s="1">
        <v>45382</v>
      </c>
      <c r="H5175" t="s">
        <v>10157</v>
      </c>
      <c r="I5175" t="s">
        <v>2045</v>
      </c>
      <c r="J5175" s="1">
        <v>45292</v>
      </c>
      <c r="K5175">
        <v>65086000</v>
      </c>
    </row>
    <row r="5176" spans="5:11" x14ac:dyDescent="0.25">
      <c r="E5176" t="s">
        <v>10158</v>
      </c>
      <c r="F5176">
        <v>1994373</v>
      </c>
      <c r="G5176" s="1">
        <v>45351</v>
      </c>
      <c r="H5176" t="s">
        <v>10159</v>
      </c>
      <c r="I5176" t="s">
        <v>4980</v>
      </c>
      <c r="J5176" s="1">
        <v>45261</v>
      </c>
      <c r="K5176">
        <v>-3702</v>
      </c>
    </row>
    <row r="5177" spans="5:11" x14ac:dyDescent="0.25">
      <c r="E5177" t="s">
        <v>10160</v>
      </c>
      <c r="F5177">
        <v>1994582</v>
      </c>
      <c r="G5177" s="1">
        <v>45351</v>
      </c>
      <c r="H5177" t="s">
        <v>10161</v>
      </c>
      <c r="I5177" t="s">
        <v>10162</v>
      </c>
      <c r="J5177" s="1">
        <v>45261</v>
      </c>
      <c r="K5177">
        <v>-5554</v>
      </c>
    </row>
    <row r="5178" spans="5:11" x14ac:dyDescent="0.25">
      <c r="E5178" t="s">
        <v>10163</v>
      </c>
      <c r="F5178">
        <v>1994702</v>
      </c>
      <c r="G5178" s="1">
        <v>45382</v>
      </c>
      <c r="H5178" t="s">
        <v>10164</v>
      </c>
      <c r="I5178" t="s">
        <v>36</v>
      </c>
      <c r="J5178" s="1">
        <v>45292</v>
      </c>
      <c r="K5178">
        <v>-26693000</v>
      </c>
    </row>
    <row r="5179" spans="5:11" x14ac:dyDescent="0.25">
      <c r="E5179" t="s">
        <v>10165</v>
      </c>
      <c r="F5179">
        <v>1995413</v>
      </c>
      <c r="G5179" s="1">
        <v>45382</v>
      </c>
      <c r="H5179" t="s">
        <v>10166</v>
      </c>
      <c r="I5179" t="s">
        <v>33</v>
      </c>
      <c r="J5179" s="1">
        <v>45292</v>
      </c>
      <c r="K5179">
        <v>1660079</v>
      </c>
    </row>
    <row r="5180" spans="5:11" x14ac:dyDescent="0.25">
      <c r="E5180" t="s">
        <v>10167</v>
      </c>
      <c r="F5180">
        <v>1995648</v>
      </c>
      <c r="G5180" s="1">
        <v>45351</v>
      </c>
      <c r="H5180" t="s">
        <v>10168</v>
      </c>
      <c r="I5180" t="s">
        <v>2273</v>
      </c>
      <c r="J5180" s="1">
        <v>45261</v>
      </c>
      <c r="K5180">
        <v>7586</v>
      </c>
    </row>
    <row r="5181" spans="5:11" x14ac:dyDescent="0.25">
      <c r="E5181" t="s">
        <v>10169</v>
      </c>
      <c r="F5181">
        <v>1995807</v>
      </c>
      <c r="G5181" s="1">
        <v>45382</v>
      </c>
      <c r="H5181" t="s">
        <v>10170</v>
      </c>
      <c r="I5181" t="s">
        <v>30</v>
      </c>
      <c r="J5181" s="1">
        <v>45292</v>
      </c>
      <c r="K5181">
        <v>10776000</v>
      </c>
    </row>
    <row r="5182" spans="5:11" x14ac:dyDescent="0.25">
      <c r="E5182" t="s">
        <v>10171</v>
      </c>
      <c r="F5182">
        <v>1995920</v>
      </c>
      <c r="G5182" s="1">
        <v>45351</v>
      </c>
      <c r="H5182" t="s">
        <v>10172</v>
      </c>
      <c r="I5182" t="s">
        <v>39</v>
      </c>
      <c r="J5182" s="1">
        <v>45261</v>
      </c>
      <c r="K5182">
        <v>-7106</v>
      </c>
    </row>
    <row r="5183" spans="5:11" x14ac:dyDescent="0.25">
      <c r="E5183" t="s">
        <v>10173</v>
      </c>
      <c r="F5183">
        <v>1996210</v>
      </c>
      <c r="G5183" s="1">
        <v>45382</v>
      </c>
      <c r="H5183" t="s">
        <v>10174</v>
      </c>
      <c r="I5183" t="s">
        <v>36</v>
      </c>
      <c r="J5183" s="1">
        <v>45292</v>
      </c>
      <c r="K5183">
        <v>-3051000</v>
      </c>
    </row>
    <row r="5184" spans="5:11" x14ac:dyDescent="0.25">
      <c r="E5184" t="s">
        <v>10175</v>
      </c>
      <c r="F5184">
        <v>1996810</v>
      </c>
      <c r="G5184" s="1">
        <v>45382</v>
      </c>
      <c r="H5184" t="s">
        <v>10176</v>
      </c>
      <c r="I5184" t="s">
        <v>24</v>
      </c>
      <c r="J5184" s="1">
        <v>45292</v>
      </c>
      <c r="K5184">
        <v>-130000000</v>
      </c>
    </row>
    <row r="5185" spans="5:11" x14ac:dyDescent="0.25">
      <c r="E5185" t="s">
        <v>10177</v>
      </c>
      <c r="F5185">
        <v>1996862</v>
      </c>
      <c r="G5185" s="1">
        <v>45382</v>
      </c>
      <c r="H5185" t="s">
        <v>10178</v>
      </c>
      <c r="I5185" t="s">
        <v>2162</v>
      </c>
      <c r="J5185" s="1">
        <v>45292</v>
      </c>
      <c r="K5185">
        <v>244000000</v>
      </c>
    </row>
    <row r="5186" spans="5:11" x14ac:dyDescent="0.25">
      <c r="E5186" t="s">
        <v>10179</v>
      </c>
      <c r="F5186">
        <v>1998768</v>
      </c>
      <c r="G5186" s="1">
        <v>45382</v>
      </c>
      <c r="H5186" t="s">
        <v>10180</v>
      </c>
      <c r="I5186" t="s">
        <v>33</v>
      </c>
      <c r="J5186" s="1">
        <v>45292</v>
      </c>
      <c r="K5186">
        <v>-309878</v>
      </c>
    </row>
    <row r="5187" spans="5:11" x14ac:dyDescent="0.25">
      <c r="E5187" t="s">
        <v>10181</v>
      </c>
      <c r="F5187">
        <v>1998781</v>
      </c>
      <c r="G5187" s="1">
        <v>45382</v>
      </c>
      <c r="H5187" t="s">
        <v>10182</v>
      </c>
      <c r="I5187" t="s">
        <v>33</v>
      </c>
      <c r="J5187" s="1">
        <v>45292</v>
      </c>
      <c r="K5187">
        <v>-194646</v>
      </c>
    </row>
    <row r="5188" spans="5:11" x14ac:dyDescent="0.25">
      <c r="E5188" t="s">
        <v>10183</v>
      </c>
      <c r="F5188">
        <v>1999480</v>
      </c>
      <c r="G5188" s="1">
        <v>45382</v>
      </c>
      <c r="H5188" t="s">
        <v>10184</v>
      </c>
      <c r="I5188" t="s">
        <v>36</v>
      </c>
      <c r="J5188" s="1">
        <v>45292</v>
      </c>
      <c r="K5188">
        <v>-13417000</v>
      </c>
    </row>
    <row r="5189" spans="5:11" x14ac:dyDescent="0.25">
      <c r="E5189" t="s">
        <v>10185</v>
      </c>
      <c r="F5189">
        <v>1999784</v>
      </c>
      <c r="G5189" s="1">
        <v>45382</v>
      </c>
      <c r="H5189" t="s">
        <v>10186</v>
      </c>
      <c r="I5189" t="s">
        <v>57</v>
      </c>
      <c r="J5189" s="1">
        <v>45292</v>
      </c>
      <c r="K5189">
        <v>-54000</v>
      </c>
    </row>
    <row r="5190" spans="5:11" x14ac:dyDescent="0.25">
      <c r="E5190" t="s">
        <v>10187</v>
      </c>
      <c r="F5190">
        <v>2000178</v>
      </c>
      <c r="G5190" s="1">
        <v>45382</v>
      </c>
      <c r="H5190" t="s">
        <v>10188</v>
      </c>
      <c r="I5190" t="s">
        <v>57</v>
      </c>
      <c r="J5190" s="1">
        <v>45292</v>
      </c>
      <c r="K5190">
        <v>2249000</v>
      </c>
    </row>
    <row r="5191" spans="5:11" x14ac:dyDescent="0.25">
      <c r="E5191" t="s">
        <v>10189</v>
      </c>
      <c r="F5191">
        <v>2000597</v>
      </c>
      <c r="G5191" s="1">
        <v>45382</v>
      </c>
      <c r="H5191" t="s">
        <v>10190</v>
      </c>
      <c r="I5191" t="s">
        <v>57</v>
      </c>
      <c r="J5191" s="1">
        <v>45292</v>
      </c>
      <c r="K5191">
        <v>22</v>
      </c>
    </row>
    <row r="5192" spans="5:11" x14ac:dyDescent="0.25">
      <c r="E5192" t="s">
        <v>10191</v>
      </c>
      <c r="F5192">
        <v>2000762</v>
      </c>
      <c r="G5192" s="1">
        <v>45412</v>
      </c>
      <c r="H5192" t="s">
        <v>10192</v>
      </c>
      <c r="I5192" t="s">
        <v>57</v>
      </c>
      <c r="J5192" s="1">
        <v>45323</v>
      </c>
      <c r="K5192">
        <v>-23112</v>
      </c>
    </row>
    <row r="5193" spans="5:11" x14ac:dyDescent="0.25">
      <c r="E5193" t="s">
        <v>10193</v>
      </c>
      <c r="F5193">
        <v>2000775</v>
      </c>
      <c r="G5193" s="1">
        <v>45351</v>
      </c>
      <c r="H5193" t="s">
        <v>10194</v>
      </c>
      <c r="I5193" t="s">
        <v>36</v>
      </c>
      <c r="J5193" s="1">
        <v>45261</v>
      </c>
      <c r="K5193">
        <v>-30701</v>
      </c>
    </row>
    <row r="5194" spans="5:11" x14ac:dyDescent="0.25">
      <c r="E5194" t="s">
        <v>10195</v>
      </c>
      <c r="F5194">
        <v>2001184</v>
      </c>
      <c r="G5194" s="1">
        <v>45382</v>
      </c>
      <c r="H5194" t="s">
        <v>10196</v>
      </c>
      <c r="I5194" t="s">
        <v>406</v>
      </c>
      <c r="J5194" s="1">
        <v>45292</v>
      </c>
      <c r="K5194">
        <v>49138000</v>
      </c>
    </row>
    <row r="5195" spans="5:11" x14ac:dyDescent="0.25">
      <c r="E5195" t="s">
        <v>10197</v>
      </c>
      <c r="F5195">
        <v>2002038</v>
      </c>
      <c r="G5195" s="1">
        <v>45351</v>
      </c>
      <c r="H5195" t="s">
        <v>10198</v>
      </c>
      <c r="I5195" t="s">
        <v>57</v>
      </c>
      <c r="J5195" s="1">
        <v>45261</v>
      </c>
      <c r="K5195">
        <v>2039570</v>
      </c>
    </row>
    <row r="5196" spans="5:11" x14ac:dyDescent="0.25">
      <c r="E5196" t="s">
        <v>10199</v>
      </c>
      <c r="F5196">
        <v>2002473</v>
      </c>
      <c r="G5196" s="1">
        <v>45382</v>
      </c>
      <c r="H5196" t="s">
        <v>10200</v>
      </c>
      <c r="I5196" t="s">
        <v>57</v>
      </c>
      <c r="J5196" s="1">
        <v>45292</v>
      </c>
      <c r="K5196">
        <v>7012000</v>
      </c>
    </row>
    <row r="5197" spans="5:11" x14ac:dyDescent="0.25">
      <c r="E5197" t="s">
        <v>10201</v>
      </c>
      <c r="F5197">
        <v>2003750</v>
      </c>
      <c r="G5197" s="1">
        <v>45382</v>
      </c>
      <c r="H5197" t="s">
        <v>10202</v>
      </c>
      <c r="I5197" t="s">
        <v>1164</v>
      </c>
      <c r="J5197" s="1">
        <v>45292</v>
      </c>
      <c r="K5197">
        <v>-24908</v>
      </c>
    </row>
    <row r="5198" spans="5:11" x14ac:dyDescent="0.25">
      <c r="E5198" t="s">
        <v>10203</v>
      </c>
      <c r="F5198">
        <v>2003881</v>
      </c>
      <c r="G5198" s="1">
        <v>45382</v>
      </c>
      <c r="H5198" t="s">
        <v>10204</v>
      </c>
      <c r="I5198" t="s">
        <v>30</v>
      </c>
      <c r="J5198" s="1">
        <v>45292</v>
      </c>
      <c r="K5198">
        <v>-168</v>
      </c>
    </row>
    <row r="5199" spans="5:11" x14ac:dyDescent="0.25">
      <c r="E5199" t="s">
        <v>10205</v>
      </c>
      <c r="F5199">
        <v>2006291</v>
      </c>
      <c r="G5199" s="1">
        <v>45382</v>
      </c>
      <c r="H5199" t="s">
        <v>10206</v>
      </c>
      <c r="I5199" t="s">
        <v>57</v>
      </c>
      <c r="J5199" s="1">
        <v>45292</v>
      </c>
      <c r="K5199">
        <v>-24092</v>
      </c>
    </row>
    <row r="5200" spans="5:11" x14ac:dyDescent="0.25">
      <c r="E5200" t="s">
        <v>10207</v>
      </c>
      <c r="F5200">
        <v>2006986</v>
      </c>
      <c r="G5200" s="1">
        <v>45382</v>
      </c>
      <c r="H5200" t="s">
        <v>10208</v>
      </c>
      <c r="I5200" t="s">
        <v>36</v>
      </c>
      <c r="J5200" s="1">
        <v>45292</v>
      </c>
      <c r="K5200">
        <v>-1420405</v>
      </c>
    </row>
    <row r="5201" spans="5:11" x14ac:dyDescent="0.25">
      <c r="E5201" t="s">
        <v>10209</v>
      </c>
      <c r="F5201">
        <v>2007596</v>
      </c>
      <c r="G5201" s="1">
        <v>45382</v>
      </c>
      <c r="H5201" t="s">
        <v>10210</v>
      </c>
      <c r="I5201" t="s">
        <v>30</v>
      </c>
      <c r="J5201" s="1">
        <v>45292</v>
      </c>
      <c r="K5201">
        <v>6629000</v>
      </c>
    </row>
    <row r="5202" spans="5:11" x14ac:dyDescent="0.25">
      <c r="E5202" t="s">
        <v>10211</v>
      </c>
      <c r="F5202">
        <v>2007919</v>
      </c>
      <c r="G5202" s="1">
        <v>45382</v>
      </c>
      <c r="H5202" t="s">
        <v>10212</v>
      </c>
      <c r="I5202" t="s">
        <v>36</v>
      </c>
      <c r="J5202" s="1">
        <v>45292</v>
      </c>
      <c r="K5202">
        <v>-78710000</v>
      </c>
    </row>
    <row r="5203" spans="5:11" x14ac:dyDescent="0.25">
      <c r="E5203" t="s">
        <v>10599</v>
      </c>
      <c r="F5203">
        <v>2008861</v>
      </c>
      <c r="G5203" s="1">
        <v>45382</v>
      </c>
      <c r="H5203" t="s">
        <v>10600</v>
      </c>
      <c r="I5203" t="s">
        <v>39</v>
      </c>
      <c r="J5203" s="1">
        <v>45292</v>
      </c>
      <c r="K5203">
        <v>0</v>
      </c>
    </row>
    <row r="5204" spans="5:11" x14ac:dyDescent="0.25">
      <c r="E5204" t="s">
        <v>10213</v>
      </c>
      <c r="F5204">
        <v>2010930</v>
      </c>
      <c r="G5204" s="1">
        <v>45382</v>
      </c>
      <c r="H5204" t="s">
        <v>10214</v>
      </c>
      <c r="I5204" t="s">
        <v>57</v>
      </c>
      <c r="J5204" s="1">
        <v>45310</v>
      </c>
      <c r="K5204">
        <v>-47487</v>
      </c>
    </row>
    <row r="5205" spans="5:11" x14ac:dyDescent="0.25">
      <c r="E5205" t="s">
        <v>10601</v>
      </c>
      <c r="F5205">
        <v>2010982</v>
      </c>
      <c r="G5205" s="1">
        <v>45382</v>
      </c>
      <c r="H5205" t="s">
        <v>10602</v>
      </c>
      <c r="I5205" t="s">
        <v>36</v>
      </c>
      <c r="J5205" s="1">
        <v>45292</v>
      </c>
      <c r="K5205">
        <v>8527</v>
      </c>
    </row>
    <row r="5206" spans="5:11" x14ac:dyDescent="0.25">
      <c r="E5206" t="s">
        <v>10215</v>
      </c>
      <c r="F5206">
        <v>2012593</v>
      </c>
      <c r="G5206" s="1">
        <v>45382</v>
      </c>
      <c r="H5206" t="s">
        <v>10216</v>
      </c>
      <c r="I5206" t="s">
        <v>24</v>
      </c>
      <c r="J5206" s="1">
        <v>45292</v>
      </c>
      <c r="K5206">
        <v>-22669000</v>
      </c>
    </row>
    <row r="5207" spans="5:11" x14ac:dyDescent="0.25">
      <c r="E5207" t="s">
        <v>10217</v>
      </c>
      <c r="F5207">
        <v>2012726</v>
      </c>
      <c r="G5207" s="1">
        <v>45382</v>
      </c>
      <c r="H5207" t="s">
        <v>10218</v>
      </c>
      <c r="I5207" t="s">
        <v>179</v>
      </c>
      <c r="J5207" s="1">
        <v>45292</v>
      </c>
      <c r="K5207">
        <v>-1132000</v>
      </c>
    </row>
    <row r="5208" spans="5:11" x14ac:dyDescent="0.25">
      <c r="E5208" t="s">
        <v>10603</v>
      </c>
      <c r="F5208">
        <v>2012807</v>
      </c>
      <c r="G5208" s="1">
        <v>45382</v>
      </c>
      <c r="H5208" t="s">
        <v>10219</v>
      </c>
      <c r="I5208" t="s">
        <v>1245</v>
      </c>
      <c r="J5208" s="1">
        <v>45327</v>
      </c>
      <c r="K5208">
        <v>-60420</v>
      </c>
    </row>
    <row r="5209" spans="5:11" x14ac:dyDescent="0.25">
      <c r="E5209" t="s">
        <v>10220</v>
      </c>
      <c r="F5209">
        <v>2012964</v>
      </c>
      <c r="G5209" s="1">
        <v>45382</v>
      </c>
      <c r="H5209" t="s">
        <v>10221</v>
      </c>
      <c r="I5209" t="s">
        <v>30</v>
      </c>
      <c r="J5209" s="1">
        <v>45331</v>
      </c>
      <c r="K5209">
        <v>-6650</v>
      </c>
    </row>
    <row r="5210" spans="5:11" x14ac:dyDescent="0.25">
      <c r="E5210" t="s">
        <v>10222</v>
      </c>
      <c r="F5210">
        <v>2013639</v>
      </c>
      <c r="G5210" s="1">
        <v>45382</v>
      </c>
      <c r="H5210" t="s">
        <v>10223</v>
      </c>
      <c r="I5210" t="s">
        <v>179</v>
      </c>
      <c r="J5210" s="1">
        <v>45292</v>
      </c>
      <c r="K5210">
        <v>-807000</v>
      </c>
    </row>
    <row r="5211" spans="5:11" x14ac:dyDescent="0.25">
      <c r="E5211" t="s">
        <v>10224</v>
      </c>
      <c r="F5211">
        <v>2013792</v>
      </c>
      <c r="G5211" s="1">
        <v>45382</v>
      </c>
      <c r="H5211" t="s">
        <v>10225</v>
      </c>
      <c r="I5211" t="s">
        <v>83</v>
      </c>
      <c r="J5211" s="1">
        <v>45292</v>
      </c>
      <c r="K5211">
        <v>-377495</v>
      </c>
    </row>
    <row r="5212" spans="5:11" x14ac:dyDescent="0.25">
      <c r="E5212" t="s">
        <v>10226</v>
      </c>
      <c r="F5212">
        <v>2014596</v>
      </c>
      <c r="G5212" s="1">
        <v>45382</v>
      </c>
      <c r="H5212" t="s">
        <v>10227</v>
      </c>
      <c r="I5212" t="s">
        <v>39</v>
      </c>
      <c r="J5212" s="1">
        <v>45292</v>
      </c>
      <c r="K5212">
        <v>48956000</v>
      </c>
    </row>
    <row r="5213" spans="5:11" x14ac:dyDescent="0.25">
      <c r="E5213" t="s">
        <v>10604</v>
      </c>
      <c r="F5213">
        <v>2014982</v>
      </c>
      <c r="G5213" s="1">
        <v>45382</v>
      </c>
      <c r="H5213" t="s">
        <v>10605</v>
      </c>
      <c r="I5213" t="s">
        <v>33</v>
      </c>
      <c r="J5213" s="1">
        <v>45320</v>
      </c>
      <c r="K5213">
        <v>-28464</v>
      </c>
    </row>
    <row r="5214" spans="5:11" x14ac:dyDescent="0.25">
      <c r="E5214" t="s">
        <v>10228</v>
      </c>
      <c r="F5214">
        <v>2016420</v>
      </c>
      <c r="G5214" s="1">
        <v>45382</v>
      </c>
      <c r="H5214" t="s">
        <v>10229</v>
      </c>
      <c r="I5214" t="s">
        <v>1245</v>
      </c>
      <c r="J5214" s="1">
        <v>45306</v>
      </c>
      <c r="K5214">
        <v>-96056</v>
      </c>
    </row>
    <row r="5215" spans="5:11" x14ac:dyDescent="0.25">
      <c r="E5215" t="s">
        <v>10230</v>
      </c>
      <c r="F5215">
        <v>2017950</v>
      </c>
      <c r="G5215" s="1">
        <v>45382</v>
      </c>
      <c r="H5215" t="s">
        <v>10231</v>
      </c>
      <c r="I5215" t="s">
        <v>57</v>
      </c>
      <c r="J5215" s="1">
        <v>45292</v>
      </c>
      <c r="K5215">
        <v>-10623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FELIPE IMBET JIMENEZ</dc:creator>
  <cp:lastModifiedBy>JUAN FELIPE IMBET JIMENEZ</cp:lastModifiedBy>
  <dcterms:created xsi:type="dcterms:W3CDTF">2024-10-16T09:26:28Z</dcterms:created>
  <dcterms:modified xsi:type="dcterms:W3CDTF">2024-11-01T18:22:56Z</dcterms:modified>
</cp:coreProperties>
</file>